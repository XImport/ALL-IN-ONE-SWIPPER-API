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994011D7-E415-4369-BD23-702AD7331B76}" xr6:coauthVersionLast="47" xr6:coauthVersionMax="47" xr10:uidLastSave="{00000000-0000-0000-0000-000000000000}"/>
  <bookViews>
    <workbookView xWindow="-120" yWindow="-120" windowWidth="29040" windowHeight="15780" tabRatio="923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</sheets>
  <definedNames>
    <definedName name="_xlnm._FilterDatabase" localSheetId="5" hidden="1">CREANCES!$A$1:$L$213</definedName>
    <definedName name="_xlnm._FilterDatabase" localSheetId="6" hidden="1">'INFO CLIENTS'!$A$1:$AG$65</definedName>
    <definedName name="_xlnm._FilterDatabase" localSheetId="1" hidden="1">RECOUVREMENT!$A$1:$G$102</definedName>
    <definedName name="_xlnm._FilterDatabase" localSheetId="0" hidden="1">VENTES!$A$1:$AA$3742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742" i="1" l="1"/>
  <c r="Y3742" i="1" s="1"/>
  <c r="R3742" i="1"/>
  <c r="U3742" i="1" s="1"/>
  <c r="N3742" i="1"/>
  <c r="T3741" i="1"/>
  <c r="Y3741" i="1" s="1"/>
  <c r="R3741" i="1"/>
  <c r="U3741" i="1" s="1"/>
  <c r="N3741" i="1"/>
  <c r="Y3740" i="1"/>
  <c r="T3740" i="1"/>
  <c r="R3740" i="1"/>
  <c r="U3740" i="1" s="1"/>
  <c r="N3740" i="1"/>
  <c r="X3739" i="1"/>
  <c r="T3739" i="1"/>
  <c r="R3739" i="1"/>
  <c r="U3739" i="1" s="1"/>
  <c r="N3739" i="1"/>
  <c r="T3738" i="1"/>
  <c r="Y3738" i="1" s="1"/>
  <c r="R3738" i="1"/>
  <c r="N3738" i="1"/>
  <c r="T3737" i="1"/>
  <c r="Y3737" i="1" s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Y3734" i="1" s="1"/>
  <c r="R3734" i="1"/>
  <c r="N3734" i="1"/>
  <c r="T3733" i="1"/>
  <c r="Y3733" i="1" s="1"/>
  <c r="R3733" i="1"/>
  <c r="U3733" i="1" s="1"/>
  <c r="N3733" i="1"/>
  <c r="T3732" i="1"/>
  <c r="Y3732" i="1" s="1"/>
  <c r="R3732" i="1"/>
  <c r="N3732" i="1"/>
  <c r="T3731" i="1"/>
  <c r="Y3731" i="1" s="1"/>
  <c r="R3731" i="1"/>
  <c r="U3731" i="1" s="1"/>
  <c r="N3731" i="1"/>
  <c r="T3730" i="1"/>
  <c r="Y3730" i="1" s="1"/>
  <c r="R3730" i="1"/>
  <c r="N3730" i="1"/>
  <c r="T3729" i="1"/>
  <c r="Y3729" i="1" s="1"/>
  <c r="R3729" i="1"/>
  <c r="U3729" i="1" s="1"/>
  <c r="V3729" i="1" s="1"/>
  <c r="W3729" i="1" s="1"/>
  <c r="N3729" i="1"/>
  <c r="T3728" i="1"/>
  <c r="Y3728" i="1" s="1"/>
  <c r="R3728" i="1"/>
  <c r="U3728" i="1" s="1"/>
  <c r="V3728" i="1" s="1"/>
  <c r="N3728" i="1"/>
  <c r="T3727" i="1"/>
  <c r="Y3727" i="1" s="1"/>
  <c r="R3727" i="1"/>
  <c r="U3727" i="1" s="1"/>
  <c r="N3727" i="1"/>
  <c r="T3726" i="1"/>
  <c r="Y3726" i="1" s="1"/>
  <c r="R3726" i="1"/>
  <c r="N3726" i="1"/>
  <c r="T3725" i="1"/>
  <c r="Y3725" i="1" s="1"/>
  <c r="R3725" i="1"/>
  <c r="N3725" i="1"/>
  <c r="T3724" i="1"/>
  <c r="Y3724" i="1" s="1"/>
  <c r="R3724" i="1"/>
  <c r="U3724" i="1" s="1"/>
  <c r="N3724" i="1"/>
  <c r="T3723" i="1"/>
  <c r="Y3723" i="1" s="1"/>
  <c r="R3723" i="1"/>
  <c r="N3723" i="1"/>
  <c r="T3722" i="1"/>
  <c r="Y3722" i="1" s="1"/>
  <c r="R3722" i="1"/>
  <c r="N3722" i="1"/>
  <c r="T3721" i="1"/>
  <c r="Y3721" i="1" s="1"/>
  <c r="R3721" i="1"/>
  <c r="N3721" i="1"/>
  <c r="T3720" i="1"/>
  <c r="Y3720" i="1" s="1"/>
  <c r="R3720" i="1"/>
  <c r="N3720" i="1"/>
  <c r="T3719" i="1"/>
  <c r="Y3719" i="1" s="1"/>
  <c r="R3719" i="1"/>
  <c r="U3719" i="1" s="1"/>
  <c r="N3719" i="1"/>
  <c r="T3718" i="1"/>
  <c r="Y3718" i="1" s="1"/>
  <c r="R3718" i="1"/>
  <c r="U3718" i="1" s="1"/>
  <c r="N3718" i="1"/>
  <c r="T3717" i="1"/>
  <c r="Y3717" i="1" s="1"/>
  <c r="R3717" i="1"/>
  <c r="N3717" i="1"/>
  <c r="X3716" i="1"/>
  <c r="T3716" i="1"/>
  <c r="Y3716" i="1" s="1"/>
  <c r="R3716" i="1"/>
  <c r="U3716" i="1" s="1"/>
  <c r="N3716" i="1"/>
  <c r="T3715" i="1"/>
  <c r="U3715" i="1" s="1"/>
  <c r="R3715" i="1"/>
  <c r="N3715" i="1"/>
  <c r="T3714" i="1"/>
  <c r="Y3714" i="1" s="1"/>
  <c r="R3714" i="1"/>
  <c r="U3714" i="1" s="1"/>
  <c r="N3714" i="1"/>
  <c r="T3713" i="1"/>
  <c r="Y3713" i="1" s="1"/>
  <c r="R3713" i="1"/>
  <c r="U3713" i="1" s="1"/>
  <c r="N3713" i="1"/>
  <c r="T3712" i="1"/>
  <c r="Y3712" i="1" s="1"/>
  <c r="R3712" i="1"/>
  <c r="U3712" i="1" s="1"/>
  <c r="V3712" i="1" s="1"/>
  <c r="W3712" i="1" s="1"/>
  <c r="N3712" i="1"/>
  <c r="T3711" i="1"/>
  <c r="Y3711" i="1" s="1"/>
  <c r="R3711" i="1"/>
  <c r="N3711" i="1"/>
  <c r="T3710" i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U3707" i="1" s="1"/>
  <c r="N3707" i="1"/>
  <c r="T3706" i="1"/>
  <c r="Y3706" i="1" s="1"/>
  <c r="R3706" i="1"/>
  <c r="U3706" i="1" s="1"/>
  <c r="N3706" i="1"/>
  <c r="T3705" i="1"/>
  <c r="Y3705" i="1" s="1"/>
  <c r="R3705" i="1"/>
  <c r="N3705" i="1"/>
  <c r="X3704" i="1"/>
  <c r="T3704" i="1"/>
  <c r="R3704" i="1"/>
  <c r="U3704" i="1" s="1"/>
  <c r="N3704" i="1"/>
  <c r="U3703" i="1"/>
  <c r="V3703" i="1" s="1"/>
  <c r="W3703" i="1" s="1"/>
  <c r="T3703" i="1"/>
  <c r="Y3703" i="1" s="1"/>
  <c r="R3703" i="1"/>
  <c r="N3703" i="1"/>
  <c r="T3702" i="1"/>
  <c r="Y3702" i="1" s="1"/>
  <c r="R3702" i="1"/>
  <c r="U3702" i="1" s="1"/>
  <c r="N3702" i="1"/>
  <c r="T3701" i="1"/>
  <c r="Y3701" i="1" s="1"/>
  <c r="R3701" i="1"/>
  <c r="U3701" i="1" s="1"/>
  <c r="N3701" i="1"/>
  <c r="T3700" i="1"/>
  <c r="Y3700" i="1" s="1"/>
  <c r="R3700" i="1"/>
  <c r="U3700" i="1" s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U3696" i="1" s="1"/>
  <c r="N3696" i="1"/>
  <c r="T3695" i="1"/>
  <c r="Y3695" i="1" s="1"/>
  <c r="R3695" i="1"/>
  <c r="U3695" i="1" s="1"/>
  <c r="V3695" i="1" s="1"/>
  <c r="W3695" i="1" s="1"/>
  <c r="N3695" i="1"/>
  <c r="T3694" i="1"/>
  <c r="Y3694" i="1" s="1"/>
  <c r="R3694" i="1"/>
  <c r="N3694" i="1"/>
  <c r="X3693" i="1"/>
  <c r="T3693" i="1"/>
  <c r="R3693" i="1"/>
  <c r="U3693" i="1" s="1"/>
  <c r="V3693" i="1" s="1"/>
  <c r="N3693" i="1"/>
  <c r="T3692" i="1"/>
  <c r="Y3692" i="1" s="1"/>
  <c r="R3692" i="1"/>
  <c r="U3692" i="1" s="1"/>
  <c r="N3692" i="1"/>
  <c r="T3691" i="1"/>
  <c r="Y3691" i="1" s="1"/>
  <c r="R3691" i="1"/>
  <c r="N3691" i="1"/>
  <c r="T3690" i="1"/>
  <c r="Y3690" i="1" s="1"/>
  <c r="R3690" i="1"/>
  <c r="U3690" i="1" s="1"/>
  <c r="N3690" i="1"/>
  <c r="T3689" i="1"/>
  <c r="Y3689" i="1" s="1"/>
  <c r="R3689" i="1"/>
  <c r="U3689" i="1" s="1"/>
  <c r="N3689" i="1"/>
  <c r="T3688" i="1"/>
  <c r="Y3688" i="1" s="1"/>
  <c r="R3688" i="1"/>
  <c r="U3688" i="1" s="1"/>
  <c r="V3688" i="1" s="1"/>
  <c r="N3688" i="1"/>
  <c r="Y3687" i="1"/>
  <c r="T3687" i="1"/>
  <c r="R3687" i="1"/>
  <c r="U3687" i="1" s="1"/>
  <c r="V3687" i="1" s="1"/>
  <c r="W3687" i="1" s="1"/>
  <c r="N3687" i="1"/>
  <c r="T3686" i="1"/>
  <c r="Y3686" i="1" s="1"/>
  <c r="R3686" i="1"/>
  <c r="N3686" i="1"/>
  <c r="T3685" i="1"/>
  <c r="Y3685" i="1" s="1"/>
  <c r="R3685" i="1"/>
  <c r="U3685" i="1" s="1"/>
  <c r="V3685" i="1" s="1"/>
  <c r="N3685" i="1"/>
  <c r="T3684" i="1"/>
  <c r="Y3684" i="1" s="1"/>
  <c r="R3684" i="1"/>
  <c r="U3684" i="1" s="1"/>
  <c r="N3684" i="1"/>
  <c r="T3683" i="1"/>
  <c r="Y3683" i="1" s="1"/>
  <c r="R3683" i="1"/>
  <c r="N3683" i="1"/>
  <c r="T3682" i="1"/>
  <c r="Y3682" i="1" s="1"/>
  <c r="R3682" i="1"/>
  <c r="N3682" i="1"/>
  <c r="T3681" i="1"/>
  <c r="Y3681" i="1" s="1"/>
  <c r="R3681" i="1"/>
  <c r="U3681" i="1" s="1"/>
  <c r="N3681" i="1"/>
  <c r="T3680" i="1"/>
  <c r="Y3680" i="1" s="1"/>
  <c r="R3680" i="1"/>
  <c r="U3680" i="1" s="1"/>
  <c r="V3680" i="1" s="1"/>
  <c r="N3680" i="1"/>
  <c r="T3679" i="1"/>
  <c r="Y3679" i="1" s="1"/>
  <c r="R3679" i="1"/>
  <c r="U3679" i="1" s="1"/>
  <c r="V3679" i="1" s="1"/>
  <c r="W3679" i="1" s="1"/>
  <c r="N3679" i="1"/>
  <c r="Y3678" i="1"/>
  <c r="T3678" i="1"/>
  <c r="R3678" i="1"/>
  <c r="U3678" i="1" s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V3674" i="1"/>
  <c r="T3674" i="1"/>
  <c r="Y3674" i="1" s="1"/>
  <c r="R3674" i="1"/>
  <c r="U3674" i="1" s="1"/>
  <c r="N3674" i="1"/>
  <c r="T3673" i="1"/>
  <c r="Y3673" i="1" s="1"/>
  <c r="R3673" i="1"/>
  <c r="N3673" i="1"/>
  <c r="X3672" i="1"/>
  <c r="U3672" i="1"/>
  <c r="T3672" i="1"/>
  <c r="R3672" i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R3666" i="1"/>
  <c r="N3666" i="1"/>
  <c r="T3665" i="1"/>
  <c r="Y3665" i="1" s="1"/>
  <c r="R3665" i="1"/>
  <c r="N3665" i="1"/>
  <c r="T3664" i="1"/>
  <c r="Y3664" i="1" s="1"/>
  <c r="R3664" i="1"/>
  <c r="N3664" i="1"/>
  <c r="T3663" i="1"/>
  <c r="Y3663" i="1" s="1"/>
  <c r="R3663" i="1"/>
  <c r="U3663" i="1" s="1"/>
  <c r="N3663" i="1"/>
  <c r="T3662" i="1"/>
  <c r="Y3662" i="1" s="1"/>
  <c r="R3662" i="1"/>
  <c r="U3662" i="1" s="1"/>
  <c r="N3662" i="1"/>
  <c r="T3661" i="1"/>
  <c r="Y3661" i="1" s="1"/>
  <c r="R3661" i="1"/>
  <c r="N3661" i="1"/>
  <c r="T3660" i="1"/>
  <c r="Y3660" i="1" s="1"/>
  <c r="R3660" i="1"/>
  <c r="U3660" i="1" s="1"/>
  <c r="N3660" i="1"/>
  <c r="Y3659" i="1"/>
  <c r="U3659" i="1"/>
  <c r="V3659" i="1" s="1"/>
  <c r="T3659" i="1"/>
  <c r="R3659" i="1"/>
  <c r="N3659" i="1"/>
  <c r="T3658" i="1"/>
  <c r="Y3658" i="1" s="1"/>
  <c r="R3658" i="1"/>
  <c r="N3658" i="1"/>
  <c r="Y3657" i="1"/>
  <c r="T3657" i="1"/>
  <c r="R3657" i="1"/>
  <c r="N3657" i="1"/>
  <c r="T3656" i="1"/>
  <c r="Y3656" i="1" s="1"/>
  <c r="R3656" i="1"/>
  <c r="U3656" i="1" s="1"/>
  <c r="N3656" i="1"/>
  <c r="T3655" i="1"/>
  <c r="Y3655" i="1" s="1"/>
  <c r="R3655" i="1"/>
  <c r="N3655" i="1"/>
  <c r="X3654" i="1"/>
  <c r="T3654" i="1"/>
  <c r="Y3654" i="1" s="1"/>
  <c r="R3654" i="1"/>
  <c r="U3654" i="1" s="1"/>
  <c r="N3654" i="1"/>
  <c r="Y3653" i="1"/>
  <c r="T3653" i="1"/>
  <c r="R3653" i="1"/>
  <c r="U3653" i="1" s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U3649" i="1" s="1"/>
  <c r="V3649" i="1" s="1"/>
  <c r="W3649" i="1" s="1"/>
  <c r="N3649" i="1"/>
  <c r="T3648" i="1"/>
  <c r="Y3648" i="1" s="1"/>
  <c r="R3648" i="1"/>
  <c r="N3648" i="1"/>
  <c r="T3647" i="1"/>
  <c r="Y3647" i="1" s="1"/>
  <c r="R3647" i="1"/>
  <c r="U3647" i="1" s="1"/>
  <c r="N3647" i="1"/>
  <c r="T3646" i="1"/>
  <c r="Y3646" i="1" s="1"/>
  <c r="R3646" i="1"/>
  <c r="N3646" i="1"/>
  <c r="T3645" i="1"/>
  <c r="R3645" i="1"/>
  <c r="N3645" i="1"/>
  <c r="T3644" i="1"/>
  <c r="Y3644" i="1" s="1"/>
  <c r="R3644" i="1"/>
  <c r="N3644" i="1"/>
  <c r="Y3643" i="1"/>
  <c r="T3643" i="1"/>
  <c r="R3643" i="1"/>
  <c r="U3643" i="1" s="1"/>
  <c r="N3643" i="1"/>
  <c r="T3642" i="1"/>
  <c r="Y3642" i="1" s="1"/>
  <c r="R3642" i="1"/>
  <c r="N3642" i="1"/>
  <c r="T3641" i="1"/>
  <c r="Y3641" i="1" s="1"/>
  <c r="R3641" i="1"/>
  <c r="U3641" i="1" s="1"/>
  <c r="V3641" i="1" s="1"/>
  <c r="W3641" i="1" s="1"/>
  <c r="N3641" i="1"/>
  <c r="T3640" i="1"/>
  <c r="Y3640" i="1" s="1"/>
  <c r="R3640" i="1"/>
  <c r="N3640" i="1"/>
  <c r="T3639" i="1"/>
  <c r="Y3639" i="1" s="1"/>
  <c r="R3639" i="1"/>
  <c r="U3639" i="1" s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N3636" i="1"/>
  <c r="T3635" i="1"/>
  <c r="Y3635" i="1" s="1"/>
  <c r="R3635" i="1"/>
  <c r="U3635" i="1" s="1"/>
  <c r="N3635" i="1"/>
  <c r="T3634" i="1"/>
  <c r="Y3634" i="1" s="1"/>
  <c r="R3634" i="1"/>
  <c r="N3634" i="1"/>
  <c r="Y3633" i="1"/>
  <c r="U3633" i="1"/>
  <c r="V3633" i="1" s="1"/>
  <c r="W3633" i="1" s="1"/>
  <c r="T3633" i="1"/>
  <c r="R3633" i="1"/>
  <c r="N3633" i="1"/>
  <c r="T3632" i="1"/>
  <c r="Y3632" i="1" s="1"/>
  <c r="R3632" i="1"/>
  <c r="N3632" i="1"/>
  <c r="X3631" i="1"/>
  <c r="T3631" i="1"/>
  <c r="R3631" i="1"/>
  <c r="N3631" i="1"/>
  <c r="T3630" i="1"/>
  <c r="Y3630" i="1" s="1"/>
  <c r="R3630" i="1"/>
  <c r="N3630" i="1"/>
  <c r="T3629" i="1"/>
  <c r="Y3629" i="1" s="1"/>
  <c r="R3629" i="1"/>
  <c r="N3629" i="1"/>
  <c r="Y3628" i="1"/>
  <c r="T3628" i="1"/>
  <c r="R3628" i="1"/>
  <c r="N3628" i="1"/>
  <c r="T3627" i="1"/>
  <c r="Y3627" i="1" s="1"/>
  <c r="R3627" i="1"/>
  <c r="U3627" i="1" s="1"/>
  <c r="N3627" i="1"/>
  <c r="T3626" i="1"/>
  <c r="Y3626" i="1" s="1"/>
  <c r="R3626" i="1"/>
  <c r="N3626" i="1"/>
  <c r="T3625" i="1"/>
  <c r="Y3625" i="1" s="1"/>
  <c r="R3625" i="1"/>
  <c r="U3625" i="1" s="1"/>
  <c r="N3625" i="1"/>
  <c r="T3624" i="1"/>
  <c r="R3624" i="1"/>
  <c r="N3624" i="1"/>
  <c r="T3623" i="1"/>
  <c r="Y3623" i="1" s="1"/>
  <c r="R3623" i="1"/>
  <c r="N3623" i="1"/>
  <c r="T3622" i="1"/>
  <c r="Y3622" i="1" s="1"/>
  <c r="R3622" i="1"/>
  <c r="U3622" i="1" s="1"/>
  <c r="N3622" i="1"/>
  <c r="T3621" i="1"/>
  <c r="Y3621" i="1" s="1"/>
  <c r="R3621" i="1"/>
  <c r="N3621" i="1"/>
  <c r="Y3620" i="1"/>
  <c r="T3620" i="1"/>
  <c r="R3620" i="1"/>
  <c r="U3620" i="1" s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U3617" i="1" s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U3613" i="1" s="1"/>
  <c r="N3613" i="1"/>
  <c r="T3612" i="1"/>
  <c r="Y3612" i="1" s="1"/>
  <c r="R3612" i="1"/>
  <c r="U3612" i="1" s="1"/>
  <c r="N3612" i="1"/>
  <c r="T3611" i="1"/>
  <c r="Y3611" i="1" s="1"/>
  <c r="R3611" i="1"/>
  <c r="N3611" i="1"/>
  <c r="T3610" i="1"/>
  <c r="Y3610" i="1" s="1"/>
  <c r="R3610" i="1"/>
  <c r="N3610" i="1"/>
  <c r="X3609" i="1"/>
  <c r="T3609" i="1"/>
  <c r="R3609" i="1"/>
  <c r="U3609" i="1" s="1"/>
  <c r="V3609" i="1" s="1"/>
  <c r="W3609" i="1" s="1"/>
  <c r="N3609" i="1"/>
  <c r="X3608" i="1"/>
  <c r="T3608" i="1"/>
  <c r="R3608" i="1"/>
  <c r="N3608" i="1"/>
  <c r="T3607" i="1"/>
  <c r="Y3607" i="1" s="1"/>
  <c r="R3607" i="1"/>
  <c r="U3607" i="1" s="1"/>
  <c r="V3607" i="1" s="1"/>
  <c r="N3607" i="1"/>
  <c r="T3606" i="1"/>
  <c r="Y3606" i="1" s="1"/>
  <c r="R3606" i="1"/>
  <c r="N3606" i="1"/>
  <c r="T3605" i="1"/>
  <c r="Y3605" i="1" s="1"/>
  <c r="R3605" i="1"/>
  <c r="N3605" i="1"/>
  <c r="X3604" i="1"/>
  <c r="T3604" i="1"/>
  <c r="Y3604" i="1" s="1"/>
  <c r="R3604" i="1"/>
  <c r="U3604" i="1" s="1"/>
  <c r="N3604" i="1"/>
  <c r="X3603" i="1"/>
  <c r="T3603" i="1"/>
  <c r="R3603" i="1"/>
  <c r="U3603" i="1" s="1"/>
  <c r="N3603" i="1"/>
  <c r="T3602" i="1"/>
  <c r="Y3602" i="1" s="1"/>
  <c r="R3602" i="1"/>
  <c r="U3602" i="1" s="1"/>
  <c r="N3602" i="1"/>
  <c r="X3601" i="1"/>
  <c r="T3601" i="1"/>
  <c r="R3601" i="1"/>
  <c r="U3601" i="1" s="1"/>
  <c r="N3601" i="1"/>
  <c r="X3600" i="1"/>
  <c r="T3600" i="1"/>
  <c r="Y3600" i="1" s="1"/>
  <c r="R3600" i="1"/>
  <c r="N3600" i="1"/>
  <c r="T3599" i="1"/>
  <c r="Y3599" i="1" s="1"/>
  <c r="R3599" i="1"/>
  <c r="N3599" i="1"/>
  <c r="X3598" i="1"/>
  <c r="T3598" i="1"/>
  <c r="Y3598" i="1" s="1"/>
  <c r="R3598" i="1"/>
  <c r="N3598" i="1"/>
  <c r="T3597" i="1"/>
  <c r="Y3597" i="1" s="1"/>
  <c r="R3597" i="1"/>
  <c r="N3597" i="1"/>
  <c r="T3596" i="1"/>
  <c r="Y3596" i="1" s="1"/>
  <c r="R3596" i="1"/>
  <c r="U3596" i="1" s="1"/>
  <c r="V3596" i="1" s="1"/>
  <c r="N3596" i="1"/>
  <c r="T3595" i="1"/>
  <c r="Y3595" i="1" s="1"/>
  <c r="R3595" i="1"/>
  <c r="U3595" i="1" s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U3588" i="1" s="1"/>
  <c r="V3588" i="1" s="1"/>
  <c r="N3588" i="1"/>
  <c r="T3587" i="1"/>
  <c r="Y3587" i="1" s="1"/>
  <c r="R3587" i="1"/>
  <c r="U3587" i="1" s="1"/>
  <c r="N3587" i="1"/>
  <c r="T3586" i="1"/>
  <c r="Y3586" i="1" s="1"/>
  <c r="R3586" i="1"/>
  <c r="U3586" i="1" s="1"/>
  <c r="V3586" i="1" s="1"/>
  <c r="W3586" i="1" s="1"/>
  <c r="N3586" i="1"/>
  <c r="X3585" i="1"/>
  <c r="T3585" i="1"/>
  <c r="R3585" i="1"/>
  <c r="U3585" i="1" s="1"/>
  <c r="V3585" i="1" s="1"/>
  <c r="W3585" i="1" s="1"/>
  <c r="N3585" i="1"/>
  <c r="T3584" i="1"/>
  <c r="U3584" i="1" s="1"/>
  <c r="V3584" i="1" s="1"/>
  <c r="R3584" i="1"/>
  <c r="N3584" i="1"/>
  <c r="T3583" i="1"/>
  <c r="R3583" i="1"/>
  <c r="N3583" i="1"/>
  <c r="T3582" i="1"/>
  <c r="Y3582" i="1" s="1"/>
  <c r="R3582" i="1"/>
  <c r="U3582" i="1" s="1"/>
  <c r="V3582" i="1" s="1"/>
  <c r="W3582" i="1" s="1"/>
  <c r="N3582" i="1"/>
  <c r="T3581" i="1"/>
  <c r="Y3581" i="1" s="1"/>
  <c r="R3581" i="1"/>
  <c r="U3581" i="1" s="1"/>
  <c r="N3581" i="1"/>
  <c r="T3580" i="1"/>
  <c r="Y3580" i="1" s="1"/>
  <c r="R3580" i="1"/>
  <c r="U3580" i="1" s="1"/>
  <c r="N3580" i="1"/>
  <c r="T3579" i="1"/>
  <c r="Y3579" i="1" s="1"/>
  <c r="R3579" i="1"/>
  <c r="N3579" i="1"/>
  <c r="T3578" i="1"/>
  <c r="Y3578" i="1" s="1"/>
  <c r="R3578" i="1"/>
  <c r="N3578" i="1"/>
  <c r="T3577" i="1"/>
  <c r="Y3577" i="1" s="1"/>
  <c r="R3577" i="1"/>
  <c r="U3577" i="1" s="1"/>
  <c r="V3577" i="1" s="1"/>
  <c r="W3577" i="1" s="1"/>
  <c r="N3577" i="1"/>
  <c r="T3576" i="1"/>
  <c r="Y3576" i="1" s="1"/>
  <c r="R3576" i="1"/>
  <c r="U3576" i="1" s="1"/>
  <c r="N3576" i="1"/>
  <c r="T3575" i="1"/>
  <c r="Y3575" i="1" s="1"/>
  <c r="R3575" i="1"/>
  <c r="N3575" i="1"/>
  <c r="T3574" i="1"/>
  <c r="Y3574" i="1" s="1"/>
  <c r="R3574" i="1"/>
  <c r="N3574" i="1"/>
  <c r="T3573" i="1"/>
  <c r="Y3573" i="1" s="1"/>
  <c r="R3573" i="1"/>
  <c r="U3573" i="1" s="1"/>
  <c r="V3573" i="1" s="1"/>
  <c r="N3573" i="1"/>
  <c r="X3572" i="1"/>
  <c r="T3572" i="1"/>
  <c r="R3572" i="1"/>
  <c r="U3572" i="1" s="1"/>
  <c r="V3572" i="1" s="1"/>
  <c r="N3572" i="1"/>
  <c r="T3571" i="1"/>
  <c r="R3571" i="1"/>
  <c r="N3571" i="1"/>
  <c r="T3570" i="1"/>
  <c r="Y3570" i="1" s="1"/>
  <c r="R3570" i="1"/>
  <c r="N3570" i="1"/>
  <c r="T3569" i="1"/>
  <c r="Y3569" i="1" s="1"/>
  <c r="R3569" i="1"/>
  <c r="N3569" i="1"/>
  <c r="T3568" i="1"/>
  <c r="Y3568" i="1" s="1"/>
  <c r="R3568" i="1"/>
  <c r="N3568" i="1"/>
  <c r="Y3567" i="1"/>
  <c r="U3567" i="1"/>
  <c r="V3567" i="1" s="1"/>
  <c r="T3567" i="1"/>
  <c r="R3567" i="1"/>
  <c r="N3567" i="1"/>
  <c r="T3566" i="1"/>
  <c r="Y3566" i="1" s="1"/>
  <c r="R3566" i="1"/>
  <c r="U3566" i="1" s="1"/>
  <c r="N3566" i="1"/>
  <c r="T3565" i="1"/>
  <c r="Y3565" i="1" s="1"/>
  <c r="R3565" i="1"/>
  <c r="N3565" i="1"/>
  <c r="T3564" i="1"/>
  <c r="Y3564" i="1" s="1"/>
  <c r="R3564" i="1"/>
  <c r="U3564" i="1" s="1"/>
  <c r="N3564" i="1"/>
  <c r="X3563" i="1"/>
  <c r="T3563" i="1"/>
  <c r="R3563" i="1"/>
  <c r="N3563" i="1"/>
  <c r="X3562" i="1"/>
  <c r="T3562" i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U3558" i="1" s="1"/>
  <c r="V3558" i="1" s="1"/>
  <c r="N3558" i="1"/>
  <c r="T3557" i="1"/>
  <c r="Y3557" i="1" s="1"/>
  <c r="R3557" i="1"/>
  <c r="N3557" i="1"/>
  <c r="T3556" i="1"/>
  <c r="Y3556" i="1" s="1"/>
  <c r="R3556" i="1"/>
  <c r="N3556" i="1"/>
  <c r="T3555" i="1"/>
  <c r="Y3555" i="1" s="1"/>
  <c r="R3555" i="1"/>
  <c r="U3555" i="1" s="1"/>
  <c r="V3555" i="1" s="1"/>
  <c r="W3555" i="1" s="1"/>
  <c r="N3555" i="1"/>
  <c r="T3554" i="1"/>
  <c r="R3554" i="1"/>
  <c r="N3554" i="1"/>
  <c r="T3553" i="1"/>
  <c r="Y3553" i="1" s="1"/>
  <c r="R3553" i="1"/>
  <c r="N3553" i="1"/>
  <c r="T3552" i="1"/>
  <c r="Y3552" i="1" s="1"/>
  <c r="R3552" i="1"/>
  <c r="U3552" i="1" s="1"/>
  <c r="N3552" i="1"/>
  <c r="Y3551" i="1"/>
  <c r="W3551" i="1"/>
  <c r="T3551" i="1"/>
  <c r="R3551" i="1"/>
  <c r="U3551" i="1" s="1"/>
  <c r="V3551" i="1" s="1"/>
  <c r="N3551" i="1"/>
  <c r="T3550" i="1"/>
  <c r="Y3550" i="1" s="1"/>
  <c r="R3550" i="1"/>
  <c r="N3550" i="1"/>
  <c r="T3549" i="1"/>
  <c r="Y3549" i="1" s="1"/>
  <c r="R3549" i="1"/>
  <c r="N3549" i="1"/>
  <c r="T3548" i="1"/>
  <c r="R3548" i="1"/>
  <c r="N3548" i="1"/>
  <c r="X3547" i="1"/>
  <c r="T3547" i="1"/>
  <c r="R3547" i="1"/>
  <c r="N3547" i="1"/>
  <c r="T3546" i="1"/>
  <c r="Y3546" i="1" s="1"/>
  <c r="R3546" i="1"/>
  <c r="U3546" i="1" s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U3543" i="1" s="1"/>
  <c r="N3543" i="1"/>
  <c r="T3542" i="1"/>
  <c r="Y3542" i="1" s="1"/>
  <c r="R3542" i="1"/>
  <c r="U3542" i="1" s="1"/>
  <c r="N3542" i="1"/>
  <c r="T3541" i="1"/>
  <c r="Y3541" i="1" s="1"/>
  <c r="R3541" i="1"/>
  <c r="U3541" i="1" s="1"/>
  <c r="N3541" i="1"/>
  <c r="T3540" i="1"/>
  <c r="Y3540" i="1" s="1"/>
  <c r="R3540" i="1"/>
  <c r="U3540" i="1" s="1"/>
  <c r="V3540" i="1" s="1"/>
  <c r="N3540" i="1"/>
  <c r="T3539" i="1"/>
  <c r="U3539" i="1" s="1"/>
  <c r="V3539" i="1" s="1"/>
  <c r="R3539" i="1"/>
  <c r="N3539" i="1"/>
  <c r="T3538" i="1"/>
  <c r="Y3538" i="1" s="1"/>
  <c r="R3538" i="1"/>
  <c r="U3538" i="1" s="1"/>
  <c r="N3538" i="1"/>
  <c r="T3537" i="1"/>
  <c r="Y3537" i="1" s="1"/>
  <c r="R3537" i="1"/>
  <c r="N3537" i="1"/>
  <c r="X3536" i="1"/>
  <c r="T3536" i="1"/>
  <c r="R3536" i="1"/>
  <c r="U3536" i="1" s="1"/>
  <c r="N3536" i="1"/>
  <c r="T3535" i="1"/>
  <c r="Y3535" i="1" s="1"/>
  <c r="R3535" i="1"/>
  <c r="U3535" i="1" s="1"/>
  <c r="N3535" i="1"/>
  <c r="X3534" i="1"/>
  <c r="T3534" i="1"/>
  <c r="Y3534" i="1" s="1"/>
  <c r="R3534" i="1"/>
  <c r="N3534" i="1"/>
  <c r="X3533" i="1"/>
  <c r="T3533" i="1"/>
  <c r="R3533" i="1"/>
  <c r="U3533" i="1" s="1"/>
  <c r="N3533" i="1"/>
  <c r="T3532" i="1"/>
  <c r="Y3532" i="1" s="1"/>
  <c r="R3532" i="1"/>
  <c r="U3532" i="1" s="1"/>
  <c r="N3532" i="1"/>
  <c r="T3531" i="1"/>
  <c r="Y3531" i="1" s="1"/>
  <c r="R3531" i="1"/>
  <c r="N3531" i="1"/>
  <c r="Y3530" i="1"/>
  <c r="T3530" i="1"/>
  <c r="R3530" i="1"/>
  <c r="N3530" i="1"/>
  <c r="T3529" i="1"/>
  <c r="Y3529" i="1" s="1"/>
  <c r="R3529" i="1"/>
  <c r="U3529" i="1" s="1"/>
  <c r="N3529" i="1"/>
  <c r="X3528" i="1"/>
  <c r="T3528" i="1"/>
  <c r="R3528" i="1"/>
  <c r="U3528" i="1" s="1"/>
  <c r="V3528" i="1" s="1"/>
  <c r="W3528" i="1" s="1"/>
  <c r="N3528" i="1"/>
  <c r="T3527" i="1"/>
  <c r="R3527" i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U3524" i="1" s="1"/>
  <c r="N3524" i="1"/>
  <c r="T3523" i="1"/>
  <c r="Y3523" i="1" s="1"/>
  <c r="R3523" i="1"/>
  <c r="U3523" i="1" s="1"/>
  <c r="N3523" i="1"/>
  <c r="T3522" i="1"/>
  <c r="Y3522" i="1" s="1"/>
  <c r="R3522" i="1"/>
  <c r="U3522" i="1" s="1"/>
  <c r="N3522" i="1"/>
  <c r="T3521" i="1"/>
  <c r="Y3521" i="1" s="1"/>
  <c r="R3521" i="1"/>
  <c r="N3521" i="1"/>
  <c r="T3520" i="1"/>
  <c r="Y3520" i="1" s="1"/>
  <c r="R3520" i="1"/>
  <c r="N3520" i="1"/>
  <c r="T3519" i="1"/>
  <c r="U3519" i="1" s="1"/>
  <c r="V3519" i="1" s="1"/>
  <c r="W3519" i="1" s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U3515" i="1" s="1"/>
  <c r="N3515" i="1"/>
  <c r="Y3514" i="1"/>
  <c r="T3514" i="1"/>
  <c r="R3514" i="1"/>
  <c r="U3514" i="1" s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U3510" i="1" s="1"/>
  <c r="N3510" i="1"/>
  <c r="T3509" i="1"/>
  <c r="Y3509" i="1" s="1"/>
  <c r="R3509" i="1"/>
  <c r="U3509" i="1" s="1"/>
  <c r="V3509" i="1" s="1"/>
  <c r="N3509" i="1"/>
  <c r="T3508" i="1"/>
  <c r="U3508" i="1" s="1"/>
  <c r="R3508" i="1"/>
  <c r="N3508" i="1"/>
  <c r="T3507" i="1"/>
  <c r="Y3507" i="1" s="1"/>
  <c r="R3507" i="1"/>
  <c r="N3507" i="1"/>
  <c r="T3506" i="1"/>
  <c r="Y3506" i="1" s="1"/>
  <c r="R3506" i="1"/>
  <c r="U3506" i="1" s="1"/>
  <c r="N3506" i="1"/>
  <c r="T3505" i="1"/>
  <c r="R3505" i="1"/>
  <c r="N3505" i="1"/>
  <c r="T3504" i="1"/>
  <c r="Y3504" i="1" s="1"/>
  <c r="R3504" i="1"/>
  <c r="U3504" i="1" s="1"/>
  <c r="N3504" i="1"/>
  <c r="Y3503" i="1"/>
  <c r="U3503" i="1"/>
  <c r="T3503" i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Y3500" i="1" s="1"/>
  <c r="R3500" i="1"/>
  <c r="N3500" i="1"/>
  <c r="T3499" i="1"/>
  <c r="Y3499" i="1" s="1"/>
  <c r="R3499" i="1"/>
  <c r="U3499" i="1" s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U3493" i="1" s="1"/>
  <c r="V3493" i="1" s="1"/>
  <c r="N3493" i="1"/>
  <c r="T3492" i="1"/>
  <c r="Y3492" i="1" s="1"/>
  <c r="R3492" i="1"/>
  <c r="U3492" i="1" s="1"/>
  <c r="N3492" i="1"/>
  <c r="X3491" i="1"/>
  <c r="T3491" i="1"/>
  <c r="R3491" i="1"/>
  <c r="N3491" i="1"/>
  <c r="X3490" i="1"/>
  <c r="T3490" i="1"/>
  <c r="Y3490" i="1" s="1"/>
  <c r="R3490" i="1"/>
  <c r="N3490" i="1"/>
  <c r="T3489" i="1"/>
  <c r="Y3489" i="1" s="1"/>
  <c r="R3489" i="1"/>
  <c r="U3489" i="1" s="1"/>
  <c r="N3489" i="1"/>
  <c r="T3488" i="1"/>
  <c r="Y3488" i="1" s="1"/>
  <c r="R3488" i="1"/>
  <c r="U3488" i="1" s="1"/>
  <c r="N3488" i="1"/>
  <c r="Y3487" i="1"/>
  <c r="T3487" i="1"/>
  <c r="R3487" i="1"/>
  <c r="U3487" i="1" s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U3484" i="1" s="1"/>
  <c r="N3484" i="1"/>
  <c r="T3483" i="1"/>
  <c r="Y3483" i="1" s="1"/>
  <c r="R3483" i="1"/>
  <c r="N3483" i="1"/>
  <c r="Y3482" i="1"/>
  <c r="T3482" i="1"/>
  <c r="R3482" i="1"/>
  <c r="U3482" i="1" s="1"/>
  <c r="N3482" i="1"/>
  <c r="T3481" i="1"/>
  <c r="R3481" i="1"/>
  <c r="N3481" i="1"/>
  <c r="T3480" i="1"/>
  <c r="Y3480" i="1" s="1"/>
  <c r="R3480" i="1"/>
  <c r="N3480" i="1"/>
  <c r="T3479" i="1"/>
  <c r="Y3479" i="1" s="1"/>
  <c r="R3479" i="1"/>
  <c r="U3479" i="1" s="1"/>
  <c r="N3479" i="1"/>
  <c r="T3478" i="1"/>
  <c r="Y3478" i="1" s="1"/>
  <c r="R3478" i="1"/>
  <c r="U3478" i="1" s="1"/>
  <c r="N3478" i="1"/>
  <c r="T3477" i="1"/>
  <c r="Y3477" i="1" s="1"/>
  <c r="R3477" i="1"/>
  <c r="U3477" i="1" s="1"/>
  <c r="V3477" i="1" s="1"/>
  <c r="N3477" i="1"/>
  <c r="T3476" i="1"/>
  <c r="Y3476" i="1" s="1"/>
  <c r="R3476" i="1"/>
  <c r="U3476" i="1" s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R3472" i="1"/>
  <c r="N3472" i="1"/>
  <c r="T3471" i="1"/>
  <c r="R3471" i="1"/>
  <c r="N3471" i="1"/>
  <c r="T3470" i="1"/>
  <c r="Y3470" i="1" s="1"/>
  <c r="R3470" i="1"/>
  <c r="N3470" i="1"/>
  <c r="Y3469" i="1"/>
  <c r="T3469" i="1"/>
  <c r="R3469" i="1"/>
  <c r="U3469" i="1" s="1"/>
  <c r="N3469" i="1"/>
  <c r="T3468" i="1"/>
  <c r="R3468" i="1"/>
  <c r="N3468" i="1"/>
  <c r="T3467" i="1"/>
  <c r="Y3467" i="1" s="1"/>
  <c r="R3467" i="1"/>
  <c r="N3467" i="1"/>
  <c r="T3466" i="1"/>
  <c r="Y3466" i="1" s="1"/>
  <c r="R3466" i="1"/>
  <c r="U3466" i="1" s="1"/>
  <c r="N3466" i="1"/>
  <c r="T3465" i="1"/>
  <c r="Y3465" i="1" s="1"/>
  <c r="R3465" i="1"/>
  <c r="N3465" i="1"/>
  <c r="Y3464" i="1"/>
  <c r="T3464" i="1"/>
  <c r="R3464" i="1"/>
  <c r="U3464" i="1" s="1"/>
  <c r="N3464" i="1"/>
  <c r="T3463" i="1"/>
  <c r="Y3463" i="1" s="1"/>
  <c r="R3463" i="1"/>
  <c r="N3463" i="1"/>
  <c r="T3462" i="1"/>
  <c r="Y3462" i="1" s="1"/>
  <c r="R3462" i="1"/>
  <c r="N3462" i="1"/>
  <c r="T3461" i="1"/>
  <c r="Y3461" i="1" s="1"/>
  <c r="R3461" i="1"/>
  <c r="U3461" i="1" s="1"/>
  <c r="V3461" i="1" s="1"/>
  <c r="N3461" i="1"/>
  <c r="T3460" i="1"/>
  <c r="Y3460" i="1" s="1"/>
  <c r="R3460" i="1"/>
  <c r="N3460" i="1"/>
  <c r="T3459" i="1"/>
  <c r="Y3459" i="1" s="1"/>
  <c r="R3459" i="1"/>
  <c r="N3459" i="1"/>
  <c r="T3458" i="1"/>
  <c r="R3458" i="1"/>
  <c r="N3458" i="1"/>
  <c r="T3457" i="1"/>
  <c r="Y3457" i="1" s="1"/>
  <c r="R3457" i="1"/>
  <c r="N3457" i="1"/>
  <c r="T3456" i="1"/>
  <c r="Y3456" i="1" s="1"/>
  <c r="R3456" i="1"/>
  <c r="U3456" i="1" s="1"/>
  <c r="N3456" i="1"/>
  <c r="X3455" i="1"/>
  <c r="T3455" i="1"/>
  <c r="R3455" i="1"/>
  <c r="U3455" i="1" s="1"/>
  <c r="N3455" i="1"/>
  <c r="T3454" i="1"/>
  <c r="R3454" i="1"/>
  <c r="N3454" i="1"/>
  <c r="X3453" i="1"/>
  <c r="T3453" i="1"/>
  <c r="R3453" i="1"/>
  <c r="N3453" i="1"/>
  <c r="T3452" i="1"/>
  <c r="Y3452" i="1" s="1"/>
  <c r="R3452" i="1"/>
  <c r="U3452" i="1" s="1"/>
  <c r="V3452" i="1" s="1"/>
  <c r="N3452" i="1"/>
  <c r="X3451" i="1"/>
  <c r="T3451" i="1"/>
  <c r="Y3451" i="1" s="1"/>
  <c r="R3451" i="1"/>
  <c r="N3451" i="1"/>
  <c r="T3450" i="1"/>
  <c r="Y3450" i="1" s="1"/>
  <c r="R3450" i="1"/>
  <c r="U3450" i="1" s="1"/>
  <c r="V3450" i="1" s="1"/>
  <c r="W3450" i="1" s="1"/>
  <c r="N3450" i="1"/>
  <c r="T3449" i="1"/>
  <c r="Y3449" i="1" s="1"/>
  <c r="R3449" i="1"/>
  <c r="U3449" i="1" s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U3445" i="1" s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U3442" i="1" s="1"/>
  <c r="N3442" i="1"/>
  <c r="T3441" i="1"/>
  <c r="Y3441" i="1" s="1"/>
  <c r="R3441" i="1"/>
  <c r="U3441" i="1" s="1"/>
  <c r="N3441" i="1"/>
  <c r="T3440" i="1"/>
  <c r="Y3440" i="1" s="1"/>
  <c r="R3440" i="1"/>
  <c r="U3440" i="1" s="1"/>
  <c r="N3440" i="1"/>
  <c r="T3439" i="1"/>
  <c r="R3439" i="1"/>
  <c r="N3439" i="1"/>
  <c r="T3438" i="1"/>
  <c r="Y3438" i="1" s="1"/>
  <c r="R3438" i="1"/>
  <c r="N3438" i="1"/>
  <c r="T3437" i="1"/>
  <c r="Y3437" i="1" s="1"/>
  <c r="R3437" i="1"/>
  <c r="U3437" i="1" s="1"/>
  <c r="N3437" i="1"/>
  <c r="T3436" i="1"/>
  <c r="R3436" i="1"/>
  <c r="N3436" i="1"/>
  <c r="X3435" i="1"/>
  <c r="T3435" i="1"/>
  <c r="R3435" i="1"/>
  <c r="N3435" i="1"/>
  <c r="T3434" i="1"/>
  <c r="Y3434" i="1" s="1"/>
  <c r="R3434" i="1"/>
  <c r="U3434" i="1" s="1"/>
  <c r="N3434" i="1"/>
  <c r="X3433" i="1"/>
  <c r="T3433" i="1"/>
  <c r="R3433" i="1"/>
  <c r="N3433" i="1"/>
  <c r="T3432" i="1"/>
  <c r="Y3432" i="1" s="1"/>
  <c r="R3432" i="1"/>
  <c r="U3432" i="1" s="1"/>
  <c r="N3432" i="1"/>
  <c r="X3431" i="1"/>
  <c r="T3431" i="1"/>
  <c r="R3431" i="1"/>
  <c r="U3431" i="1" s="1"/>
  <c r="N3431" i="1"/>
  <c r="T3430" i="1"/>
  <c r="Y3430" i="1" s="1"/>
  <c r="R3430" i="1"/>
  <c r="N3430" i="1"/>
  <c r="X3429" i="1"/>
  <c r="T3429" i="1"/>
  <c r="Y3429" i="1" s="1"/>
  <c r="R3429" i="1"/>
  <c r="U3429" i="1" s="1"/>
  <c r="N3429" i="1"/>
  <c r="T3428" i="1"/>
  <c r="Y3428" i="1" s="1"/>
  <c r="R3428" i="1"/>
  <c r="U3428" i="1" s="1"/>
  <c r="N3428" i="1"/>
  <c r="T3427" i="1"/>
  <c r="Y3427" i="1" s="1"/>
  <c r="R3427" i="1"/>
  <c r="N3427" i="1"/>
  <c r="X3426" i="1"/>
  <c r="T3426" i="1"/>
  <c r="Y3426" i="1" s="1"/>
  <c r="R3426" i="1"/>
  <c r="N3426" i="1"/>
  <c r="T3425" i="1"/>
  <c r="Y3425" i="1" s="1"/>
  <c r="R3425" i="1"/>
  <c r="N3425" i="1"/>
  <c r="T3424" i="1"/>
  <c r="Y3424" i="1" s="1"/>
  <c r="R3424" i="1"/>
  <c r="U3424" i="1" s="1"/>
  <c r="N3424" i="1"/>
  <c r="T3423" i="1"/>
  <c r="R3423" i="1"/>
  <c r="N3423" i="1"/>
  <c r="T3422" i="1"/>
  <c r="R3422" i="1"/>
  <c r="N3422" i="1"/>
  <c r="T3421" i="1"/>
  <c r="Y3421" i="1" s="1"/>
  <c r="R3421" i="1"/>
  <c r="N3421" i="1"/>
  <c r="T3420" i="1"/>
  <c r="Y3420" i="1" s="1"/>
  <c r="R3420" i="1"/>
  <c r="U3420" i="1" s="1"/>
  <c r="V3420" i="1" s="1"/>
  <c r="W3420" i="1" s="1"/>
  <c r="N3420" i="1"/>
  <c r="T3419" i="1"/>
  <c r="R3419" i="1"/>
  <c r="N3419" i="1"/>
  <c r="T3418" i="1"/>
  <c r="Y3418" i="1" s="1"/>
  <c r="R3418" i="1"/>
  <c r="U3418" i="1" s="1"/>
  <c r="N3418" i="1"/>
  <c r="T3417" i="1"/>
  <c r="Y3417" i="1" s="1"/>
  <c r="R3417" i="1"/>
  <c r="N3417" i="1"/>
  <c r="T3416" i="1"/>
  <c r="Y3416" i="1" s="1"/>
  <c r="R3416" i="1"/>
  <c r="U3416" i="1" s="1"/>
  <c r="N3416" i="1"/>
  <c r="T3415" i="1"/>
  <c r="Y3415" i="1" s="1"/>
  <c r="R3415" i="1"/>
  <c r="N3415" i="1"/>
  <c r="T3414" i="1"/>
  <c r="Y3414" i="1" s="1"/>
  <c r="R3414" i="1"/>
  <c r="U3414" i="1" s="1"/>
  <c r="V3414" i="1" s="1"/>
  <c r="W3414" i="1" s="1"/>
  <c r="N3414" i="1"/>
  <c r="Y3413" i="1"/>
  <c r="T3413" i="1"/>
  <c r="R3413" i="1"/>
  <c r="U3413" i="1" s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R3407" i="1"/>
  <c r="N3407" i="1"/>
  <c r="T3406" i="1"/>
  <c r="Y3406" i="1" s="1"/>
  <c r="R3406" i="1"/>
  <c r="N3406" i="1"/>
  <c r="X3405" i="1"/>
  <c r="T3405" i="1"/>
  <c r="R3405" i="1"/>
  <c r="O3405" i="1"/>
  <c r="N3405" i="1"/>
  <c r="T3404" i="1"/>
  <c r="Y3404" i="1" s="1"/>
  <c r="R3404" i="1"/>
  <c r="U3404" i="1" s="1"/>
  <c r="N3404" i="1"/>
  <c r="T3403" i="1"/>
  <c r="Y3403" i="1" s="1"/>
  <c r="R3403" i="1"/>
  <c r="N3403" i="1"/>
  <c r="T3402" i="1"/>
  <c r="Y3402" i="1" s="1"/>
  <c r="R3402" i="1"/>
  <c r="U3402" i="1" s="1"/>
  <c r="N3402" i="1"/>
  <c r="T3401" i="1"/>
  <c r="Y3401" i="1" s="1"/>
  <c r="R3401" i="1"/>
  <c r="U3401" i="1" s="1"/>
  <c r="N3401" i="1"/>
  <c r="T3400" i="1"/>
  <c r="Y3400" i="1" s="1"/>
  <c r="R3400" i="1"/>
  <c r="N3400" i="1"/>
  <c r="T3399" i="1"/>
  <c r="Y3399" i="1" s="1"/>
  <c r="R3399" i="1"/>
  <c r="U3399" i="1" s="1"/>
  <c r="N3399" i="1"/>
  <c r="Y3398" i="1"/>
  <c r="T3398" i="1"/>
  <c r="R3398" i="1"/>
  <c r="N3398" i="1"/>
  <c r="T3397" i="1"/>
  <c r="R3397" i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U3392" i="1" s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U3389" i="1" s="1"/>
  <c r="N3389" i="1"/>
  <c r="T3388" i="1"/>
  <c r="Y3388" i="1" s="1"/>
  <c r="R3388" i="1"/>
  <c r="U3388" i="1" s="1"/>
  <c r="N3388" i="1"/>
  <c r="T3387" i="1"/>
  <c r="Y3387" i="1" s="1"/>
  <c r="R3387" i="1"/>
  <c r="U3387" i="1" s="1"/>
  <c r="N3387" i="1"/>
  <c r="X3386" i="1"/>
  <c r="T3386" i="1"/>
  <c r="Y3386" i="1" s="1"/>
  <c r="R3386" i="1"/>
  <c r="U3386" i="1" s="1"/>
  <c r="N3386" i="1"/>
  <c r="X3385" i="1"/>
  <c r="T3385" i="1"/>
  <c r="R3385" i="1"/>
  <c r="U3385" i="1" s="1"/>
  <c r="N3385" i="1"/>
  <c r="T3384" i="1"/>
  <c r="Y3384" i="1" s="1"/>
  <c r="R3384" i="1"/>
  <c r="U3384" i="1" s="1"/>
  <c r="V3384" i="1" s="1"/>
  <c r="W3384" i="1" s="1"/>
  <c r="N3384" i="1"/>
  <c r="T3383" i="1"/>
  <c r="Y3383" i="1" s="1"/>
  <c r="R3383" i="1"/>
  <c r="U3383" i="1" s="1"/>
  <c r="N3383" i="1"/>
  <c r="T3382" i="1"/>
  <c r="Y3382" i="1" s="1"/>
  <c r="R3382" i="1"/>
  <c r="N3382" i="1"/>
  <c r="X3381" i="1"/>
  <c r="T3381" i="1"/>
  <c r="O3381" i="1"/>
  <c r="R3381" i="1" s="1"/>
  <c r="U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U3378" i="1" s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U3375" i="1" s="1"/>
  <c r="N3375" i="1"/>
  <c r="X3374" i="1"/>
  <c r="T3374" i="1"/>
  <c r="O3374" i="1"/>
  <c r="R3374" i="1" s="1"/>
  <c r="U3374" i="1" s="1"/>
  <c r="N3374" i="1"/>
  <c r="X3373" i="1"/>
  <c r="T3373" i="1"/>
  <c r="R3373" i="1"/>
  <c r="U3373" i="1" s="1"/>
  <c r="N3373" i="1"/>
  <c r="T3372" i="1"/>
  <c r="Y3372" i="1" s="1"/>
  <c r="R3372" i="1"/>
  <c r="N3372" i="1"/>
  <c r="T3371" i="1"/>
  <c r="Y3371" i="1" s="1"/>
  <c r="R3371" i="1"/>
  <c r="U3371" i="1" s="1"/>
  <c r="V3371" i="1" s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U3367" i="1" s="1"/>
  <c r="V3367" i="1" s="1"/>
  <c r="N3367" i="1"/>
  <c r="T3366" i="1"/>
  <c r="Y3366" i="1" s="1"/>
  <c r="R3366" i="1"/>
  <c r="U3366" i="1" s="1"/>
  <c r="N3366" i="1"/>
  <c r="T3365" i="1"/>
  <c r="R3365" i="1"/>
  <c r="N3365" i="1"/>
  <c r="T3364" i="1"/>
  <c r="Y3364" i="1" s="1"/>
  <c r="R3364" i="1"/>
  <c r="N3364" i="1"/>
  <c r="X3363" i="1"/>
  <c r="T3363" i="1"/>
  <c r="Y3363" i="1" s="1"/>
  <c r="O3363" i="1"/>
  <c r="R3363" i="1" s="1"/>
  <c r="U3363" i="1" s="1"/>
  <c r="N3363" i="1"/>
  <c r="T3362" i="1"/>
  <c r="Y3362" i="1" s="1"/>
  <c r="R3362" i="1"/>
  <c r="N3362" i="1"/>
  <c r="T3361" i="1"/>
  <c r="Y3361" i="1" s="1"/>
  <c r="R3361" i="1"/>
  <c r="N3361" i="1"/>
  <c r="Y3360" i="1"/>
  <c r="T3360" i="1"/>
  <c r="R3360" i="1"/>
  <c r="U3360" i="1" s="1"/>
  <c r="V3360" i="1" s="1"/>
  <c r="N3360" i="1"/>
  <c r="T3359" i="1"/>
  <c r="R3359" i="1"/>
  <c r="N3359" i="1"/>
  <c r="T3358" i="1"/>
  <c r="Y3358" i="1" s="1"/>
  <c r="R3358" i="1"/>
  <c r="N3358" i="1"/>
  <c r="T3357" i="1"/>
  <c r="Y3357" i="1" s="1"/>
  <c r="R3357" i="1"/>
  <c r="U3357" i="1" s="1"/>
  <c r="N3357" i="1"/>
  <c r="T3356" i="1"/>
  <c r="Y3356" i="1" s="1"/>
  <c r="R3356" i="1"/>
  <c r="N3356" i="1"/>
  <c r="T3355" i="1"/>
  <c r="Y3355" i="1" s="1"/>
  <c r="R3355" i="1"/>
  <c r="U3355" i="1" s="1"/>
  <c r="V3355" i="1" s="1"/>
  <c r="N3355" i="1"/>
  <c r="T3354" i="1"/>
  <c r="Y3354" i="1" s="1"/>
  <c r="R3354" i="1"/>
  <c r="N3354" i="1"/>
  <c r="T3353" i="1"/>
  <c r="Y3353" i="1" s="1"/>
  <c r="R3353" i="1"/>
  <c r="U3353" i="1" s="1"/>
  <c r="N3353" i="1"/>
  <c r="T3352" i="1"/>
  <c r="Y3352" i="1" s="1"/>
  <c r="R3352" i="1"/>
  <c r="N3352" i="1"/>
  <c r="T3351" i="1"/>
  <c r="Y3351" i="1" s="1"/>
  <c r="R3351" i="1"/>
  <c r="U3351" i="1" s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Y3344" i="1" s="1"/>
  <c r="R3344" i="1"/>
  <c r="O3344" i="1"/>
  <c r="N3344" i="1"/>
  <c r="T3343" i="1"/>
  <c r="Y3343" i="1" s="1"/>
  <c r="R3343" i="1"/>
  <c r="N3343" i="1"/>
  <c r="T3342" i="1"/>
  <c r="R3342" i="1"/>
  <c r="N3342" i="1"/>
  <c r="X3341" i="1"/>
  <c r="T3341" i="1"/>
  <c r="R3341" i="1"/>
  <c r="O3341" i="1"/>
  <c r="N3341" i="1"/>
  <c r="T3340" i="1"/>
  <c r="Y3340" i="1" s="1"/>
  <c r="R3340" i="1"/>
  <c r="U3340" i="1" s="1"/>
  <c r="N3340" i="1"/>
  <c r="T3339" i="1"/>
  <c r="Y3339" i="1" s="1"/>
  <c r="R3339" i="1"/>
  <c r="U3339" i="1" s="1"/>
  <c r="N3339" i="1"/>
  <c r="T3338" i="1"/>
  <c r="Y3338" i="1" s="1"/>
  <c r="R3338" i="1"/>
  <c r="U3338" i="1" s="1"/>
  <c r="N3338" i="1"/>
  <c r="T3337" i="1"/>
  <c r="Y3337" i="1" s="1"/>
  <c r="R3337" i="1"/>
  <c r="N3337" i="1"/>
  <c r="T3336" i="1"/>
  <c r="Y3336" i="1" s="1"/>
  <c r="R3336" i="1"/>
  <c r="U3336" i="1" s="1"/>
  <c r="N3336" i="1"/>
  <c r="T3335" i="1"/>
  <c r="Y3335" i="1" s="1"/>
  <c r="R3335" i="1"/>
  <c r="N3335" i="1"/>
  <c r="T3334" i="1"/>
  <c r="R3334" i="1"/>
  <c r="N3334" i="1"/>
  <c r="T3333" i="1"/>
  <c r="Y3333" i="1" s="1"/>
  <c r="R3333" i="1"/>
  <c r="U3333" i="1" s="1"/>
  <c r="N3333" i="1"/>
  <c r="T3332" i="1"/>
  <c r="Y3332" i="1" s="1"/>
  <c r="R3332" i="1"/>
  <c r="N3332" i="1"/>
  <c r="T3331" i="1"/>
  <c r="Y3331" i="1" s="1"/>
  <c r="R3331" i="1"/>
  <c r="U3331" i="1" s="1"/>
  <c r="V3331" i="1" s="1"/>
  <c r="N3331" i="1"/>
  <c r="T3330" i="1"/>
  <c r="Y3330" i="1" s="1"/>
  <c r="R3330" i="1"/>
  <c r="N3330" i="1"/>
  <c r="T3329" i="1"/>
  <c r="Y3329" i="1" s="1"/>
  <c r="R3329" i="1"/>
  <c r="U3329" i="1" s="1"/>
  <c r="V3329" i="1" s="1"/>
  <c r="N3329" i="1"/>
  <c r="T3328" i="1"/>
  <c r="Y3328" i="1" s="1"/>
  <c r="R3328" i="1"/>
  <c r="N3328" i="1"/>
  <c r="T3327" i="1"/>
  <c r="Y3327" i="1" s="1"/>
  <c r="R3327" i="1"/>
  <c r="N3327" i="1"/>
  <c r="T3326" i="1"/>
  <c r="R3326" i="1"/>
  <c r="N3326" i="1"/>
  <c r="T3325" i="1"/>
  <c r="Y3325" i="1" s="1"/>
  <c r="R3325" i="1"/>
  <c r="N3325" i="1"/>
  <c r="X3324" i="1"/>
  <c r="U3324" i="1"/>
  <c r="T3324" i="1"/>
  <c r="R3324" i="1"/>
  <c r="N3324" i="1"/>
  <c r="X3323" i="1"/>
  <c r="T3323" i="1"/>
  <c r="Y3323" i="1" s="1"/>
  <c r="R3323" i="1"/>
  <c r="U3323" i="1" s="1"/>
  <c r="N3323" i="1"/>
  <c r="T3322" i="1"/>
  <c r="Y3322" i="1" s="1"/>
  <c r="R3322" i="1"/>
  <c r="N3322" i="1"/>
  <c r="T3321" i="1"/>
  <c r="Y3321" i="1" s="1"/>
  <c r="R3321" i="1"/>
  <c r="N3321" i="1"/>
  <c r="Y3320" i="1"/>
  <c r="T3320" i="1"/>
  <c r="R3320" i="1"/>
  <c r="U3320" i="1" s="1"/>
  <c r="N3320" i="1"/>
  <c r="T3319" i="1"/>
  <c r="Y3319" i="1" s="1"/>
  <c r="R3319" i="1"/>
  <c r="U3319" i="1" s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R3315" i="1"/>
  <c r="N3315" i="1"/>
  <c r="T3314" i="1"/>
  <c r="Y3314" i="1" s="1"/>
  <c r="R3314" i="1"/>
  <c r="U3314" i="1" s="1"/>
  <c r="V3314" i="1" s="1"/>
  <c r="N3314" i="1"/>
  <c r="T3313" i="1"/>
  <c r="Y3313" i="1" s="1"/>
  <c r="R3313" i="1"/>
  <c r="N3313" i="1"/>
  <c r="T3312" i="1"/>
  <c r="Y3312" i="1" s="1"/>
  <c r="R3312" i="1"/>
  <c r="U3312" i="1" s="1"/>
  <c r="N3312" i="1"/>
  <c r="X3311" i="1"/>
  <c r="T3311" i="1"/>
  <c r="R3311" i="1"/>
  <c r="N3311" i="1"/>
  <c r="X3310" i="1"/>
  <c r="T3310" i="1"/>
  <c r="R3310" i="1"/>
  <c r="U3310" i="1" s="1"/>
  <c r="V3310" i="1" s="1"/>
  <c r="N3310" i="1"/>
  <c r="T3309" i="1"/>
  <c r="Y3309" i="1" s="1"/>
  <c r="R3309" i="1"/>
  <c r="U3309" i="1" s="1"/>
  <c r="N3309" i="1"/>
  <c r="T3308" i="1"/>
  <c r="Y3308" i="1" s="1"/>
  <c r="R3308" i="1"/>
  <c r="N3308" i="1"/>
  <c r="X3307" i="1"/>
  <c r="Y3307" i="1" s="1"/>
  <c r="T3307" i="1"/>
  <c r="R3307" i="1"/>
  <c r="U3307" i="1" s="1"/>
  <c r="N3307" i="1"/>
  <c r="T3306" i="1"/>
  <c r="Y3306" i="1" s="1"/>
  <c r="R3306" i="1"/>
  <c r="U3306" i="1" s="1"/>
  <c r="N3306" i="1"/>
  <c r="Y3305" i="1"/>
  <c r="U3305" i="1"/>
  <c r="V3305" i="1" s="1"/>
  <c r="W3305" i="1" s="1"/>
  <c r="T3305" i="1"/>
  <c r="R3305" i="1"/>
  <c r="N3305" i="1"/>
  <c r="T3304" i="1"/>
  <c r="R3304" i="1"/>
  <c r="N3304" i="1"/>
  <c r="T3303" i="1"/>
  <c r="R3303" i="1"/>
  <c r="N3303" i="1"/>
  <c r="T3302" i="1"/>
  <c r="Y3302" i="1" s="1"/>
  <c r="R3302" i="1"/>
  <c r="U3302" i="1" s="1"/>
  <c r="N3302" i="1"/>
  <c r="T3301" i="1"/>
  <c r="Y3301" i="1" s="1"/>
  <c r="R3301" i="1"/>
  <c r="U3301" i="1" s="1"/>
  <c r="N3301" i="1"/>
  <c r="T3300" i="1"/>
  <c r="Y3300" i="1" s="1"/>
  <c r="R3300" i="1"/>
  <c r="N3300" i="1"/>
  <c r="X3299" i="1"/>
  <c r="T3299" i="1"/>
  <c r="R3299" i="1"/>
  <c r="U3299" i="1" s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U3296" i="1" s="1"/>
  <c r="V3296" i="1" s="1"/>
  <c r="N3296" i="1"/>
  <c r="X3295" i="1"/>
  <c r="T3295" i="1"/>
  <c r="Y3295" i="1" s="1"/>
  <c r="R3295" i="1"/>
  <c r="N3295" i="1"/>
  <c r="X3294" i="1"/>
  <c r="T3294" i="1"/>
  <c r="R3294" i="1"/>
  <c r="N3294" i="1"/>
  <c r="T3293" i="1"/>
  <c r="Y3293" i="1" s="1"/>
  <c r="R3293" i="1"/>
  <c r="U3293" i="1" s="1"/>
  <c r="V3293" i="1" s="1"/>
  <c r="W3293" i="1" s="1"/>
  <c r="N3293" i="1"/>
  <c r="T3292" i="1"/>
  <c r="Y3292" i="1" s="1"/>
  <c r="R3292" i="1"/>
  <c r="N3292" i="1"/>
  <c r="T3291" i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U3288" i="1" s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U3285" i="1" s="1"/>
  <c r="N3285" i="1"/>
  <c r="T3284" i="1"/>
  <c r="R3284" i="1"/>
  <c r="N3284" i="1"/>
  <c r="T3283" i="1"/>
  <c r="Y3283" i="1" s="1"/>
  <c r="R3283" i="1"/>
  <c r="N3283" i="1"/>
  <c r="Y3282" i="1"/>
  <c r="T3282" i="1"/>
  <c r="R3282" i="1"/>
  <c r="N3282" i="1"/>
  <c r="T3281" i="1"/>
  <c r="Y3281" i="1" s="1"/>
  <c r="R3281" i="1"/>
  <c r="N3281" i="1"/>
  <c r="T3280" i="1"/>
  <c r="Y3280" i="1" s="1"/>
  <c r="R3280" i="1"/>
  <c r="U3280" i="1" s="1"/>
  <c r="V3280" i="1" s="1"/>
  <c r="N3280" i="1"/>
  <c r="T3279" i="1"/>
  <c r="Y3279" i="1" s="1"/>
  <c r="R3279" i="1"/>
  <c r="U3279" i="1" s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U3274" i="1" s="1"/>
  <c r="V3274" i="1" s="1"/>
  <c r="N3274" i="1"/>
  <c r="T3273" i="1"/>
  <c r="Y3273" i="1" s="1"/>
  <c r="R3273" i="1"/>
  <c r="N3273" i="1"/>
  <c r="T3272" i="1"/>
  <c r="Y3272" i="1" s="1"/>
  <c r="R3272" i="1"/>
  <c r="U3272" i="1" s="1"/>
  <c r="V3272" i="1" s="1"/>
  <c r="N3272" i="1"/>
  <c r="T3271" i="1"/>
  <c r="Y3271" i="1" s="1"/>
  <c r="R3271" i="1"/>
  <c r="N3271" i="1"/>
  <c r="T3270" i="1"/>
  <c r="Y3270" i="1" s="1"/>
  <c r="R3270" i="1"/>
  <c r="U3270" i="1" s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U3267" i="1" s="1"/>
  <c r="V3267" i="1" s="1"/>
  <c r="W3267" i="1" s="1"/>
  <c r="N3267" i="1"/>
  <c r="T3266" i="1"/>
  <c r="Y3266" i="1" s="1"/>
  <c r="R3266" i="1"/>
  <c r="N3266" i="1"/>
  <c r="T3265" i="1"/>
  <c r="Y3265" i="1" s="1"/>
  <c r="R3265" i="1"/>
  <c r="U3265" i="1" s="1"/>
  <c r="N3265" i="1"/>
  <c r="T3264" i="1"/>
  <c r="Y3264" i="1" s="1"/>
  <c r="R3264" i="1"/>
  <c r="U3264" i="1" s="1"/>
  <c r="V3264" i="1" s="1"/>
  <c r="N3264" i="1"/>
  <c r="T3263" i="1"/>
  <c r="Y3263" i="1" s="1"/>
  <c r="R3263" i="1"/>
  <c r="U3263" i="1" s="1"/>
  <c r="N3263" i="1"/>
  <c r="T3262" i="1"/>
  <c r="Y3262" i="1" s="1"/>
  <c r="R3262" i="1"/>
  <c r="U3262" i="1" s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U3259" i="1" s="1"/>
  <c r="V3259" i="1" s="1"/>
  <c r="W3259" i="1" s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U3256" i="1" s="1"/>
  <c r="N3256" i="1"/>
  <c r="T3255" i="1"/>
  <c r="Y3255" i="1" s="1"/>
  <c r="R3255" i="1"/>
  <c r="N3255" i="1"/>
  <c r="T3254" i="1"/>
  <c r="Y3254" i="1" s="1"/>
  <c r="R3254" i="1"/>
  <c r="U3254" i="1" s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U3251" i="1" s="1"/>
  <c r="V3251" i="1" s="1"/>
  <c r="W3251" i="1" s="1"/>
  <c r="N3251" i="1"/>
  <c r="T3250" i="1"/>
  <c r="Y3250" i="1" s="1"/>
  <c r="R3250" i="1"/>
  <c r="N3250" i="1"/>
  <c r="T3249" i="1"/>
  <c r="Y3249" i="1" s="1"/>
  <c r="R3249" i="1"/>
  <c r="U3249" i="1" s="1"/>
  <c r="N3249" i="1"/>
  <c r="T3248" i="1"/>
  <c r="Y3248" i="1" s="1"/>
  <c r="R3248" i="1"/>
  <c r="N3248" i="1"/>
  <c r="T3247" i="1"/>
  <c r="Y3247" i="1" s="1"/>
  <c r="R3247" i="1"/>
  <c r="U3247" i="1" s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U3241" i="1" s="1"/>
  <c r="N3241" i="1"/>
  <c r="X3240" i="1"/>
  <c r="T3240" i="1"/>
  <c r="R3240" i="1"/>
  <c r="N3240" i="1"/>
  <c r="X3239" i="1"/>
  <c r="T3239" i="1"/>
  <c r="Y3239" i="1" s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U3235" i="1" s="1"/>
  <c r="N3235" i="1"/>
  <c r="X3234" i="1"/>
  <c r="T3234" i="1"/>
  <c r="Y3234" i="1" s="1"/>
  <c r="R3234" i="1"/>
  <c r="N3234" i="1"/>
  <c r="X3233" i="1"/>
  <c r="T3233" i="1"/>
  <c r="Y3233" i="1" s="1"/>
  <c r="R3233" i="1"/>
  <c r="U3233" i="1" s="1"/>
  <c r="N3233" i="1"/>
  <c r="X3232" i="1"/>
  <c r="T3232" i="1"/>
  <c r="Y3232" i="1" s="1"/>
  <c r="R3232" i="1"/>
  <c r="N3232" i="1"/>
  <c r="T3231" i="1"/>
  <c r="Y3231" i="1" s="1"/>
  <c r="R3231" i="1"/>
  <c r="U3231" i="1" s="1"/>
  <c r="N3231" i="1"/>
  <c r="T3230" i="1"/>
  <c r="Y3230" i="1" s="1"/>
  <c r="R3230" i="1"/>
  <c r="U3230" i="1" s="1"/>
  <c r="N3230" i="1"/>
  <c r="Y3229" i="1"/>
  <c r="T3229" i="1"/>
  <c r="R3229" i="1"/>
  <c r="U3229" i="1" s="1"/>
  <c r="V3229" i="1" s="1"/>
  <c r="W3229" i="1" s="1"/>
  <c r="N3229" i="1"/>
  <c r="T3228" i="1"/>
  <c r="Y3228" i="1" s="1"/>
  <c r="R3228" i="1"/>
  <c r="U3228" i="1" s="1"/>
  <c r="V3228" i="1" s="1"/>
  <c r="W3228" i="1" s="1"/>
  <c r="N3228" i="1"/>
  <c r="T3227" i="1"/>
  <c r="Y3227" i="1" s="1"/>
  <c r="R3227" i="1"/>
  <c r="N3227" i="1"/>
  <c r="T3226" i="1"/>
  <c r="Y3226" i="1" s="1"/>
  <c r="R3226" i="1"/>
  <c r="U3226" i="1" s="1"/>
  <c r="N3226" i="1"/>
  <c r="T3225" i="1"/>
  <c r="Y3225" i="1" s="1"/>
  <c r="R3225" i="1"/>
  <c r="U3225" i="1" s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Y3221" i="1"/>
  <c r="T3221" i="1"/>
  <c r="R3221" i="1"/>
  <c r="U3221" i="1" s="1"/>
  <c r="V3221" i="1" s="1"/>
  <c r="W3221" i="1" s="1"/>
  <c r="N3221" i="1"/>
  <c r="T3220" i="1"/>
  <c r="Y3220" i="1" s="1"/>
  <c r="R3220" i="1"/>
  <c r="U3220" i="1" s="1"/>
  <c r="V3220" i="1" s="1"/>
  <c r="W3220" i="1" s="1"/>
  <c r="N3220" i="1"/>
  <c r="T3219" i="1"/>
  <c r="U3219" i="1" s="1"/>
  <c r="V3219" i="1" s="1"/>
  <c r="W3219" i="1" s="1"/>
  <c r="R3219" i="1"/>
  <c r="N3219" i="1"/>
  <c r="T3218" i="1"/>
  <c r="Y3218" i="1" s="1"/>
  <c r="R3218" i="1"/>
  <c r="U3218" i="1" s="1"/>
  <c r="V3218" i="1" s="1"/>
  <c r="W3218" i="1" s="1"/>
  <c r="N3218" i="1"/>
  <c r="T3217" i="1"/>
  <c r="Y3217" i="1" s="1"/>
  <c r="R3217" i="1"/>
  <c r="U3217" i="1" s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U3213" i="1" s="1"/>
  <c r="V3213" i="1" s="1"/>
  <c r="W3213" i="1" s="1"/>
  <c r="N3213" i="1"/>
  <c r="T3212" i="1"/>
  <c r="Y3212" i="1" s="1"/>
  <c r="R3212" i="1"/>
  <c r="U3212" i="1" s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U3205" i="1" s="1"/>
  <c r="N3205" i="1"/>
  <c r="T3204" i="1"/>
  <c r="Y3204" i="1" s="1"/>
  <c r="R3204" i="1"/>
  <c r="U3204" i="1" s="1"/>
  <c r="N3204" i="1"/>
  <c r="T3203" i="1"/>
  <c r="Y3203" i="1" s="1"/>
  <c r="R3203" i="1"/>
  <c r="N3203" i="1"/>
  <c r="X3202" i="1"/>
  <c r="T3202" i="1"/>
  <c r="R3202" i="1"/>
  <c r="U3202" i="1" s="1"/>
  <c r="V3202" i="1" s="1"/>
  <c r="N3202" i="1"/>
  <c r="T3201" i="1"/>
  <c r="Y3201" i="1" s="1"/>
  <c r="R3201" i="1"/>
  <c r="N3201" i="1"/>
  <c r="T3200" i="1"/>
  <c r="Y3200" i="1" s="1"/>
  <c r="R3200" i="1"/>
  <c r="U3200" i="1" s="1"/>
  <c r="N3200" i="1"/>
  <c r="X3199" i="1"/>
  <c r="T3199" i="1"/>
  <c r="Y3199" i="1" s="1"/>
  <c r="R3199" i="1"/>
  <c r="N3199" i="1"/>
  <c r="T3198" i="1"/>
  <c r="Y3198" i="1" s="1"/>
  <c r="R3198" i="1"/>
  <c r="U3198" i="1" s="1"/>
  <c r="V3198" i="1" s="1"/>
  <c r="N3198" i="1"/>
  <c r="T3197" i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U3194" i="1" s="1"/>
  <c r="N3194" i="1"/>
  <c r="X3193" i="1"/>
  <c r="Y3193" i="1" s="1"/>
  <c r="T3193" i="1"/>
  <c r="R3193" i="1"/>
  <c r="U3193" i="1" s="1"/>
  <c r="N3193" i="1"/>
  <c r="T3192" i="1"/>
  <c r="Y3192" i="1" s="1"/>
  <c r="R3192" i="1"/>
  <c r="N3192" i="1"/>
  <c r="T3191" i="1"/>
  <c r="Y3191" i="1" s="1"/>
  <c r="R3191" i="1"/>
  <c r="U3191" i="1" s="1"/>
  <c r="V3191" i="1" s="1"/>
  <c r="W3191" i="1" s="1"/>
  <c r="N3191" i="1"/>
  <c r="T3190" i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Y3187" i="1" s="1"/>
  <c r="R3187" i="1"/>
  <c r="N3187" i="1"/>
  <c r="T3186" i="1"/>
  <c r="Y3186" i="1" s="1"/>
  <c r="R3186" i="1"/>
  <c r="U3186" i="1" s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U3181" i="1"/>
  <c r="T3181" i="1"/>
  <c r="Y3181" i="1" s="1"/>
  <c r="R3181" i="1"/>
  <c r="N3181" i="1"/>
  <c r="T3180" i="1"/>
  <c r="Y3180" i="1" s="1"/>
  <c r="R3180" i="1"/>
  <c r="U3180" i="1" s="1"/>
  <c r="N3180" i="1"/>
  <c r="X3179" i="1"/>
  <c r="T3179" i="1"/>
  <c r="R3179" i="1"/>
  <c r="N3179" i="1"/>
  <c r="T3178" i="1"/>
  <c r="Y3178" i="1" s="1"/>
  <c r="R3178" i="1"/>
  <c r="U3178" i="1" s="1"/>
  <c r="N3178" i="1"/>
  <c r="T3177" i="1"/>
  <c r="Y3177" i="1" s="1"/>
  <c r="R3177" i="1"/>
  <c r="N3177" i="1"/>
  <c r="X3176" i="1"/>
  <c r="T3176" i="1"/>
  <c r="Y3176" i="1" s="1"/>
  <c r="R3176" i="1"/>
  <c r="U3176" i="1" s="1"/>
  <c r="N3176" i="1"/>
  <c r="T3175" i="1"/>
  <c r="Y3175" i="1" s="1"/>
  <c r="R3175" i="1"/>
  <c r="N3175" i="1"/>
  <c r="X3174" i="1"/>
  <c r="T3174" i="1"/>
  <c r="Y3174" i="1" s="1"/>
  <c r="R3174" i="1"/>
  <c r="U3174" i="1" s="1"/>
  <c r="N3174" i="1"/>
  <c r="T3173" i="1"/>
  <c r="Y3173" i="1" s="1"/>
  <c r="R3173" i="1"/>
  <c r="N3173" i="1"/>
  <c r="X3172" i="1"/>
  <c r="T3172" i="1"/>
  <c r="R3172" i="1"/>
  <c r="U3172" i="1" s="1"/>
  <c r="V3172" i="1" s="1"/>
  <c r="N3172" i="1"/>
  <c r="T3171" i="1"/>
  <c r="Y3171" i="1" s="1"/>
  <c r="R3171" i="1"/>
  <c r="U3171" i="1" s="1"/>
  <c r="V3171" i="1" s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U3166" i="1" s="1"/>
  <c r="N3166" i="1"/>
  <c r="T3165" i="1"/>
  <c r="Y3165" i="1" s="1"/>
  <c r="R3165" i="1"/>
  <c r="N3165" i="1"/>
  <c r="T3164" i="1"/>
  <c r="Y3164" i="1" s="1"/>
  <c r="R3164" i="1"/>
  <c r="U3164" i="1" s="1"/>
  <c r="N3164" i="1"/>
  <c r="T3163" i="1"/>
  <c r="Y3163" i="1" s="1"/>
  <c r="R3163" i="1"/>
  <c r="N3163" i="1"/>
  <c r="T3162" i="1"/>
  <c r="Y3162" i="1" s="1"/>
  <c r="R3162" i="1"/>
  <c r="U3162" i="1" s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Y3153" i="1"/>
  <c r="V3153" i="1"/>
  <c r="W3153" i="1" s="1"/>
  <c r="T3153" i="1"/>
  <c r="R3153" i="1"/>
  <c r="U3153" i="1" s="1"/>
  <c r="N3153" i="1"/>
  <c r="T3152" i="1"/>
  <c r="Y3152" i="1" s="1"/>
  <c r="R3152" i="1"/>
  <c r="U3152" i="1" s="1"/>
  <c r="N3152" i="1"/>
  <c r="T3151" i="1"/>
  <c r="Y3151" i="1" s="1"/>
  <c r="R3151" i="1"/>
  <c r="N3151" i="1"/>
  <c r="T3150" i="1"/>
  <c r="Y3150" i="1" s="1"/>
  <c r="R3150" i="1"/>
  <c r="U3150" i="1" s="1"/>
  <c r="N3150" i="1"/>
  <c r="T3149" i="1"/>
  <c r="Y3149" i="1" s="1"/>
  <c r="R3149" i="1"/>
  <c r="U3149" i="1" s="1"/>
  <c r="N3149" i="1"/>
  <c r="T3148" i="1"/>
  <c r="Y3148" i="1" s="1"/>
  <c r="R3148" i="1"/>
  <c r="N3148" i="1"/>
  <c r="T3147" i="1"/>
  <c r="Y3147" i="1" s="1"/>
  <c r="R3147" i="1"/>
  <c r="N3147" i="1"/>
  <c r="Y3146" i="1"/>
  <c r="T3146" i="1"/>
  <c r="R3146" i="1"/>
  <c r="N3146" i="1"/>
  <c r="T3145" i="1"/>
  <c r="Y3145" i="1" s="1"/>
  <c r="R3145" i="1"/>
  <c r="U3145" i="1" s="1"/>
  <c r="V3145" i="1" s="1"/>
  <c r="N3145" i="1"/>
  <c r="T3144" i="1"/>
  <c r="R3144" i="1"/>
  <c r="N3144" i="1"/>
  <c r="Y3143" i="1"/>
  <c r="T3143" i="1"/>
  <c r="R3143" i="1"/>
  <c r="U3143" i="1" s="1"/>
  <c r="V3143" i="1" s="1"/>
  <c r="W3143" i="1" s="1"/>
  <c r="N3143" i="1"/>
  <c r="T3142" i="1"/>
  <c r="Y3142" i="1" s="1"/>
  <c r="R3142" i="1"/>
  <c r="U3142" i="1" s="1"/>
  <c r="V3142" i="1" s="1"/>
  <c r="W3142" i="1" s="1"/>
  <c r="N3142" i="1"/>
  <c r="T3141" i="1"/>
  <c r="Y3141" i="1" s="1"/>
  <c r="R3141" i="1"/>
  <c r="N3141" i="1"/>
  <c r="T3140" i="1"/>
  <c r="Y3140" i="1" s="1"/>
  <c r="R3140" i="1"/>
  <c r="U3140" i="1" s="1"/>
  <c r="N3140" i="1"/>
  <c r="T3139" i="1"/>
  <c r="Y3139" i="1" s="1"/>
  <c r="R3139" i="1"/>
  <c r="N3139" i="1"/>
  <c r="X3138" i="1"/>
  <c r="T3138" i="1"/>
  <c r="Y3138" i="1" s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U3135" i="1" s="1"/>
  <c r="N3135" i="1"/>
  <c r="T3134" i="1"/>
  <c r="U3134" i="1" s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U3131" i="1" s="1"/>
  <c r="N3131" i="1"/>
  <c r="T3130" i="1"/>
  <c r="Y3130" i="1" s="1"/>
  <c r="R3130" i="1"/>
  <c r="U3130" i="1" s="1"/>
  <c r="N3130" i="1"/>
  <c r="Y3129" i="1"/>
  <c r="T3129" i="1"/>
  <c r="R3129" i="1"/>
  <c r="N3129" i="1"/>
  <c r="T3128" i="1"/>
  <c r="Y3128" i="1" s="1"/>
  <c r="R3128" i="1"/>
  <c r="U3128" i="1" s="1"/>
  <c r="V3128" i="1" s="1"/>
  <c r="N3128" i="1"/>
  <c r="T3127" i="1"/>
  <c r="Y3127" i="1" s="1"/>
  <c r="R3127" i="1"/>
  <c r="N3127" i="1"/>
  <c r="T3126" i="1"/>
  <c r="Y3126" i="1" s="1"/>
  <c r="R3126" i="1"/>
  <c r="U3126" i="1" s="1"/>
  <c r="N3126" i="1"/>
  <c r="T3125" i="1"/>
  <c r="Y3125" i="1" s="1"/>
  <c r="R3125" i="1"/>
  <c r="U3125" i="1" s="1"/>
  <c r="N3125" i="1"/>
  <c r="T3124" i="1"/>
  <c r="Y3124" i="1" s="1"/>
  <c r="R3124" i="1"/>
  <c r="N3124" i="1"/>
  <c r="T3123" i="1"/>
  <c r="Y3123" i="1" s="1"/>
  <c r="R3123" i="1"/>
  <c r="U3123" i="1" s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Y3119" i="1"/>
  <c r="T3119" i="1"/>
  <c r="R3119" i="1"/>
  <c r="N3119" i="1"/>
  <c r="T3118" i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Y3113" i="1" s="1"/>
  <c r="R3113" i="1"/>
  <c r="N3113" i="1"/>
  <c r="T3112" i="1"/>
  <c r="Y3112" i="1" s="1"/>
  <c r="R3112" i="1"/>
  <c r="N3112" i="1"/>
  <c r="X3111" i="1"/>
  <c r="T3111" i="1"/>
  <c r="Y3111" i="1" s="1"/>
  <c r="R3111" i="1"/>
  <c r="N3111" i="1"/>
  <c r="X3110" i="1"/>
  <c r="T3110" i="1"/>
  <c r="Y3110" i="1" s="1"/>
  <c r="R3110" i="1"/>
  <c r="N3110" i="1"/>
  <c r="X3109" i="1"/>
  <c r="Y3109" i="1" s="1"/>
  <c r="T3109" i="1"/>
  <c r="R3109" i="1"/>
  <c r="N3109" i="1"/>
  <c r="X3108" i="1"/>
  <c r="T3108" i="1"/>
  <c r="R3108" i="1"/>
  <c r="N3108" i="1"/>
  <c r="T3107" i="1"/>
  <c r="Y3107" i="1" s="1"/>
  <c r="R3107" i="1"/>
  <c r="U3107" i="1" s="1"/>
  <c r="N3107" i="1"/>
  <c r="X3106" i="1"/>
  <c r="T3106" i="1"/>
  <c r="R3106" i="1"/>
  <c r="U3106" i="1" s="1"/>
  <c r="V3106" i="1" s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U3101" i="1" s="1"/>
  <c r="N3101" i="1"/>
  <c r="T3100" i="1"/>
  <c r="Y3100" i="1" s="1"/>
  <c r="R3100" i="1"/>
  <c r="N3100" i="1"/>
  <c r="T3099" i="1"/>
  <c r="Y3099" i="1" s="1"/>
  <c r="R3099" i="1"/>
  <c r="U3099" i="1" s="1"/>
  <c r="N3099" i="1"/>
  <c r="T3098" i="1"/>
  <c r="Y3098" i="1" s="1"/>
  <c r="R3098" i="1"/>
  <c r="U3098" i="1" s="1"/>
  <c r="V3098" i="1" s="1"/>
  <c r="N3098" i="1"/>
  <c r="T3097" i="1"/>
  <c r="Y3097" i="1" s="1"/>
  <c r="R3097" i="1"/>
  <c r="N3097" i="1"/>
  <c r="T3096" i="1"/>
  <c r="Y3096" i="1" s="1"/>
  <c r="R3096" i="1"/>
  <c r="U3096" i="1" s="1"/>
  <c r="V3096" i="1" s="1"/>
  <c r="W3096" i="1" s="1"/>
  <c r="N3096" i="1"/>
  <c r="X3095" i="1"/>
  <c r="Y3095" i="1" s="1"/>
  <c r="U3095" i="1"/>
  <c r="V3095" i="1" s="1"/>
  <c r="W3095" i="1" s="1"/>
  <c r="T3095" i="1"/>
  <c r="R3095" i="1"/>
  <c r="N3095" i="1"/>
  <c r="T3094" i="1"/>
  <c r="Y3094" i="1" s="1"/>
  <c r="R3094" i="1"/>
  <c r="N3094" i="1"/>
  <c r="T3093" i="1"/>
  <c r="R3093" i="1"/>
  <c r="N3093" i="1"/>
  <c r="T3092" i="1"/>
  <c r="Y3092" i="1" s="1"/>
  <c r="R3092" i="1"/>
  <c r="U3092" i="1" s="1"/>
  <c r="N3092" i="1"/>
  <c r="T3091" i="1"/>
  <c r="R3091" i="1"/>
  <c r="N3091" i="1"/>
  <c r="T3090" i="1"/>
  <c r="Y3090" i="1" s="1"/>
  <c r="R3090" i="1"/>
  <c r="N3090" i="1"/>
  <c r="T3089" i="1"/>
  <c r="Y3089" i="1" s="1"/>
  <c r="R3089" i="1"/>
  <c r="U3089" i="1" s="1"/>
  <c r="V3089" i="1" s="1"/>
  <c r="N3089" i="1"/>
  <c r="T3088" i="1"/>
  <c r="Y3088" i="1" s="1"/>
  <c r="R3088" i="1"/>
  <c r="N3088" i="1"/>
  <c r="T3087" i="1"/>
  <c r="Y3087" i="1" s="1"/>
  <c r="R3087" i="1"/>
  <c r="U3087" i="1" s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U3084" i="1" s="1"/>
  <c r="V3084" i="1" s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U3081" i="1" s="1"/>
  <c r="N3081" i="1"/>
  <c r="T3080" i="1"/>
  <c r="Y3080" i="1" s="1"/>
  <c r="R3080" i="1"/>
  <c r="N3080" i="1"/>
  <c r="T3079" i="1"/>
  <c r="Y3079" i="1" s="1"/>
  <c r="R3079" i="1"/>
  <c r="N3079" i="1"/>
  <c r="T3078" i="1"/>
  <c r="R3078" i="1"/>
  <c r="N3078" i="1"/>
  <c r="X3077" i="1"/>
  <c r="T3077" i="1"/>
  <c r="R3077" i="1"/>
  <c r="N3077" i="1"/>
  <c r="T3076" i="1"/>
  <c r="Y3076" i="1" s="1"/>
  <c r="R3076" i="1"/>
  <c r="U3076" i="1" s="1"/>
  <c r="N3076" i="1"/>
  <c r="T3075" i="1"/>
  <c r="Y3075" i="1" s="1"/>
  <c r="R3075" i="1"/>
  <c r="U3075" i="1" s="1"/>
  <c r="N3075" i="1"/>
  <c r="T3074" i="1"/>
  <c r="Y3074" i="1" s="1"/>
  <c r="R3074" i="1"/>
  <c r="N3074" i="1"/>
  <c r="T3073" i="1"/>
  <c r="Y3073" i="1" s="1"/>
  <c r="R3073" i="1"/>
  <c r="N3073" i="1"/>
  <c r="T3072" i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U3066" i="1" s="1"/>
  <c r="V3066" i="1" s="1"/>
  <c r="W3066" i="1" s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U3061" i="1" s="1"/>
  <c r="N3061" i="1"/>
  <c r="T3060" i="1"/>
  <c r="R3060" i="1"/>
  <c r="N3060" i="1"/>
  <c r="T3059" i="1"/>
  <c r="Y3059" i="1" s="1"/>
  <c r="R3059" i="1"/>
  <c r="U3059" i="1" s="1"/>
  <c r="N3059" i="1"/>
  <c r="T3058" i="1"/>
  <c r="Y3058" i="1" s="1"/>
  <c r="R3058" i="1"/>
  <c r="N3058" i="1"/>
  <c r="T3057" i="1"/>
  <c r="Y3057" i="1" s="1"/>
  <c r="R3057" i="1"/>
  <c r="N3057" i="1"/>
  <c r="T3056" i="1"/>
  <c r="R3056" i="1"/>
  <c r="N3056" i="1"/>
  <c r="T3055" i="1"/>
  <c r="Y3055" i="1" s="1"/>
  <c r="R3055" i="1"/>
  <c r="U3055" i="1" s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U3051" i="1" s="1"/>
  <c r="V3051" i="1" s="1"/>
  <c r="W3051" i="1" s="1"/>
  <c r="N3051" i="1"/>
  <c r="T3050" i="1"/>
  <c r="Y3050" i="1" s="1"/>
  <c r="R3050" i="1"/>
  <c r="U3050" i="1" s="1"/>
  <c r="N3050" i="1"/>
  <c r="T3049" i="1"/>
  <c r="Y3049" i="1" s="1"/>
  <c r="R3049" i="1"/>
  <c r="U3049" i="1" s="1"/>
  <c r="N3049" i="1"/>
  <c r="T3048" i="1"/>
  <c r="Y3048" i="1" s="1"/>
  <c r="R3048" i="1"/>
  <c r="N3048" i="1"/>
  <c r="T3047" i="1"/>
  <c r="Y3047" i="1" s="1"/>
  <c r="R3047" i="1"/>
  <c r="N3047" i="1"/>
  <c r="Y3046" i="1"/>
  <c r="T3046" i="1"/>
  <c r="R3046" i="1"/>
  <c r="N3046" i="1"/>
  <c r="T3045" i="1"/>
  <c r="Y3045" i="1" s="1"/>
  <c r="R3045" i="1"/>
  <c r="N3045" i="1"/>
  <c r="T3044" i="1"/>
  <c r="R3044" i="1"/>
  <c r="N3044" i="1"/>
  <c r="T3043" i="1"/>
  <c r="Y3043" i="1" s="1"/>
  <c r="R3043" i="1"/>
  <c r="U3043" i="1" s="1"/>
  <c r="N3043" i="1"/>
  <c r="T3042" i="1"/>
  <c r="Y3042" i="1" s="1"/>
  <c r="R3042" i="1"/>
  <c r="N3042" i="1"/>
  <c r="T3041" i="1"/>
  <c r="Y3041" i="1" s="1"/>
  <c r="R3041" i="1"/>
  <c r="N3041" i="1"/>
  <c r="Y3040" i="1"/>
  <c r="U3040" i="1"/>
  <c r="T3040" i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Y3037" i="1" s="1"/>
  <c r="R3037" i="1"/>
  <c r="U3037" i="1" s="1"/>
  <c r="N3037" i="1"/>
  <c r="T3036" i="1"/>
  <c r="Y3036" i="1" s="1"/>
  <c r="R3036" i="1"/>
  <c r="U3036" i="1" s="1"/>
  <c r="V3036" i="1" s="1"/>
  <c r="N3036" i="1"/>
  <c r="T3035" i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U3032" i="1" s="1"/>
  <c r="N3032" i="1"/>
  <c r="T3031" i="1"/>
  <c r="Y3031" i="1" s="1"/>
  <c r="R3031" i="1"/>
  <c r="U3031" i="1" s="1"/>
  <c r="N3031" i="1"/>
  <c r="T3030" i="1"/>
  <c r="Y3030" i="1" s="1"/>
  <c r="R3030" i="1"/>
  <c r="N3030" i="1"/>
  <c r="X3029" i="1"/>
  <c r="T3029" i="1"/>
  <c r="R3029" i="1"/>
  <c r="N3029" i="1"/>
  <c r="T3028" i="1"/>
  <c r="Y3028" i="1" s="1"/>
  <c r="R3028" i="1"/>
  <c r="N3028" i="1"/>
  <c r="X3027" i="1"/>
  <c r="T3027" i="1"/>
  <c r="Y3027" i="1" s="1"/>
  <c r="R3027" i="1"/>
  <c r="N3027" i="1"/>
  <c r="T3026" i="1"/>
  <c r="Y3026" i="1" s="1"/>
  <c r="R3026" i="1"/>
  <c r="N3026" i="1"/>
  <c r="X3025" i="1"/>
  <c r="T3025" i="1"/>
  <c r="Y3025" i="1" s="1"/>
  <c r="R3025" i="1"/>
  <c r="U3025" i="1" s="1"/>
  <c r="N3025" i="1"/>
  <c r="T3024" i="1"/>
  <c r="Y3024" i="1" s="1"/>
  <c r="R3024" i="1"/>
  <c r="N3024" i="1"/>
  <c r="Y3023" i="1"/>
  <c r="T3023" i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Y3020" i="1" s="1"/>
  <c r="R3020" i="1"/>
  <c r="N3020" i="1"/>
  <c r="T3019" i="1"/>
  <c r="Y3019" i="1" s="1"/>
  <c r="R3019" i="1"/>
  <c r="N3019" i="1"/>
  <c r="X3018" i="1"/>
  <c r="T3018" i="1"/>
  <c r="Y3018" i="1" s="1"/>
  <c r="R3018" i="1"/>
  <c r="U3018" i="1" s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Y3011" i="1"/>
  <c r="T3011" i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U3008" i="1" s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U3005" i="1" s="1"/>
  <c r="N3005" i="1"/>
  <c r="T3004" i="1"/>
  <c r="Y3004" i="1" s="1"/>
  <c r="R3004" i="1"/>
  <c r="N3004" i="1"/>
  <c r="T3003" i="1"/>
  <c r="Y3003" i="1" s="1"/>
  <c r="R3003" i="1"/>
  <c r="U3003" i="1" s="1"/>
  <c r="N3003" i="1"/>
  <c r="T3002" i="1"/>
  <c r="Y3002" i="1" s="1"/>
  <c r="R3002" i="1"/>
  <c r="N3002" i="1"/>
  <c r="X3001" i="1"/>
  <c r="Y3001" i="1" s="1"/>
  <c r="T3001" i="1"/>
  <c r="R3001" i="1"/>
  <c r="U3001" i="1" s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U2998" i="1" s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U2995" i="1" s="1"/>
  <c r="N2995" i="1"/>
  <c r="T2994" i="1"/>
  <c r="Y2994" i="1" s="1"/>
  <c r="R2994" i="1"/>
  <c r="N2994" i="1"/>
  <c r="T2993" i="1"/>
  <c r="Y2993" i="1" s="1"/>
  <c r="R2993" i="1"/>
  <c r="U2993" i="1" s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U2990" i="1" s="1"/>
  <c r="N2990" i="1"/>
  <c r="T2989" i="1"/>
  <c r="Y2989" i="1" s="1"/>
  <c r="R2989" i="1"/>
  <c r="U2989" i="1" s="1"/>
  <c r="N2989" i="1"/>
  <c r="T2988" i="1"/>
  <c r="Y2988" i="1" s="1"/>
  <c r="R2988" i="1"/>
  <c r="U2988" i="1" s="1"/>
  <c r="V2988" i="1" s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U2980" i="1" s="1"/>
  <c r="V2980" i="1" s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U2977" i="1" s="1"/>
  <c r="N2977" i="1"/>
  <c r="T2976" i="1"/>
  <c r="Y2976" i="1" s="1"/>
  <c r="R2976" i="1"/>
  <c r="N2976" i="1"/>
  <c r="T2975" i="1"/>
  <c r="Y2975" i="1" s="1"/>
  <c r="R2975" i="1"/>
  <c r="U2975" i="1" s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Y2966" i="1" s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R2961" i="1"/>
  <c r="N2961" i="1"/>
  <c r="T2960" i="1"/>
  <c r="Y2960" i="1" s="1"/>
  <c r="R2960" i="1"/>
  <c r="U2960" i="1" s="1"/>
  <c r="V2960" i="1" s="1"/>
  <c r="N2960" i="1"/>
  <c r="T2959" i="1"/>
  <c r="Y2959" i="1" s="1"/>
  <c r="R2959" i="1"/>
  <c r="U2959" i="1" s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U2954" i="1" s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U2951" i="1" s="1"/>
  <c r="N2951" i="1"/>
  <c r="T2950" i="1"/>
  <c r="Y2950" i="1" s="1"/>
  <c r="R2950" i="1"/>
  <c r="N2950" i="1"/>
  <c r="T2949" i="1"/>
  <c r="Y2949" i="1" s="1"/>
  <c r="R2949" i="1"/>
  <c r="N2949" i="1"/>
  <c r="Y2948" i="1"/>
  <c r="T2948" i="1"/>
  <c r="R2948" i="1"/>
  <c r="U2948" i="1" s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Y2944" i="1"/>
  <c r="T2944" i="1"/>
  <c r="R2944" i="1"/>
  <c r="N2944" i="1"/>
  <c r="T2943" i="1"/>
  <c r="Y2943" i="1" s="1"/>
  <c r="R2943" i="1"/>
  <c r="U2943" i="1" s="1"/>
  <c r="N2943" i="1"/>
  <c r="X2942" i="1"/>
  <c r="T2942" i="1"/>
  <c r="Y2942" i="1" s="1"/>
  <c r="R2942" i="1"/>
  <c r="N2942" i="1"/>
  <c r="T2941" i="1"/>
  <c r="Y2941" i="1" s="1"/>
  <c r="R2941" i="1"/>
  <c r="U2941" i="1" s="1"/>
  <c r="V2941" i="1" s="1"/>
  <c r="W2941" i="1" s="1"/>
  <c r="N2941" i="1"/>
  <c r="X2940" i="1"/>
  <c r="T2940" i="1"/>
  <c r="R2940" i="1"/>
  <c r="U2940" i="1" s="1"/>
  <c r="V2940" i="1" s="1"/>
  <c r="W2940" i="1" s="1"/>
  <c r="N2940" i="1"/>
  <c r="T2939" i="1"/>
  <c r="Y2939" i="1" s="1"/>
  <c r="R2939" i="1"/>
  <c r="U2939" i="1" s="1"/>
  <c r="N2939" i="1"/>
  <c r="T2938" i="1"/>
  <c r="Y2938" i="1" s="1"/>
  <c r="R2938" i="1"/>
  <c r="U2938" i="1" s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U2935" i="1" s="1"/>
  <c r="N2935" i="1"/>
  <c r="Y2934" i="1"/>
  <c r="T2934" i="1"/>
  <c r="R2934" i="1"/>
  <c r="N2934" i="1"/>
  <c r="T2933" i="1"/>
  <c r="Y2933" i="1" s="1"/>
  <c r="R2933" i="1"/>
  <c r="U2933" i="1" s="1"/>
  <c r="N2933" i="1"/>
  <c r="T2932" i="1"/>
  <c r="Y2932" i="1" s="1"/>
  <c r="R2932" i="1"/>
  <c r="N2932" i="1"/>
  <c r="T2931" i="1"/>
  <c r="Y2931" i="1" s="1"/>
  <c r="R2931" i="1"/>
  <c r="N2931" i="1"/>
  <c r="T2930" i="1"/>
  <c r="R2930" i="1"/>
  <c r="N2930" i="1"/>
  <c r="X2929" i="1"/>
  <c r="T2929" i="1"/>
  <c r="R2929" i="1"/>
  <c r="N2929" i="1"/>
  <c r="T2928" i="1"/>
  <c r="Y2928" i="1" s="1"/>
  <c r="R2928" i="1"/>
  <c r="U2928" i="1" s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U2925" i="1" s="1"/>
  <c r="N2925" i="1"/>
  <c r="T2924" i="1"/>
  <c r="U2924" i="1" s="1"/>
  <c r="V2924" i="1" s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U2920" i="1" s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Y2917" i="1" s="1"/>
  <c r="R2917" i="1"/>
  <c r="N2917" i="1"/>
  <c r="Y2916" i="1"/>
  <c r="T2916" i="1"/>
  <c r="R2916" i="1"/>
  <c r="N2916" i="1"/>
  <c r="T2915" i="1"/>
  <c r="R2915" i="1"/>
  <c r="N2915" i="1"/>
  <c r="T2914" i="1"/>
  <c r="Y2914" i="1" s="1"/>
  <c r="R2914" i="1"/>
  <c r="N2914" i="1"/>
  <c r="T2913" i="1"/>
  <c r="Y2913" i="1" s="1"/>
  <c r="R2913" i="1"/>
  <c r="U2913" i="1" s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U2910" i="1" s="1"/>
  <c r="N2910" i="1"/>
  <c r="T2909" i="1"/>
  <c r="Y2909" i="1" s="1"/>
  <c r="R2909" i="1"/>
  <c r="N2909" i="1"/>
  <c r="T2908" i="1"/>
  <c r="Y2908" i="1" s="1"/>
  <c r="R2908" i="1"/>
  <c r="U2908" i="1" s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U2905" i="1" s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Y2898" i="1" s="1"/>
  <c r="R2898" i="1"/>
  <c r="N2898" i="1"/>
  <c r="T2897" i="1"/>
  <c r="Y2897" i="1" s="1"/>
  <c r="R2897" i="1"/>
  <c r="U2897" i="1" s="1"/>
  <c r="V2897" i="1" s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R2892" i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U2889" i="1" s="1"/>
  <c r="N2889" i="1"/>
  <c r="T2888" i="1"/>
  <c r="Y2888" i="1" s="1"/>
  <c r="R2888" i="1"/>
  <c r="N2888" i="1"/>
  <c r="T2887" i="1"/>
  <c r="Y2887" i="1" s="1"/>
  <c r="R2887" i="1"/>
  <c r="N2887" i="1"/>
  <c r="T2886" i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R2883" i="1"/>
  <c r="N2883" i="1"/>
  <c r="Y2882" i="1"/>
  <c r="T2882" i="1"/>
  <c r="R2882" i="1"/>
  <c r="U2882" i="1" s="1"/>
  <c r="N2882" i="1"/>
  <c r="T2881" i="1"/>
  <c r="Y2881" i="1" s="1"/>
  <c r="R2881" i="1"/>
  <c r="U2881" i="1" s="1"/>
  <c r="N2881" i="1"/>
  <c r="T2880" i="1"/>
  <c r="R2880" i="1"/>
  <c r="N2880" i="1"/>
  <c r="T2879" i="1"/>
  <c r="Y2879" i="1" s="1"/>
  <c r="R2879" i="1"/>
  <c r="N2879" i="1"/>
  <c r="T2878" i="1"/>
  <c r="Y2878" i="1" s="1"/>
  <c r="R2878" i="1"/>
  <c r="U2878" i="1" s="1"/>
  <c r="V2878" i="1" s="1"/>
  <c r="N2878" i="1"/>
  <c r="T2877" i="1"/>
  <c r="Y2877" i="1" s="1"/>
  <c r="R2877" i="1"/>
  <c r="N2877" i="1"/>
  <c r="T2876" i="1"/>
  <c r="Y2876" i="1" s="1"/>
  <c r="R2876" i="1"/>
  <c r="U2876" i="1" s="1"/>
  <c r="N2876" i="1"/>
  <c r="T2875" i="1"/>
  <c r="Y2875" i="1" s="1"/>
  <c r="R2875" i="1"/>
  <c r="N2875" i="1"/>
  <c r="X2874" i="1"/>
  <c r="T2874" i="1"/>
  <c r="Y2874" i="1" s="1"/>
  <c r="R2874" i="1"/>
  <c r="N2874" i="1"/>
  <c r="T2873" i="1"/>
  <c r="Y2873" i="1" s="1"/>
  <c r="R2873" i="1"/>
  <c r="N2873" i="1"/>
  <c r="X2872" i="1"/>
  <c r="T2872" i="1"/>
  <c r="Y2872" i="1" s="1"/>
  <c r="R2872" i="1"/>
  <c r="U2872" i="1" s="1"/>
  <c r="N2872" i="1"/>
  <c r="T2871" i="1"/>
  <c r="Y2871" i="1" s="1"/>
  <c r="R2871" i="1"/>
  <c r="N2871" i="1"/>
  <c r="X2870" i="1"/>
  <c r="T2870" i="1"/>
  <c r="Y2870" i="1" s="1"/>
  <c r="R2870" i="1"/>
  <c r="U2870" i="1" s="1"/>
  <c r="N2870" i="1"/>
  <c r="X2869" i="1"/>
  <c r="T2869" i="1"/>
  <c r="R2869" i="1"/>
  <c r="N2869" i="1"/>
  <c r="T2868" i="1"/>
  <c r="Y2868" i="1" s="1"/>
  <c r="R2868" i="1"/>
  <c r="U2868" i="1" s="1"/>
  <c r="N2868" i="1"/>
  <c r="T2867" i="1"/>
  <c r="Y2867" i="1" s="1"/>
  <c r="R2867" i="1"/>
  <c r="U2867" i="1" s="1"/>
  <c r="N2867" i="1"/>
  <c r="T2866" i="1"/>
  <c r="Y2866" i="1" s="1"/>
  <c r="R2866" i="1"/>
  <c r="U2866" i="1" s="1"/>
  <c r="N2866" i="1"/>
  <c r="T2865" i="1"/>
  <c r="Y2865" i="1" s="1"/>
  <c r="R2865" i="1"/>
  <c r="N2865" i="1"/>
  <c r="T2864" i="1"/>
  <c r="Y2864" i="1" s="1"/>
  <c r="R2864" i="1"/>
  <c r="N2864" i="1"/>
  <c r="T2863" i="1"/>
  <c r="R2863" i="1"/>
  <c r="N2863" i="1"/>
  <c r="T2862" i="1"/>
  <c r="Y2862" i="1" s="1"/>
  <c r="R2862" i="1"/>
  <c r="U2862" i="1" s="1"/>
  <c r="N2862" i="1"/>
  <c r="T2861" i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U2858" i="1" s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U2855" i="1" s="1"/>
  <c r="N2855" i="1"/>
  <c r="T2854" i="1"/>
  <c r="Y2854" i="1" s="1"/>
  <c r="R2854" i="1"/>
  <c r="N2854" i="1"/>
  <c r="T2853" i="1"/>
  <c r="Y2853" i="1" s="1"/>
  <c r="R2853" i="1"/>
  <c r="U2853" i="1" s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U2849" i="1" s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R2844" i="1"/>
  <c r="N2844" i="1"/>
  <c r="T2843" i="1"/>
  <c r="Y2843" i="1" s="1"/>
  <c r="R2843" i="1"/>
  <c r="N2843" i="1"/>
  <c r="T2842" i="1"/>
  <c r="Y2842" i="1" s="1"/>
  <c r="R2842" i="1"/>
  <c r="U2842" i="1" s="1"/>
  <c r="N2842" i="1"/>
  <c r="T2841" i="1"/>
  <c r="Y2841" i="1" s="1"/>
  <c r="R2841" i="1"/>
  <c r="U2841" i="1" s="1"/>
  <c r="N2841" i="1"/>
  <c r="T2840" i="1"/>
  <c r="Y2840" i="1" s="1"/>
  <c r="R2840" i="1"/>
  <c r="N2840" i="1"/>
  <c r="T2839" i="1"/>
  <c r="Y2839" i="1" s="1"/>
  <c r="R2839" i="1"/>
  <c r="U2839" i="1" s="1"/>
  <c r="N2839" i="1"/>
  <c r="X2838" i="1"/>
  <c r="T2838" i="1"/>
  <c r="R2838" i="1"/>
  <c r="U2838" i="1" s="1"/>
  <c r="N2838" i="1"/>
  <c r="T2837" i="1"/>
  <c r="Y2837" i="1" s="1"/>
  <c r="R2837" i="1"/>
  <c r="U2837" i="1" s="1"/>
  <c r="N2837" i="1"/>
  <c r="T2836" i="1"/>
  <c r="Y2836" i="1" s="1"/>
  <c r="R2836" i="1"/>
  <c r="U2836" i="1" s="1"/>
  <c r="N2836" i="1"/>
  <c r="T2835" i="1"/>
  <c r="Y2835" i="1" s="1"/>
  <c r="R2835" i="1"/>
  <c r="U2835" i="1" s="1"/>
  <c r="N2835" i="1"/>
  <c r="T2834" i="1"/>
  <c r="Y2834" i="1" s="1"/>
  <c r="R2834" i="1"/>
  <c r="U2834" i="1" s="1"/>
  <c r="V2834" i="1" s="1"/>
  <c r="N2834" i="1"/>
  <c r="T2833" i="1"/>
  <c r="Y2833" i="1" s="1"/>
  <c r="R2833" i="1"/>
  <c r="U2833" i="1" s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U2830" i="1" s="1"/>
  <c r="N2830" i="1"/>
  <c r="T2829" i="1"/>
  <c r="Y2829" i="1" s="1"/>
  <c r="R2829" i="1"/>
  <c r="U2829" i="1" s="1"/>
  <c r="N2829" i="1"/>
  <c r="T2828" i="1"/>
  <c r="Y2828" i="1" s="1"/>
  <c r="R2828" i="1"/>
  <c r="N2828" i="1"/>
  <c r="X2827" i="1"/>
  <c r="T2827" i="1"/>
  <c r="R2827" i="1"/>
  <c r="U2827" i="1" s="1"/>
  <c r="N2827" i="1"/>
  <c r="X2826" i="1"/>
  <c r="T2826" i="1"/>
  <c r="R2826" i="1"/>
  <c r="U2826" i="1" s="1"/>
  <c r="N2826" i="1"/>
  <c r="Y2825" i="1"/>
  <c r="T2825" i="1"/>
  <c r="R2825" i="1"/>
  <c r="U2825" i="1" s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U2822" i="1" s="1"/>
  <c r="V2822" i="1" s="1"/>
  <c r="N2822" i="1"/>
  <c r="T2821" i="1"/>
  <c r="Y2821" i="1" s="1"/>
  <c r="R2821" i="1"/>
  <c r="U2821" i="1" s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U2811" i="1" s="1"/>
  <c r="N2811" i="1"/>
  <c r="Y2810" i="1"/>
  <c r="T2810" i="1"/>
  <c r="R2810" i="1"/>
  <c r="N2810" i="1"/>
  <c r="T2809" i="1"/>
  <c r="Y2809" i="1" s="1"/>
  <c r="R2809" i="1"/>
  <c r="U2809" i="1" s="1"/>
  <c r="N2809" i="1"/>
  <c r="T2808" i="1"/>
  <c r="Y2808" i="1" s="1"/>
  <c r="R2808" i="1"/>
  <c r="U2808" i="1" s="1"/>
  <c r="N2808" i="1"/>
  <c r="T2807" i="1"/>
  <c r="Y2807" i="1" s="1"/>
  <c r="R2807" i="1"/>
  <c r="U2807" i="1" s="1"/>
  <c r="N2807" i="1"/>
  <c r="X2806" i="1"/>
  <c r="T2806" i="1"/>
  <c r="R2806" i="1"/>
  <c r="U2806" i="1" s="1"/>
  <c r="N2806" i="1"/>
  <c r="T2805" i="1"/>
  <c r="Y2805" i="1" s="1"/>
  <c r="R2805" i="1"/>
  <c r="U2805" i="1" s="1"/>
  <c r="N2805" i="1"/>
  <c r="X2804" i="1"/>
  <c r="T2804" i="1"/>
  <c r="Y2804" i="1" s="1"/>
  <c r="R2804" i="1"/>
  <c r="U2804" i="1" s="1"/>
  <c r="N2804" i="1"/>
  <c r="X2803" i="1"/>
  <c r="T2803" i="1"/>
  <c r="R2803" i="1"/>
  <c r="U2803" i="1" s="1"/>
  <c r="N2803" i="1"/>
  <c r="T2802" i="1"/>
  <c r="Y2802" i="1" s="1"/>
  <c r="R2802" i="1"/>
  <c r="U2802" i="1" s="1"/>
  <c r="N2802" i="1"/>
  <c r="X2801" i="1"/>
  <c r="T2801" i="1"/>
  <c r="R2801" i="1"/>
  <c r="N2801" i="1"/>
  <c r="X2800" i="1"/>
  <c r="T2800" i="1"/>
  <c r="Y2800" i="1" s="1"/>
  <c r="R2800" i="1"/>
  <c r="U2800" i="1" s="1"/>
  <c r="V2800" i="1" s="1"/>
  <c r="N2800" i="1"/>
  <c r="X2799" i="1"/>
  <c r="T2799" i="1"/>
  <c r="Y2799" i="1" s="1"/>
  <c r="R2799" i="1"/>
  <c r="N2799" i="1"/>
  <c r="T2798" i="1"/>
  <c r="Y2798" i="1" s="1"/>
  <c r="R2798" i="1"/>
  <c r="N2798" i="1"/>
  <c r="X2797" i="1"/>
  <c r="T2797" i="1"/>
  <c r="Y2797" i="1" s="1"/>
  <c r="R2797" i="1"/>
  <c r="U2797" i="1" s="1"/>
  <c r="V2797" i="1" s="1"/>
  <c r="N2797" i="1"/>
  <c r="T2796" i="1"/>
  <c r="Y2796" i="1" s="1"/>
  <c r="R2796" i="1"/>
  <c r="N2796" i="1"/>
  <c r="X2795" i="1"/>
  <c r="T2795" i="1"/>
  <c r="Y2795" i="1" s="1"/>
  <c r="R2795" i="1"/>
  <c r="N2795" i="1"/>
  <c r="T2794" i="1"/>
  <c r="Y2794" i="1" s="1"/>
  <c r="R2794" i="1"/>
  <c r="N2794" i="1"/>
  <c r="T2793" i="1"/>
  <c r="Y2793" i="1" s="1"/>
  <c r="R2793" i="1"/>
  <c r="U2793" i="1" s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U2789" i="1" s="1"/>
  <c r="N2789" i="1"/>
  <c r="T2788" i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U2785" i="1" s="1"/>
  <c r="N2785" i="1"/>
  <c r="T2784" i="1"/>
  <c r="Y2784" i="1" s="1"/>
  <c r="R2784" i="1"/>
  <c r="U2784" i="1" s="1"/>
  <c r="N2784" i="1"/>
  <c r="T2783" i="1"/>
  <c r="Y2783" i="1" s="1"/>
  <c r="R2783" i="1"/>
  <c r="U2783" i="1" s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U2780" i="1" s="1"/>
  <c r="V2780" i="1" s="1"/>
  <c r="N2780" i="1"/>
  <c r="T2779" i="1"/>
  <c r="Y2779" i="1" s="1"/>
  <c r="R2779" i="1"/>
  <c r="U2779" i="1" s="1"/>
  <c r="N2779" i="1"/>
  <c r="T2778" i="1"/>
  <c r="Y2778" i="1" s="1"/>
  <c r="R2778" i="1"/>
  <c r="N2778" i="1"/>
  <c r="T2777" i="1"/>
  <c r="Y2777" i="1" s="1"/>
  <c r="R2777" i="1"/>
  <c r="U2777" i="1" s="1"/>
  <c r="N2777" i="1"/>
  <c r="T2776" i="1"/>
  <c r="Y2776" i="1" s="1"/>
  <c r="R2776" i="1"/>
  <c r="U2776" i="1" s="1"/>
  <c r="N2776" i="1"/>
  <c r="X2775" i="1"/>
  <c r="T2775" i="1"/>
  <c r="R2775" i="1"/>
  <c r="U2775" i="1" s="1"/>
  <c r="N2775" i="1"/>
  <c r="T2774" i="1"/>
  <c r="Y2774" i="1" s="1"/>
  <c r="R2774" i="1"/>
  <c r="U2774" i="1" s="1"/>
  <c r="V2774" i="1" s="1"/>
  <c r="N2774" i="1"/>
  <c r="T2773" i="1"/>
  <c r="Y2773" i="1" s="1"/>
  <c r="R2773" i="1"/>
  <c r="U2773" i="1" s="1"/>
  <c r="N2773" i="1"/>
  <c r="T2772" i="1"/>
  <c r="Y2772" i="1" s="1"/>
  <c r="R2772" i="1"/>
  <c r="N2772" i="1"/>
  <c r="X2771" i="1"/>
  <c r="T2771" i="1"/>
  <c r="R2771" i="1"/>
  <c r="U2771" i="1" s="1"/>
  <c r="V2771" i="1" s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Y2768" i="1" s="1"/>
  <c r="R2768" i="1"/>
  <c r="N2768" i="1"/>
  <c r="T2767" i="1"/>
  <c r="Y2767" i="1" s="1"/>
  <c r="R2767" i="1"/>
  <c r="N2767" i="1"/>
  <c r="T2766" i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U2762" i="1" s="1"/>
  <c r="V2762" i="1" s="1"/>
  <c r="N2762" i="1"/>
  <c r="T2761" i="1"/>
  <c r="Y2761" i="1" s="1"/>
  <c r="R2761" i="1"/>
  <c r="U2761" i="1" s="1"/>
  <c r="N2761" i="1"/>
  <c r="T2760" i="1"/>
  <c r="Y2760" i="1" s="1"/>
  <c r="R2760" i="1"/>
  <c r="U2760" i="1" s="1"/>
  <c r="N2760" i="1"/>
  <c r="T2759" i="1"/>
  <c r="Y2759" i="1" s="1"/>
  <c r="R2759" i="1"/>
  <c r="N2759" i="1"/>
  <c r="Y2758" i="1"/>
  <c r="T2758" i="1"/>
  <c r="R2758" i="1"/>
  <c r="U2758" i="1" s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Y2754" i="1" s="1"/>
  <c r="R2754" i="1"/>
  <c r="N2754" i="1"/>
  <c r="T2753" i="1"/>
  <c r="Y2753" i="1" s="1"/>
  <c r="R2753" i="1"/>
  <c r="U2753" i="1" s="1"/>
  <c r="N2753" i="1"/>
  <c r="X2752" i="1"/>
  <c r="T2752" i="1"/>
  <c r="Y2752" i="1" s="1"/>
  <c r="R2752" i="1"/>
  <c r="U2752" i="1" s="1"/>
  <c r="N2752" i="1"/>
  <c r="T2751" i="1"/>
  <c r="Y2751" i="1" s="1"/>
  <c r="R2751" i="1"/>
  <c r="U2751" i="1" s="1"/>
  <c r="V2751" i="1" s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U2747" i="1" s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U2743" i="1" s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U2739" i="1" s="1"/>
  <c r="V2739" i="1" s="1"/>
  <c r="W2739" i="1" s="1"/>
  <c r="N2739" i="1"/>
  <c r="T2738" i="1"/>
  <c r="Y2738" i="1" s="1"/>
  <c r="R2738" i="1"/>
  <c r="N2738" i="1"/>
  <c r="T2737" i="1"/>
  <c r="Y2737" i="1" s="1"/>
  <c r="R2737" i="1"/>
  <c r="U2737" i="1" s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U2731" i="1" s="1"/>
  <c r="N2731" i="1"/>
  <c r="Y2730" i="1"/>
  <c r="T2730" i="1"/>
  <c r="R2730" i="1"/>
  <c r="N2730" i="1"/>
  <c r="T2729" i="1"/>
  <c r="Y2729" i="1" s="1"/>
  <c r="R2729" i="1"/>
  <c r="U2729" i="1" s="1"/>
  <c r="N2729" i="1"/>
  <c r="Y2728" i="1"/>
  <c r="T2728" i="1"/>
  <c r="R2728" i="1"/>
  <c r="N2728" i="1"/>
  <c r="T2727" i="1"/>
  <c r="Y2727" i="1" s="1"/>
  <c r="R2727" i="1"/>
  <c r="U2727" i="1" s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U2722" i="1" s="1"/>
  <c r="N2722" i="1"/>
  <c r="T2721" i="1"/>
  <c r="Y2721" i="1" s="1"/>
  <c r="R2721" i="1"/>
  <c r="N2721" i="1"/>
  <c r="T2720" i="1"/>
  <c r="Y2720" i="1" s="1"/>
  <c r="R2720" i="1"/>
  <c r="U2720" i="1" s="1"/>
  <c r="N2720" i="1"/>
  <c r="T2719" i="1"/>
  <c r="Y2719" i="1" s="1"/>
  <c r="R2719" i="1"/>
  <c r="U2719" i="1" s="1"/>
  <c r="V2719" i="1" s="1"/>
  <c r="N2719" i="1"/>
  <c r="X2718" i="1"/>
  <c r="T2718" i="1"/>
  <c r="R2718" i="1"/>
  <c r="N2718" i="1"/>
  <c r="T2717" i="1"/>
  <c r="Y2717" i="1" s="1"/>
  <c r="R2717" i="1"/>
  <c r="U2717" i="1" s="1"/>
  <c r="V2717" i="1" s="1"/>
  <c r="N2717" i="1"/>
  <c r="X2716" i="1"/>
  <c r="T2716" i="1"/>
  <c r="R2716" i="1"/>
  <c r="N2716" i="1"/>
  <c r="T2715" i="1"/>
  <c r="Y2715" i="1" s="1"/>
  <c r="R2715" i="1"/>
  <c r="U2715" i="1" s="1"/>
  <c r="V2715" i="1" s="1"/>
  <c r="N2715" i="1"/>
  <c r="T2714" i="1"/>
  <c r="Y2714" i="1" s="1"/>
  <c r="R2714" i="1"/>
  <c r="U2714" i="1" s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U2711" i="1" s="1"/>
  <c r="N2711" i="1"/>
  <c r="T2710" i="1"/>
  <c r="Y2710" i="1" s="1"/>
  <c r="R2710" i="1"/>
  <c r="U2710" i="1" s="1"/>
  <c r="N2710" i="1"/>
  <c r="T2709" i="1"/>
  <c r="Y2709" i="1" s="1"/>
  <c r="R2709" i="1"/>
  <c r="N2709" i="1"/>
  <c r="X2708" i="1"/>
  <c r="T2708" i="1"/>
  <c r="R2708" i="1"/>
  <c r="N2708" i="1"/>
  <c r="X2707" i="1"/>
  <c r="T2707" i="1"/>
  <c r="Y2707" i="1" s="1"/>
  <c r="R2707" i="1"/>
  <c r="U2707" i="1" s="1"/>
  <c r="V2707" i="1" s="1"/>
  <c r="N2707" i="1"/>
  <c r="T2706" i="1"/>
  <c r="Y2706" i="1" s="1"/>
  <c r="R2706" i="1"/>
  <c r="N2706" i="1"/>
  <c r="T2705" i="1"/>
  <c r="Y2705" i="1" s="1"/>
  <c r="R2705" i="1"/>
  <c r="U2705" i="1" s="1"/>
  <c r="N2705" i="1"/>
  <c r="T2704" i="1"/>
  <c r="Y2704" i="1" s="1"/>
  <c r="R2704" i="1"/>
  <c r="U2704" i="1" s="1"/>
  <c r="N2704" i="1"/>
  <c r="T2703" i="1"/>
  <c r="Y2703" i="1" s="1"/>
  <c r="R2703" i="1"/>
  <c r="N2703" i="1"/>
  <c r="T2702" i="1"/>
  <c r="Y2702" i="1" s="1"/>
  <c r="R2702" i="1"/>
  <c r="U2702" i="1" s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U2699" i="1" s="1"/>
  <c r="N2699" i="1"/>
  <c r="T2698" i="1"/>
  <c r="Y2698" i="1" s="1"/>
  <c r="R2698" i="1"/>
  <c r="U2698" i="1" s="1"/>
  <c r="N2698" i="1"/>
  <c r="T2697" i="1"/>
  <c r="Y2697" i="1" s="1"/>
  <c r="R2697" i="1"/>
  <c r="U2697" i="1" s="1"/>
  <c r="N2697" i="1"/>
  <c r="T2696" i="1"/>
  <c r="Y2696" i="1" s="1"/>
  <c r="R2696" i="1"/>
  <c r="N2696" i="1"/>
  <c r="T2695" i="1"/>
  <c r="Y2695" i="1" s="1"/>
  <c r="R2695" i="1"/>
  <c r="U2695" i="1" s="1"/>
  <c r="N2695" i="1"/>
  <c r="T2694" i="1"/>
  <c r="Y2694" i="1" s="1"/>
  <c r="R2694" i="1"/>
  <c r="N2694" i="1"/>
  <c r="T2693" i="1"/>
  <c r="Y2693" i="1" s="1"/>
  <c r="R2693" i="1"/>
  <c r="U2693" i="1" s="1"/>
  <c r="V2693" i="1" s="1"/>
  <c r="N2693" i="1"/>
  <c r="T2692" i="1"/>
  <c r="Y2692" i="1" s="1"/>
  <c r="R2692" i="1"/>
  <c r="U2692" i="1" s="1"/>
  <c r="N2692" i="1"/>
  <c r="X2691" i="1"/>
  <c r="T2691" i="1"/>
  <c r="R2691" i="1"/>
  <c r="U2691" i="1" s="1"/>
  <c r="N2691" i="1"/>
  <c r="T2690" i="1"/>
  <c r="Y2690" i="1" s="1"/>
  <c r="R2690" i="1"/>
  <c r="N2690" i="1"/>
  <c r="T2689" i="1"/>
  <c r="Y2689" i="1" s="1"/>
  <c r="R2689" i="1"/>
  <c r="U2689" i="1" s="1"/>
  <c r="N2689" i="1"/>
  <c r="T2688" i="1"/>
  <c r="Y2688" i="1" s="1"/>
  <c r="R2688" i="1"/>
  <c r="U2688" i="1" s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U2685" i="1" s="1"/>
  <c r="N2685" i="1"/>
  <c r="T2684" i="1"/>
  <c r="Y2684" i="1" s="1"/>
  <c r="R2684" i="1"/>
  <c r="N2684" i="1"/>
  <c r="T2683" i="1"/>
  <c r="R2683" i="1"/>
  <c r="N2683" i="1"/>
  <c r="X2682" i="1"/>
  <c r="T2682" i="1"/>
  <c r="R2682" i="1"/>
  <c r="N2682" i="1"/>
  <c r="X2681" i="1"/>
  <c r="T2681" i="1"/>
  <c r="R2681" i="1"/>
  <c r="U2681" i="1" s="1"/>
  <c r="V2681" i="1" s="1"/>
  <c r="N2681" i="1"/>
  <c r="T2680" i="1"/>
  <c r="Y2680" i="1" s="1"/>
  <c r="R2680" i="1"/>
  <c r="U2680" i="1" s="1"/>
  <c r="N2680" i="1"/>
  <c r="X2679" i="1"/>
  <c r="T2679" i="1"/>
  <c r="Y2679" i="1" s="1"/>
  <c r="R2679" i="1"/>
  <c r="U2679" i="1" s="1"/>
  <c r="N2679" i="1"/>
  <c r="T2678" i="1"/>
  <c r="Y2678" i="1" s="1"/>
  <c r="R2678" i="1"/>
  <c r="U2678" i="1" s="1"/>
  <c r="N2678" i="1"/>
  <c r="X2677" i="1"/>
  <c r="T2677" i="1"/>
  <c r="R2677" i="1"/>
  <c r="U2677" i="1" s="1"/>
  <c r="N2677" i="1"/>
  <c r="T2676" i="1"/>
  <c r="Y2676" i="1" s="1"/>
  <c r="R2676" i="1"/>
  <c r="U2676" i="1" s="1"/>
  <c r="N2676" i="1"/>
  <c r="T2675" i="1"/>
  <c r="Y2675" i="1" s="1"/>
  <c r="R2675" i="1"/>
  <c r="N2675" i="1"/>
  <c r="U2674" i="1"/>
  <c r="T2674" i="1"/>
  <c r="Y2674" i="1" s="1"/>
  <c r="R2674" i="1"/>
  <c r="N2674" i="1"/>
  <c r="X2673" i="1"/>
  <c r="Y2673" i="1" s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U2670" i="1" s="1"/>
  <c r="V2670" i="1" s="1"/>
  <c r="W2670" i="1" s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U2667" i="1" s="1"/>
  <c r="N2667" i="1"/>
  <c r="T2666" i="1"/>
  <c r="Y2666" i="1" s="1"/>
  <c r="R2666" i="1"/>
  <c r="U2666" i="1" s="1"/>
  <c r="V2666" i="1" s="1"/>
  <c r="N2666" i="1"/>
  <c r="T2665" i="1"/>
  <c r="Y2665" i="1" s="1"/>
  <c r="R2665" i="1"/>
  <c r="U2665" i="1" s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U2660" i="1" s="1"/>
  <c r="N2660" i="1"/>
  <c r="T2659" i="1"/>
  <c r="Y2659" i="1" s="1"/>
  <c r="R2659" i="1"/>
  <c r="N2659" i="1"/>
  <c r="T2658" i="1"/>
  <c r="Y2658" i="1" s="1"/>
  <c r="R2658" i="1"/>
  <c r="U2658" i="1" s="1"/>
  <c r="N2658" i="1"/>
  <c r="T2657" i="1"/>
  <c r="Y2657" i="1" s="1"/>
  <c r="R2657" i="1"/>
  <c r="U2657" i="1" s="1"/>
  <c r="V2657" i="1" s="1"/>
  <c r="N2657" i="1"/>
  <c r="T2656" i="1"/>
  <c r="Y2656" i="1" s="1"/>
  <c r="R2656" i="1"/>
  <c r="N2656" i="1"/>
  <c r="Y2655" i="1"/>
  <c r="T2655" i="1"/>
  <c r="U2655" i="1" s="1"/>
  <c r="R2655" i="1"/>
  <c r="N2655" i="1"/>
  <c r="T2654" i="1"/>
  <c r="Y2654" i="1" s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Y2647" i="1" s="1"/>
  <c r="R2647" i="1"/>
  <c r="N2647" i="1"/>
  <c r="Y2646" i="1"/>
  <c r="T2646" i="1"/>
  <c r="R2646" i="1"/>
  <c r="U2646" i="1" s="1"/>
  <c r="V2646" i="1" s="1"/>
  <c r="W2646" i="1" s="1"/>
  <c r="N2646" i="1"/>
  <c r="T2645" i="1"/>
  <c r="Y2645" i="1" s="1"/>
  <c r="R2645" i="1"/>
  <c r="U2645" i="1" s="1"/>
  <c r="V2645" i="1" s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Y2636" i="1" s="1"/>
  <c r="V2636" i="1"/>
  <c r="W2636" i="1" s="1"/>
  <c r="T2636" i="1"/>
  <c r="R2636" i="1"/>
  <c r="U2636" i="1" s="1"/>
  <c r="N2636" i="1"/>
  <c r="T2635" i="1"/>
  <c r="Y2635" i="1" s="1"/>
  <c r="R2635" i="1"/>
  <c r="U2635" i="1" s="1"/>
  <c r="N2635" i="1"/>
  <c r="X2634" i="1"/>
  <c r="Y2634" i="1" s="1"/>
  <c r="T2634" i="1"/>
  <c r="R2634" i="1"/>
  <c r="N2634" i="1"/>
  <c r="T2633" i="1"/>
  <c r="R2633" i="1"/>
  <c r="N2633" i="1"/>
  <c r="T2632" i="1"/>
  <c r="Y2632" i="1" s="1"/>
  <c r="R2632" i="1"/>
  <c r="N2632" i="1"/>
  <c r="T2631" i="1"/>
  <c r="Y2631" i="1" s="1"/>
  <c r="R2631" i="1"/>
  <c r="U2631" i="1" s="1"/>
  <c r="N2631" i="1"/>
  <c r="T2630" i="1"/>
  <c r="Y2630" i="1" s="1"/>
  <c r="R2630" i="1"/>
  <c r="N2630" i="1"/>
  <c r="X2629" i="1"/>
  <c r="T2629" i="1"/>
  <c r="R2629" i="1"/>
  <c r="U2629" i="1" s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U2625" i="1"/>
  <c r="T2625" i="1"/>
  <c r="Y2625" i="1" s="1"/>
  <c r="R2625" i="1"/>
  <c r="N2625" i="1"/>
  <c r="T2624" i="1"/>
  <c r="Y2624" i="1" s="1"/>
  <c r="R2624" i="1"/>
  <c r="N2624" i="1"/>
  <c r="X2623" i="1"/>
  <c r="T2623" i="1"/>
  <c r="R2623" i="1"/>
  <c r="N2623" i="1"/>
  <c r="T2622" i="1"/>
  <c r="R2622" i="1"/>
  <c r="N2622" i="1"/>
  <c r="X2621" i="1"/>
  <c r="T2621" i="1"/>
  <c r="Y2621" i="1" s="1"/>
  <c r="R2621" i="1"/>
  <c r="N2621" i="1"/>
  <c r="T2620" i="1"/>
  <c r="Y2620" i="1" s="1"/>
  <c r="R2620" i="1"/>
  <c r="N2620" i="1"/>
  <c r="X2619" i="1"/>
  <c r="T2619" i="1"/>
  <c r="Y2619" i="1" s="1"/>
  <c r="R2619" i="1"/>
  <c r="N2619" i="1"/>
  <c r="T2618" i="1"/>
  <c r="Y2618" i="1" s="1"/>
  <c r="R2618" i="1"/>
  <c r="N2618" i="1"/>
  <c r="T2617" i="1"/>
  <c r="Y2617" i="1" s="1"/>
  <c r="R2617" i="1"/>
  <c r="U2617" i="1" s="1"/>
  <c r="N2617" i="1"/>
  <c r="T2616" i="1"/>
  <c r="Y2616" i="1" s="1"/>
  <c r="R2616" i="1"/>
  <c r="N2616" i="1"/>
  <c r="X2615" i="1"/>
  <c r="T2615" i="1"/>
  <c r="Y2615" i="1" s="1"/>
  <c r="R2615" i="1"/>
  <c r="U2615" i="1" s="1"/>
  <c r="N2615" i="1"/>
  <c r="X2614" i="1"/>
  <c r="Y2614" i="1" s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U2606" i="1" s="1"/>
  <c r="V2606" i="1" s="1"/>
  <c r="N2606" i="1"/>
  <c r="T2605" i="1"/>
  <c r="Y2605" i="1" s="1"/>
  <c r="R2605" i="1"/>
  <c r="U2605" i="1" s="1"/>
  <c r="V2605" i="1" s="1"/>
  <c r="N2605" i="1"/>
  <c r="T2604" i="1"/>
  <c r="Y2604" i="1" s="1"/>
  <c r="R2604" i="1"/>
  <c r="N2604" i="1"/>
  <c r="T2603" i="1"/>
  <c r="Y2603" i="1" s="1"/>
  <c r="R2603" i="1"/>
  <c r="U2603" i="1" s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U2600" i="1" s="1"/>
  <c r="N2600" i="1"/>
  <c r="Y2599" i="1"/>
  <c r="T2599" i="1"/>
  <c r="R2599" i="1"/>
  <c r="N2599" i="1"/>
  <c r="T2598" i="1"/>
  <c r="Y2598" i="1" s="1"/>
  <c r="R2598" i="1"/>
  <c r="U2598" i="1" s="1"/>
  <c r="V2598" i="1" s="1"/>
  <c r="W2598" i="1" s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U2592" i="1" s="1"/>
  <c r="N2592" i="1"/>
  <c r="T2591" i="1"/>
  <c r="Y2591" i="1" s="1"/>
  <c r="R2591" i="1"/>
  <c r="N2591" i="1"/>
  <c r="T2590" i="1"/>
  <c r="Y2590" i="1" s="1"/>
  <c r="R2590" i="1"/>
  <c r="U2590" i="1" s="1"/>
  <c r="N2590" i="1"/>
  <c r="T2589" i="1"/>
  <c r="Y2589" i="1" s="1"/>
  <c r="R2589" i="1"/>
  <c r="N2589" i="1"/>
  <c r="T2588" i="1"/>
  <c r="Y2588" i="1" s="1"/>
  <c r="R2588" i="1"/>
  <c r="U2588" i="1" s="1"/>
  <c r="V2588" i="1" s="1"/>
  <c r="N2588" i="1"/>
  <c r="T2587" i="1"/>
  <c r="Y2587" i="1" s="1"/>
  <c r="R2587" i="1"/>
  <c r="U2587" i="1" s="1"/>
  <c r="N2587" i="1"/>
  <c r="T2586" i="1"/>
  <c r="Y2586" i="1" s="1"/>
  <c r="R2586" i="1"/>
  <c r="N2586" i="1"/>
  <c r="T2585" i="1"/>
  <c r="R2585" i="1"/>
  <c r="N2585" i="1"/>
  <c r="T2584" i="1"/>
  <c r="Y2584" i="1" s="1"/>
  <c r="R2584" i="1"/>
  <c r="N2584" i="1"/>
  <c r="T2583" i="1"/>
  <c r="Y2583" i="1" s="1"/>
  <c r="R2583" i="1"/>
  <c r="U2583" i="1" s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Y2580" i="1" s="1"/>
  <c r="R2580" i="1"/>
  <c r="U2580" i="1" s="1"/>
  <c r="N2580" i="1"/>
  <c r="T2579" i="1"/>
  <c r="Y2579" i="1" s="1"/>
  <c r="R2579" i="1"/>
  <c r="N2579" i="1"/>
  <c r="T2578" i="1"/>
  <c r="Y2578" i="1" s="1"/>
  <c r="R2578" i="1"/>
  <c r="U2578" i="1" s="1"/>
  <c r="N2578" i="1"/>
  <c r="T2577" i="1"/>
  <c r="U2577" i="1" s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U2574" i="1" s="1"/>
  <c r="N2574" i="1"/>
  <c r="T2573" i="1"/>
  <c r="Y2573" i="1" s="1"/>
  <c r="R2573" i="1"/>
  <c r="U2573" i="1" s="1"/>
  <c r="N2573" i="1"/>
  <c r="T2572" i="1"/>
  <c r="Y2572" i="1" s="1"/>
  <c r="R2572" i="1"/>
  <c r="N2572" i="1"/>
  <c r="T2571" i="1"/>
  <c r="Y2571" i="1" s="1"/>
  <c r="R2571" i="1"/>
  <c r="U2571" i="1" s="1"/>
  <c r="V2571" i="1" s="1"/>
  <c r="N2571" i="1"/>
  <c r="T2570" i="1"/>
  <c r="Y2570" i="1" s="1"/>
  <c r="R2570" i="1"/>
  <c r="U2570" i="1" s="1"/>
  <c r="N2570" i="1"/>
  <c r="T2569" i="1"/>
  <c r="Y2569" i="1" s="1"/>
  <c r="R2569" i="1"/>
  <c r="U2569" i="1" s="1"/>
  <c r="N2569" i="1"/>
  <c r="T2568" i="1"/>
  <c r="Y2568" i="1" s="1"/>
  <c r="R2568" i="1"/>
  <c r="U2568" i="1" s="1"/>
  <c r="N2568" i="1"/>
  <c r="T2567" i="1"/>
  <c r="Y2567" i="1" s="1"/>
  <c r="R2567" i="1"/>
  <c r="U2567" i="1" s="1"/>
  <c r="N2567" i="1"/>
  <c r="T2566" i="1"/>
  <c r="Y2566" i="1" s="1"/>
  <c r="R2566" i="1"/>
  <c r="U2566" i="1" s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U2561" i="1" s="1"/>
  <c r="V2561" i="1" s="1"/>
  <c r="N2561" i="1"/>
  <c r="Y2560" i="1"/>
  <c r="T2560" i="1"/>
  <c r="R2560" i="1"/>
  <c r="N2560" i="1"/>
  <c r="T2559" i="1"/>
  <c r="Y2559" i="1" s="1"/>
  <c r="R2559" i="1"/>
  <c r="U2559" i="1" s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U2556" i="1" s="1"/>
  <c r="N2556" i="1"/>
  <c r="T2555" i="1"/>
  <c r="Y2555" i="1" s="1"/>
  <c r="R2555" i="1"/>
  <c r="N2555" i="1"/>
  <c r="T2554" i="1"/>
  <c r="Y2554" i="1" s="1"/>
  <c r="R2554" i="1"/>
  <c r="U2554" i="1" s="1"/>
  <c r="N2554" i="1"/>
  <c r="T2553" i="1"/>
  <c r="Y2553" i="1" s="1"/>
  <c r="R2553" i="1"/>
  <c r="U2553" i="1" s="1"/>
  <c r="N2553" i="1"/>
  <c r="T2552" i="1"/>
  <c r="Y2552" i="1" s="1"/>
  <c r="R2552" i="1"/>
  <c r="U2552" i="1" s="1"/>
  <c r="N2552" i="1"/>
  <c r="T2551" i="1"/>
  <c r="Y2551" i="1" s="1"/>
  <c r="R2551" i="1"/>
  <c r="U2551" i="1" s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U2547" i="1" s="1"/>
  <c r="N2547" i="1"/>
  <c r="T2546" i="1"/>
  <c r="Y2546" i="1" s="1"/>
  <c r="R2546" i="1"/>
  <c r="U2546" i="1" s="1"/>
  <c r="N2546" i="1"/>
  <c r="Y2545" i="1"/>
  <c r="T2545" i="1"/>
  <c r="R2545" i="1"/>
  <c r="U2545" i="1" s="1"/>
  <c r="V2545" i="1" s="1"/>
  <c r="W2545" i="1" s="1"/>
  <c r="N2545" i="1"/>
  <c r="T2544" i="1"/>
  <c r="R2544" i="1"/>
  <c r="N2544" i="1"/>
  <c r="T2543" i="1"/>
  <c r="Y2543" i="1" s="1"/>
  <c r="R2543" i="1"/>
  <c r="N2543" i="1"/>
  <c r="T2542" i="1"/>
  <c r="Y2542" i="1" s="1"/>
  <c r="R2542" i="1"/>
  <c r="U2542" i="1" s="1"/>
  <c r="N2542" i="1"/>
  <c r="T2541" i="1"/>
  <c r="Y2541" i="1" s="1"/>
  <c r="R2541" i="1"/>
  <c r="U2541" i="1" s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U2538" i="1" s="1"/>
  <c r="N2538" i="1"/>
  <c r="T2537" i="1"/>
  <c r="Y2537" i="1" s="1"/>
  <c r="R2537" i="1"/>
  <c r="U2537" i="1" s="1"/>
  <c r="V2537" i="1" s="1"/>
  <c r="N2537" i="1"/>
  <c r="T2536" i="1"/>
  <c r="Y2536" i="1" s="1"/>
  <c r="R2536" i="1"/>
  <c r="N2536" i="1"/>
  <c r="T2535" i="1"/>
  <c r="Y2535" i="1" s="1"/>
  <c r="R2535" i="1"/>
  <c r="U2535" i="1" s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U2529" i="1" s="1"/>
  <c r="V2529" i="1" s="1"/>
  <c r="N2529" i="1"/>
  <c r="T2528" i="1"/>
  <c r="Y2528" i="1" s="1"/>
  <c r="R2528" i="1"/>
  <c r="U2528" i="1" s="1"/>
  <c r="N2528" i="1"/>
  <c r="T2527" i="1"/>
  <c r="Y2527" i="1" s="1"/>
  <c r="R2527" i="1"/>
  <c r="N2527" i="1"/>
  <c r="X2526" i="1"/>
  <c r="T2526" i="1"/>
  <c r="R2526" i="1"/>
  <c r="U2526" i="1" s="1"/>
  <c r="N2526" i="1"/>
  <c r="X2525" i="1"/>
  <c r="T2525" i="1"/>
  <c r="Y2525" i="1" s="1"/>
  <c r="R2525" i="1"/>
  <c r="N2525" i="1"/>
  <c r="Y2524" i="1"/>
  <c r="T2524" i="1"/>
  <c r="R2524" i="1"/>
  <c r="U2524" i="1" s="1"/>
  <c r="N2524" i="1"/>
  <c r="T2523" i="1"/>
  <c r="Y2523" i="1" s="1"/>
  <c r="R2523" i="1"/>
  <c r="U2523" i="1" s="1"/>
  <c r="V2523" i="1" s="1"/>
  <c r="W2523" i="1" s="1"/>
  <c r="N2523" i="1"/>
  <c r="T2522" i="1"/>
  <c r="Y2522" i="1" s="1"/>
  <c r="R2522" i="1"/>
  <c r="U2522" i="1" s="1"/>
  <c r="V2522" i="1" s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U2519" i="1" s="1"/>
  <c r="V2519" i="1" s="1"/>
  <c r="N2519" i="1"/>
  <c r="X2518" i="1"/>
  <c r="T2518" i="1"/>
  <c r="R2518" i="1"/>
  <c r="U2518" i="1" s="1"/>
  <c r="N2518" i="1"/>
  <c r="X2517" i="1"/>
  <c r="T2517" i="1"/>
  <c r="Y2517" i="1" s="1"/>
  <c r="R2517" i="1"/>
  <c r="U2517" i="1" s="1"/>
  <c r="N2517" i="1"/>
  <c r="T2516" i="1"/>
  <c r="Y2516" i="1" s="1"/>
  <c r="R2516" i="1"/>
  <c r="U2516" i="1" s="1"/>
  <c r="N2516" i="1"/>
  <c r="T2515" i="1"/>
  <c r="Y2515" i="1" s="1"/>
  <c r="R2515" i="1"/>
  <c r="U2515" i="1" s="1"/>
  <c r="V2515" i="1" s="1"/>
  <c r="W2515" i="1" s="1"/>
  <c r="N2515" i="1"/>
  <c r="X2514" i="1"/>
  <c r="T2514" i="1"/>
  <c r="Y2514" i="1" s="1"/>
  <c r="R2514" i="1"/>
  <c r="N2514" i="1"/>
  <c r="T2513" i="1"/>
  <c r="Y2513" i="1" s="1"/>
  <c r="R2513" i="1"/>
  <c r="U2513" i="1" s="1"/>
  <c r="N2513" i="1"/>
  <c r="T2512" i="1"/>
  <c r="R2512" i="1"/>
  <c r="N2512" i="1"/>
  <c r="T2511" i="1"/>
  <c r="Y2511" i="1" s="1"/>
  <c r="R2511" i="1"/>
  <c r="U2511" i="1" s="1"/>
  <c r="N2511" i="1"/>
  <c r="X2510" i="1"/>
  <c r="T2510" i="1"/>
  <c r="Y2510" i="1" s="1"/>
  <c r="R2510" i="1"/>
  <c r="N2510" i="1"/>
  <c r="T2509" i="1"/>
  <c r="Y2509" i="1" s="1"/>
  <c r="R2509" i="1"/>
  <c r="N2509" i="1"/>
  <c r="T2508" i="1"/>
  <c r="Y2508" i="1" s="1"/>
  <c r="R2508" i="1"/>
  <c r="U2508" i="1" s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U2503" i="1" s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R2499" i="1"/>
  <c r="U2499" i="1" s="1"/>
  <c r="N2499" i="1"/>
  <c r="Y2498" i="1"/>
  <c r="U2498" i="1"/>
  <c r="T2498" i="1"/>
  <c r="R2498" i="1"/>
  <c r="N2498" i="1"/>
  <c r="T2497" i="1"/>
  <c r="Y2497" i="1" s="1"/>
  <c r="R2497" i="1"/>
  <c r="U2497" i="1" s="1"/>
  <c r="N2497" i="1"/>
  <c r="T2496" i="1"/>
  <c r="Y2496" i="1" s="1"/>
  <c r="R2496" i="1"/>
  <c r="U2496" i="1" s="1"/>
  <c r="N2496" i="1"/>
  <c r="X2495" i="1"/>
  <c r="T2495" i="1"/>
  <c r="R2495" i="1"/>
  <c r="U2495" i="1" s="1"/>
  <c r="V2495" i="1" s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Y2492" i="1" s="1"/>
  <c r="R2492" i="1"/>
  <c r="N2492" i="1"/>
  <c r="T2491" i="1"/>
  <c r="Y2491" i="1" s="1"/>
  <c r="R2491" i="1"/>
  <c r="N2491" i="1"/>
  <c r="T2490" i="1"/>
  <c r="R2490" i="1"/>
  <c r="N2490" i="1"/>
  <c r="T2489" i="1"/>
  <c r="Y2489" i="1" s="1"/>
  <c r="R2489" i="1"/>
  <c r="U2489" i="1" s="1"/>
  <c r="N2489" i="1"/>
  <c r="T2488" i="1"/>
  <c r="Y2488" i="1" s="1"/>
  <c r="R2488" i="1"/>
  <c r="N2488" i="1"/>
  <c r="X2487" i="1"/>
  <c r="T2487" i="1"/>
  <c r="Y2487" i="1" s="1"/>
  <c r="R2487" i="1"/>
  <c r="U2487" i="1" s="1"/>
  <c r="N2487" i="1"/>
  <c r="W2486" i="1"/>
  <c r="U2486" i="1"/>
  <c r="V2486" i="1" s="1"/>
  <c r="T2486" i="1"/>
  <c r="Y2486" i="1" s="1"/>
  <c r="R2486" i="1"/>
  <c r="N2486" i="1"/>
  <c r="T2485" i="1"/>
  <c r="Y2485" i="1" s="1"/>
  <c r="R2485" i="1"/>
  <c r="N2485" i="1"/>
  <c r="Y2484" i="1"/>
  <c r="T2484" i="1"/>
  <c r="R2484" i="1"/>
  <c r="N2484" i="1"/>
  <c r="T2483" i="1"/>
  <c r="Y2483" i="1" s="1"/>
  <c r="R2483" i="1"/>
  <c r="N2483" i="1"/>
  <c r="Y2482" i="1"/>
  <c r="U2482" i="1"/>
  <c r="V2482" i="1" s="1"/>
  <c r="W2482" i="1" s="1"/>
  <c r="T2482" i="1"/>
  <c r="R2482" i="1"/>
  <c r="N2482" i="1"/>
  <c r="T2481" i="1"/>
  <c r="Y2481" i="1" s="1"/>
  <c r="R2481" i="1"/>
  <c r="U2481" i="1" s="1"/>
  <c r="N2481" i="1"/>
  <c r="T2480" i="1"/>
  <c r="Y2480" i="1" s="1"/>
  <c r="R2480" i="1"/>
  <c r="N2480" i="1"/>
  <c r="T2479" i="1"/>
  <c r="Y2479" i="1" s="1"/>
  <c r="R2479" i="1"/>
  <c r="U2479" i="1" s="1"/>
  <c r="N2479" i="1"/>
  <c r="T2478" i="1"/>
  <c r="Y2478" i="1" s="1"/>
  <c r="R2478" i="1"/>
  <c r="U2478" i="1" s="1"/>
  <c r="V2478" i="1" s="1"/>
  <c r="N2478" i="1"/>
  <c r="T2477" i="1"/>
  <c r="Y2477" i="1" s="1"/>
  <c r="R2477" i="1"/>
  <c r="N2477" i="1"/>
  <c r="T2476" i="1"/>
  <c r="Y2476" i="1" s="1"/>
  <c r="R2476" i="1"/>
  <c r="U2476" i="1" s="1"/>
  <c r="N2476" i="1"/>
  <c r="T2475" i="1"/>
  <c r="Y2475" i="1" s="1"/>
  <c r="R2475" i="1"/>
  <c r="N2475" i="1"/>
  <c r="T2474" i="1"/>
  <c r="Y2474" i="1" s="1"/>
  <c r="R2474" i="1"/>
  <c r="U2474" i="1" s="1"/>
  <c r="V2474" i="1" s="1"/>
  <c r="N2474" i="1"/>
  <c r="T2473" i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U2470" i="1" s="1"/>
  <c r="N2470" i="1"/>
  <c r="T2469" i="1"/>
  <c r="Y2469" i="1" s="1"/>
  <c r="R2469" i="1"/>
  <c r="N2469" i="1"/>
  <c r="T2468" i="1"/>
  <c r="Y2468" i="1" s="1"/>
  <c r="R2468" i="1"/>
  <c r="U2468" i="1" s="1"/>
  <c r="N2468" i="1"/>
  <c r="T2467" i="1"/>
  <c r="Y2467" i="1" s="1"/>
  <c r="R2467" i="1"/>
  <c r="N2467" i="1"/>
  <c r="T2466" i="1"/>
  <c r="Y2466" i="1" s="1"/>
  <c r="R2466" i="1"/>
  <c r="U2466" i="1" s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U2463" i="1" s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U2460" i="1" s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U2457" i="1" s="1"/>
  <c r="N2457" i="1"/>
  <c r="T2456" i="1"/>
  <c r="Y2456" i="1" s="1"/>
  <c r="R2456" i="1"/>
  <c r="N2456" i="1"/>
  <c r="T2455" i="1"/>
  <c r="Y2455" i="1" s="1"/>
  <c r="R2455" i="1"/>
  <c r="U2455" i="1" s="1"/>
  <c r="N2455" i="1"/>
  <c r="T2454" i="1"/>
  <c r="Y2454" i="1" s="1"/>
  <c r="R2454" i="1"/>
  <c r="U2454" i="1" s="1"/>
  <c r="N2454" i="1"/>
  <c r="T2453" i="1"/>
  <c r="Y2453" i="1" s="1"/>
  <c r="R2453" i="1"/>
  <c r="N2453" i="1"/>
  <c r="T2452" i="1"/>
  <c r="Y2452" i="1" s="1"/>
  <c r="R2452" i="1"/>
  <c r="U2452" i="1" s="1"/>
  <c r="N2452" i="1"/>
  <c r="T2451" i="1"/>
  <c r="Y2451" i="1" s="1"/>
  <c r="R2451" i="1"/>
  <c r="N2451" i="1"/>
  <c r="T2450" i="1"/>
  <c r="Y2450" i="1" s="1"/>
  <c r="R2450" i="1"/>
  <c r="U2450" i="1" s="1"/>
  <c r="V2450" i="1" s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U2446" i="1" s="1"/>
  <c r="V2446" i="1" s="1"/>
  <c r="N2446" i="1"/>
  <c r="T2445" i="1"/>
  <c r="Y2445" i="1" s="1"/>
  <c r="R2445" i="1"/>
  <c r="U2445" i="1" s="1"/>
  <c r="N2445" i="1"/>
  <c r="T2444" i="1"/>
  <c r="Y2444" i="1" s="1"/>
  <c r="R2444" i="1"/>
  <c r="U2444" i="1" s="1"/>
  <c r="N2444" i="1"/>
  <c r="T2443" i="1"/>
  <c r="Y2443" i="1" s="1"/>
  <c r="R2443" i="1"/>
  <c r="N2443" i="1"/>
  <c r="T2442" i="1"/>
  <c r="Y2442" i="1" s="1"/>
  <c r="R2442" i="1"/>
  <c r="U2442" i="1" s="1"/>
  <c r="V2442" i="1" s="1"/>
  <c r="W2442" i="1" s="1"/>
  <c r="N2442" i="1"/>
  <c r="T2441" i="1"/>
  <c r="Y2441" i="1" s="1"/>
  <c r="R2441" i="1"/>
  <c r="N2441" i="1"/>
  <c r="T2440" i="1"/>
  <c r="Y2440" i="1" s="1"/>
  <c r="R2440" i="1"/>
  <c r="U2440" i="1" s="1"/>
  <c r="N2440" i="1"/>
  <c r="T2439" i="1"/>
  <c r="Y2439" i="1" s="1"/>
  <c r="R2439" i="1"/>
  <c r="U2439" i="1" s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U2436" i="1" s="1"/>
  <c r="N2436" i="1"/>
  <c r="T2435" i="1"/>
  <c r="Y2435" i="1" s="1"/>
  <c r="R2435" i="1"/>
  <c r="N2435" i="1"/>
  <c r="T2434" i="1"/>
  <c r="Y2434" i="1" s="1"/>
  <c r="R2434" i="1"/>
  <c r="U2434" i="1" s="1"/>
  <c r="V2434" i="1" s="1"/>
  <c r="N2434" i="1"/>
  <c r="T2433" i="1"/>
  <c r="Y2433" i="1" s="1"/>
  <c r="R2433" i="1"/>
  <c r="N2433" i="1"/>
  <c r="T2432" i="1"/>
  <c r="Y2432" i="1" s="1"/>
  <c r="R2432" i="1"/>
  <c r="U2432" i="1" s="1"/>
  <c r="N2432" i="1"/>
  <c r="T2431" i="1"/>
  <c r="Y2431" i="1" s="1"/>
  <c r="R2431" i="1"/>
  <c r="N2431" i="1"/>
  <c r="T2430" i="1"/>
  <c r="Y2430" i="1" s="1"/>
  <c r="R2430" i="1"/>
  <c r="U2430" i="1" s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U2426" i="1" s="1"/>
  <c r="V2426" i="1" s="1"/>
  <c r="W2426" i="1" s="1"/>
  <c r="N2426" i="1"/>
  <c r="X2425" i="1"/>
  <c r="T2425" i="1"/>
  <c r="Y2425" i="1" s="1"/>
  <c r="R2425" i="1"/>
  <c r="N2425" i="1"/>
  <c r="T2424" i="1"/>
  <c r="Y2424" i="1" s="1"/>
  <c r="R2424" i="1"/>
  <c r="U2424" i="1" s="1"/>
  <c r="N2424" i="1"/>
  <c r="T2423" i="1"/>
  <c r="R2423" i="1"/>
  <c r="N2423" i="1"/>
  <c r="T2422" i="1"/>
  <c r="Y2422" i="1" s="1"/>
  <c r="R2422" i="1"/>
  <c r="U2422" i="1" s="1"/>
  <c r="N2422" i="1"/>
  <c r="T2421" i="1"/>
  <c r="Y2421" i="1" s="1"/>
  <c r="R2421" i="1"/>
  <c r="U2421" i="1" s="1"/>
  <c r="N2421" i="1"/>
  <c r="T2420" i="1"/>
  <c r="Y2420" i="1" s="1"/>
  <c r="R2420" i="1"/>
  <c r="U2420" i="1" s="1"/>
  <c r="N2420" i="1"/>
  <c r="X2419" i="1"/>
  <c r="T2419" i="1"/>
  <c r="Y2419" i="1" s="1"/>
  <c r="R2419" i="1"/>
  <c r="U2419" i="1" s="1"/>
  <c r="N2419" i="1"/>
  <c r="T2418" i="1"/>
  <c r="Y2418" i="1" s="1"/>
  <c r="R2418" i="1"/>
  <c r="N2418" i="1"/>
  <c r="T2417" i="1"/>
  <c r="Y2417" i="1" s="1"/>
  <c r="R2417" i="1"/>
  <c r="U2417" i="1" s="1"/>
  <c r="N2417" i="1"/>
  <c r="T2416" i="1"/>
  <c r="Y2416" i="1" s="1"/>
  <c r="R2416" i="1"/>
  <c r="N2416" i="1"/>
  <c r="T2415" i="1"/>
  <c r="Y2415" i="1" s="1"/>
  <c r="R2415" i="1"/>
  <c r="U2415" i="1" s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U2410" i="1" s="1"/>
  <c r="N2410" i="1"/>
  <c r="T2409" i="1"/>
  <c r="Y2409" i="1" s="1"/>
  <c r="R2409" i="1"/>
  <c r="U2409" i="1" s="1"/>
  <c r="V2409" i="1" s="1"/>
  <c r="N2409" i="1"/>
  <c r="T2408" i="1"/>
  <c r="Y2408" i="1" s="1"/>
  <c r="R2408" i="1"/>
  <c r="N2408" i="1"/>
  <c r="T2407" i="1"/>
  <c r="Y2407" i="1" s="1"/>
  <c r="R2407" i="1"/>
  <c r="U2407" i="1" s="1"/>
  <c r="N2407" i="1"/>
  <c r="T2406" i="1"/>
  <c r="Y2406" i="1" s="1"/>
  <c r="R2406" i="1"/>
  <c r="N2406" i="1"/>
  <c r="T2405" i="1"/>
  <c r="Y2405" i="1" s="1"/>
  <c r="R2405" i="1"/>
  <c r="U2405" i="1" s="1"/>
  <c r="V2405" i="1" s="1"/>
  <c r="N2405" i="1"/>
  <c r="T2404" i="1"/>
  <c r="Y2404" i="1" s="1"/>
  <c r="R2404" i="1"/>
  <c r="U2404" i="1" s="1"/>
  <c r="N2404" i="1"/>
  <c r="T2403" i="1"/>
  <c r="Y2403" i="1" s="1"/>
  <c r="R2403" i="1"/>
  <c r="N2403" i="1"/>
  <c r="T2402" i="1"/>
  <c r="Y2402" i="1" s="1"/>
  <c r="R2402" i="1"/>
  <c r="U2402" i="1" s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U2399" i="1" s="1"/>
  <c r="N2399" i="1"/>
  <c r="T2398" i="1"/>
  <c r="Y2398" i="1" s="1"/>
  <c r="R2398" i="1"/>
  <c r="N2398" i="1"/>
  <c r="T2397" i="1"/>
  <c r="Y2397" i="1" s="1"/>
  <c r="R2397" i="1"/>
  <c r="U2397" i="1" s="1"/>
  <c r="V2397" i="1" s="1"/>
  <c r="N2397" i="1"/>
  <c r="T2396" i="1"/>
  <c r="Y2396" i="1" s="1"/>
  <c r="R2396" i="1"/>
  <c r="U2396" i="1" s="1"/>
  <c r="V2396" i="1" s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U2393" i="1" s="1"/>
  <c r="V2393" i="1" s="1"/>
  <c r="N2393" i="1"/>
  <c r="T2392" i="1"/>
  <c r="Y2392" i="1" s="1"/>
  <c r="R2392" i="1"/>
  <c r="N2392" i="1"/>
  <c r="T2391" i="1"/>
  <c r="Y2391" i="1" s="1"/>
  <c r="R2391" i="1"/>
  <c r="U2391" i="1" s="1"/>
  <c r="N2391" i="1"/>
  <c r="T2390" i="1"/>
  <c r="Y2390" i="1" s="1"/>
  <c r="R2390" i="1"/>
  <c r="N2390" i="1"/>
  <c r="T2389" i="1"/>
  <c r="Y2389" i="1" s="1"/>
  <c r="R2389" i="1"/>
  <c r="U2389" i="1" s="1"/>
  <c r="V2389" i="1" s="1"/>
  <c r="N2389" i="1"/>
  <c r="T2388" i="1"/>
  <c r="Y2388" i="1" s="1"/>
  <c r="R2388" i="1"/>
  <c r="N2388" i="1"/>
  <c r="T2387" i="1"/>
  <c r="Y2387" i="1" s="1"/>
  <c r="R2387" i="1"/>
  <c r="U2387" i="1" s="1"/>
  <c r="N2387" i="1"/>
  <c r="T2386" i="1"/>
  <c r="Y2386" i="1" s="1"/>
  <c r="R2386" i="1"/>
  <c r="U2386" i="1" s="1"/>
  <c r="N2386" i="1"/>
  <c r="T2385" i="1"/>
  <c r="Y2385" i="1" s="1"/>
  <c r="R2385" i="1"/>
  <c r="U2385" i="1" s="1"/>
  <c r="V2385" i="1" s="1"/>
  <c r="N2385" i="1"/>
  <c r="T2384" i="1"/>
  <c r="Y2384" i="1" s="1"/>
  <c r="R2384" i="1"/>
  <c r="U2384" i="1" s="1"/>
  <c r="N2384" i="1"/>
  <c r="T2383" i="1"/>
  <c r="Y2383" i="1" s="1"/>
  <c r="R2383" i="1"/>
  <c r="U2383" i="1" s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R2379" i="1"/>
  <c r="N2379" i="1"/>
  <c r="T2378" i="1"/>
  <c r="Y2378" i="1" s="1"/>
  <c r="R2378" i="1"/>
  <c r="U2378" i="1" s="1"/>
  <c r="N2378" i="1"/>
  <c r="T2377" i="1"/>
  <c r="Y2377" i="1" s="1"/>
  <c r="R2377" i="1"/>
  <c r="N2377" i="1"/>
  <c r="T2376" i="1"/>
  <c r="Y2376" i="1" s="1"/>
  <c r="R2376" i="1"/>
  <c r="U2376" i="1" s="1"/>
  <c r="V2376" i="1" s="1"/>
  <c r="N2376" i="1"/>
  <c r="T2375" i="1"/>
  <c r="Y2375" i="1" s="1"/>
  <c r="R2375" i="1"/>
  <c r="N2375" i="1"/>
  <c r="T2374" i="1"/>
  <c r="Y2374" i="1" s="1"/>
  <c r="R2374" i="1"/>
  <c r="U2374" i="1" s="1"/>
  <c r="N2374" i="1"/>
  <c r="T2373" i="1"/>
  <c r="R2373" i="1"/>
  <c r="N2373" i="1"/>
  <c r="T2372" i="1"/>
  <c r="Y2372" i="1" s="1"/>
  <c r="R2372" i="1"/>
  <c r="U2372" i="1" s="1"/>
  <c r="V2372" i="1" s="1"/>
  <c r="W2372" i="1" s="1"/>
  <c r="N2372" i="1"/>
  <c r="T2371" i="1"/>
  <c r="R2371" i="1"/>
  <c r="N2371" i="1"/>
  <c r="T2370" i="1"/>
  <c r="Y2370" i="1" s="1"/>
  <c r="R2370" i="1"/>
  <c r="U2370" i="1" s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U2367" i="1" s="1"/>
  <c r="N2367" i="1"/>
  <c r="T2366" i="1"/>
  <c r="Y2366" i="1" s="1"/>
  <c r="R2366" i="1"/>
  <c r="U2366" i="1" s="1"/>
  <c r="N2366" i="1"/>
  <c r="T2365" i="1"/>
  <c r="R2365" i="1"/>
  <c r="N2365" i="1"/>
  <c r="T2364" i="1"/>
  <c r="Y2364" i="1" s="1"/>
  <c r="R2364" i="1"/>
  <c r="U2364" i="1" s="1"/>
  <c r="V2364" i="1" s="1"/>
  <c r="N2364" i="1"/>
  <c r="T2363" i="1"/>
  <c r="Y2363" i="1" s="1"/>
  <c r="R2363" i="1"/>
  <c r="N2363" i="1"/>
  <c r="T2362" i="1"/>
  <c r="Y2362" i="1" s="1"/>
  <c r="R2362" i="1"/>
  <c r="U2362" i="1" s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U2359" i="1" s="1"/>
  <c r="N2359" i="1"/>
  <c r="T2358" i="1"/>
  <c r="Y2358" i="1" s="1"/>
  <c r="R2358" i="1"/>
  <c r="U2358" i="1" s="1"/>
  <c r="N2358" i="1"/>
  <c r="T2357" i="1"/>
  <c r="R2357" i="1"/>
  <c r="N2357" i="1"/>
  <c r="X2356" i="1"/>
  <c r="T2356" i="1"/>
  <c r="R2356" i="1"/>
  <c r="N2356" i="1"/>
  <c r="T2355" i="1"/>
  <c r="Y2355" i="1" s="1"/>
  <c r="R2355" i="1"/>
  <c r="U2355" i="1" s="1"/>
  <c r="V2355" i="1" s="1"/>
  <c r="N2355" i="1"/>
  <c r="T2354" i="1"/>
  <c r="Y2354" i="1" s="1"/>
  <c r="R2354" i="1"/>
  <c r="U2354" i="1" s="1"/>
  <c r="N2354" i="1"/>
  <c r="T2353" i="1"/>
  <c r="Y2353" i="1" s="1"/>
  <c r="R2353" i="1"/>
  <c r="N2353" i="1"/>
  <c r="X2352" i="1"/>
  <c r="Y2352" i="1" s="1"/>
  <c r="T2352" i="1"/>
  <c r="R2352" i="1"/>
  <c r="U2352" i="1" s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U2349" i="1" s="1"/>
  <c r="N2349" i="1"/>
  <c r="T2348" i="1"/>
  <c r="Y2348" i="1" s="1"/>
  <c r="R2348" i="1"/>
  <c r="N2348" i="1"/>
  <c r="T2347" i="1"/>
  <c r="U2347" i="1" s="1"/>
  <c r="R2347" i="1"/>
  <c r="N2347" i="1"/>
  <c r="T2346" i="1"/>
  <c r="R2346" i="1"/>
  <c r="N2346" i="1"/>
  <c r="T2345" i="1"/>
  <c r="Y2345" i="1" s="1"/>
  <c r="R2345" i="1"/>
  <c r="U2345" i="1" s="1"/>
  <c r="N2345" i="1"/>
  <c r="T2344" i="1"/>
  <c r="Y2344" i="1" s="1"/>
  <c r="R2344" i="1"/>
  <c r="U2344" i="1" s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U2341" i="1" s="1"/>
  <c r="N2341" i="1"/>
  <c r="T2340" i="1"/>
  <c r="Y2340" i="1" s="1"/>
  <c r="R2340" i="1"/>
  <c r="U2340" i="1" s="1"/>
  <c r="N2340" i="1"/>
  <c r="T2339" i="1"/>
  <c r="U2339" i="1" s="1"/>
  <c r="V2339" i="1" s="1"/>
  <c r="W2339" i="1" s="1"/>
  <c r="R2339" i="1"/>
  <c r="N2339" i="1"/>
  <c r="T2338" i="1"/>
  <c r="R2338" i="1"/>
  <c r="N2338" i="1"/>
  <c r="T2337" i="1"/>
  <c r="Y2337" i="1" s="1"/>
  <c r="R2337" i="1"/>
  <c r="N2337" i="1"/>
  <c r="T2336" i="1"/>
  <c r="Y2336" i="1" s="1"/>
  <c r="R2336" i="1"/>
  <c r="U2336" i="1" s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U2333" i="1" s="1"/>
  <c r="N2333" i="1"/>
  <c r="T2332" i="1"/>
  <c r="Y2332" i="1" s="1"/>
  <c r="R2332" i="1"/>
  <c r="U2332" i="1" s="1"/>
  <c r="V2332" i="1" s="1"/>
  <c r="N2332" i="1"/>
  <c r="Y2331" i="1"/>
  <c r="T2331" i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U2328" i="1" s="1"/>
  <c r="N2328" i="1"/>
  <c r="X2327" i="1"/>
  <c r="T2327" i="1"/>
  <c r="Y2327" i="1" s="1"/>
  <c r="R2327" i="1"/>
  <c r="U2327" i="1" s="1"/>
  <c r="V2327" i="1" s="1"/>
  <c r="N2327" i="1"/>
  <c r="T2326" i="1"/>
  <c r="Y2326" i="1" s="1"/>
  <c r="R2326" i="1"/>
  <c r="U2326" i="1" s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U2323" i="1" s="1"/>
  <c r="V2323" i="1" s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U2318" i="1" s="1"/>
  <c r="N2318" i="1"/>
  <c r="T2317" i="1"/>
  <c r="Y2317" i="1" s="1"/>
  <c r="R2317" i="1"/>
  <c r="N2317" i="1"/>
  <c r="T2316" i="1"/>
  <c r="Y2316" i="1" s="1"/>
  <c r="R2316" i="1"/>
  <c r="U2316" i="1" s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U2310" i="1" s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U2306" i="1" s="1"/>
  <c r="N2306" i="1"/>
  <c r="T2305" i="1"/>
  <c r="Y2305" i="1" s="1"/>
  <c r="R2305" i="1"/>
  <c r="U2305" i="1" s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U2301" i="1" s="1"/>
  <c r="N2301" i="1"/>
  <c r="T2300" i="1"/>
  <c r="Y2300" i="1" s="1"/>
  <c r="R2300" i="1"/>
  <c r="U2300" i="1" s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U2295" i="1" s="1"/>
  <c r="N2295" i="1"/>
  <c r="T2294" i="1"/>
  <c r="U2294" i="1" s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U2288" i="1" s="1"/>
  <c r="N2288" i="1"/>
  <c r="X2287" i="1"/>
  <c r="T2287" i="1"/>
  <c r="R2287" i="1"/>
  <c r="U2287" i="1" s="1"/>
  <c r="N2287" i="1"/>
  <c r="T2286" i="1"/>
  <c r="Y2286" i="1" s="1"/>
  <c r="R2286" i="1"/>
  <c r="N2286" i="1"/>
  <c r="T2285" i="1"/>
  <c r="Y2285" i="1" s="1"/>
  <c r="R2285" i="1"/>
  <c r="U2285" i="1" s="1"/>
  <c r="N2285" i="1"/>
  <c r="T2284" i="1"/>
  <c r="R2284" i="1"/>
  <c r="N2284" i="1"/>
  <c r="T2283" i="1"/>
  <c r="Y2283" i="1" s="1"/>
  <c r="R2283" i="1"/>
  <c r="N2283" i="1"/>
  <c r="T2282" i="1"/>
  <c r="Y2282" i="1" s="1"/>
  <c r="R2282" i="1"/>
  <c r="U2282" i="1" s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U2279" i="1" s="1"/>
  <c r="N2279" i="1"/>
  <c r="T2278" i="1"/>
  <c r="Y2278" i="1" s="1"/>
  <c r="R2278" i="1"/>
  <c r="N2278" i="1"/>
  <c r="T2277" i="1"/>
  <c r="Y2277" i="1" s="1"/>
  <c r="R2277" i="1"/>
  <c r="U2277" i="1" s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U2274" i="1" s="1"/>
  <c r="N2274" i="1"/>
  <c r="X2273" i="1"/>
  <c r="T2273" i="1"/>
  <c r="R2273" i="1"/>
  <c r="U2273" i="1" s="1"/>
  <c r="V2273" i="1" s="1"/>
  <c r="W2273" i="1" s="1"/>
  <c r="N2273" i="1"/>
  <c r="X2272" i="1"/>
  <c r="U2272" i="1"/>
  <c r="T2272" i="1"/>
  <c r="R2272" i="1"/>
  <c r="N2272" i="1"/>
  <c r="X2271" i="1"/>
  <c r="T2271" i="1"/>
  <c r="R2271" i="1"/>
  <c r="U2271" i="1" s="1"/>
  <c r="V2271" i="1" s="1"/>
  <c r="W2271" i="1" s="1"/>
  <c r="N2271" i="1"/>
  <c r="T2270" i="1"/>
  <c r="Y2270" i="1" s="1"/>
  <c r="R2270" i="1"/>
  <c r="N2270" i="1"/>
  <c r="T2269" i="1"/>
  <c r="Y2269" i="1" s="1"/>
  <c r="R2269" i="1"/>
  <c r="U2269" i="1" s="1"/>
  <c r="N2269" i="1"/>
  <c r="T2268" i="1"/>
  <c r="Y2268" i="1" s="1"/>
  <c r="R2268" i="1"/>
  <c r="U2268" i="1" s="1"/>
  <c r="N2268" i="1"/>
  <c r="T2267" i="1"/>
  <c r="Y2267" i="1" s="1"/>
  <c r="R2267" i="1"/>
  <c r="U2267" i="1" s="1"/>
  <c r="N2267" i="1"/>
  <c r="T2266" i="1"/>
  <c r="Y2266" i="1" s="1"/>
  <c r="R2266" i="1"/>
  <c r="N2266" i="1"/>
  <c r="T2265" i="1"/>
  <c r="Y2265" i="1" s="1"/>
  <c r="R2265" i="1"/>
  <c r="U2265" i="1" s="1"/>
  <c r="N2265" i="1"/>
  <c r="T2264" i="1"/>
  <c r="R2264" i="1"/>
  <c r="N2264" i="1"/>
  <c r="T2263" i="1"/>
  <c r="Y2263" i="1" s="1"/>
  <c r="R2263" i="1"/>
  <c r="U2263" i="1" s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Y2260" i="1" s="1"/>
  <c r="R2260" i="1"/>
  <c r="N2260" i="1"/>
  <c r="T2259" i="1"/>
  <c r="Y2259" i="1" s="1"/>
  <c r="R2259" i="1"/>
  <c r="N2259" i="1"/>
  <c r="T2258" i="1"/>
  <c r="Y2258" i="1" s="1"/>
  <c r="R2258" i="1"/>
  <c r="U2258" i="1" s="1"/>
  <c r="N2258" i="1"/>
  <c r="T2257" i="1"/>
  <c r="Y2257" i="1" s="1"/>
  <c r="R2257" i="1"/>
  <c r="U2257" i="1" s="1"/>
  <c r="N2257" i="1"/>
  <c r="T2256" i="1"/>
  <c r="Y2256" i="1" s="1"/>
  <c r="R2256" i="1"/>
  <c r="U2256" i="1" s="1"/>
  <c r="N2256" i="1"/>
  <c r="T2255" i="1"/>
  <c r="U2255" i="1" s="1"/>
  <c r="R2255" i="1"/>
  <c r="N2255" i="1"/>
  <c r="T2254" i="1"/>
  <c r="Y2254" i="1" s="1"/>
  <c r="R2254" i="1"/>
  <c r="U2254" i="1" s="1"/>
  <c r="V2254" i="1" s="1"/>
  <c r="W2254" i="1" s="1"/>
  <c r="N2254" i="1"/>
  <c r="T2253" i="1"/>
  <c r="R2253" i="1"/>
  <c r="N2253" i="1"/>
  <c r="T2252" i="1"/>
  <c r="Y2252" i="1" s="1"/>
  <c r="R2252" i="1"/>
  <c r="U2252" i="1" s="1"/>
  <c r="N2252" i="1"/>
  <c r="T2251" i="1"/>
  <c r="Y2251" i="1" s="1"/>
  <c r="R2251" i="1"/>
  <c r="U2251" i="1" s="1"/>
  <c r="N2251" i="1"/>
  <c r="T2250" i="1"/>
  <c r="Y2250" i="1" s="1"/>
  <c r="R2250" i="1"/>
  <c r="U2250" i="1" s="1"/>
  <c r="V2250" i="1" s="1"/>
  <c r="N2250" i="1"/>
  <c r="T2249" i="1"/>
  <c r="Y2249" i="1" s="1"/>
  <c r="R2249" i="1"/>
  <c r="N2249" i="1"/>
  <c r="T2248" i="1"/>
  <c r="Y2248" i="1" s="1"/>
  <c r="R2248" i="1"/>
  <c r="U2248" i="1" s="1"/>
  <c r="N2248" i="1"/>
  <c r="T2247" i="1"/>
  <c r="R2247" i="1"/>
  <c r="N2247" i="1"/>
  <c r="T2246" i="1"/>
  <c r="Y2246" i="1" s="1"/>
  <c r="R2246" i="1"/>
  <c r="U2246" i="1" s="1"/>
  <c r="N2246" i="1"/>
  <c r="T2245" i="1"/>
  <c r="Y2245" i="1" s="1"/>
  <c r="R2245" i="1"/>
  <c r="U2245" i="1" s="1"/>
  <c r="N2245" i="1"/>
  <c r="T2244" i="1"/>
  <c r="Y2244" i="1" s="1"/>
  <c r="R2244" i="1"/>
  <c r="U2244" i="1" s="1"/>
  <c r="V2244" i="1" s="1"/>
  <c r="W2244" i="1" s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U2240" i="1" s="1"/>
  <c r="V2240" i="1" s="1"/>
  <c r="N2240" i="1"/>
  <c r="T2239" i="1"/>
  <c r="R2239" i="1"/>
  <c r="N2239" i="1"/>
  <c r="T2238" i="1"/>
  <c r="Y2238" i="1" s="1"/>
  <c r="R2238" i="1"/>
  <c r="U2238" i="1" s="1"/>
  <c r="N2238" i="1"/>
  <c r="T2237" i="1"/>
  <c r="Y2237" i="1" s="1"/>
  <c r="R2237" i="1"/>
  <c r="N2237" i="1"/>
  <c r="T2236" i="1"/>
  <c r="Y2236" i="1" s="1"/>
  <c r="R2236" i="1"/>
  <c r="U2236" i="1" s="1"/>
  <c r="N2236" i="1"/>
  <c r="T2235" i="1"/>
  <c r="Y2235" i="1" s="1"/>
  <c r="R2235" i="1"/>
  <c r="U2235" i="1" s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U2232" i="1" s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U2228" i="1" s="1"/>
  <c r="N2228" i="1"/>
  <c r="T2227" i="1"/>
  <c r="Y2227" i="1" s="1"/>
  <c r="R2227" i="1"/>
  <c r="N2227" i="1"/>
  <c r="X2226" i="1"/>
  <c r="T2226" i="1"/>
  <c r="Y2226" i="1" s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U2223" i="1" s="1"/>
  <c r="V2223" i="1" s="1"/>
  <c r="N2223" i="1"/>
  <c r="Y2222" i="1"/>
  <c r="T2222" i="1"/>
  <c r="R2222" i="1"/>
  <c r="U2222" i="1" s="1"/>
  <c r="V2222" i="1" s="1"/>
  <c r="W2222" i="1" s="1"/>
  <c r="N2222" i="1"/>
  <c r="T2221" i="1"/>
  <c r="Y2221" i="1" s="1"/>
  <c r="R2221" i="1"/>
  <c r="N2221" i="1"/>
  <c r="T2220" i="1"/>
  <c r="Y2220" i="1" s="1"/>
  <c r="R2220" i="1"/>
  <c r="U2220" i="1" s="1"/>
  <c r="N2220" i="1"/>
  <c r="T2219" i="1"/>
  <c r="Y2219" i="1" s="1"/>
  <c r="R2219" i="1"/>
  <c r="U2219" i="1" s="1"/>
  <c r="N2219" i="1"/>
  <c r="T2218" i="1"/>
  <c r="Y2218" i="1" s="1"/>
  <c r="R2218" i="1"/>
  <c r="U2218" i="1" s="1"/>
  <c r="N2218" i="1"/>
  <c r="X2217" i="1"/>
  <c r="T2217" i="1"/>
  <c r="R2217" i="1"/>
  <c r="N2217" i="1"/>
  <c r="T2216" i="1"/>
  <c r="Y2216" i="1" s="1"/>
  <c r="R2216" i="1"/>
  <c r="U2216" i="1" s="1"/>
  <c r="V2216" i="1" s="1"/>
  <c r="N2216" i="1"/>
  <c r="T2215" i="1"/>
  <c r="Y2215" i="1" s="1"/>
  <c r="R2215" i="1"/>
  <c r="U2215" i="1" s="1"/>
  <c r="N2215" i="1"/>
  <c r="T2214" i="1"/>
  <c r="Y2214" i="1" s="1"/>
  <c r="R2214" i="1"/>
  <c r="U2214" i="1" s="1"/>
  <c r="N2214" i="1"/>
  <c r="X2213" i="1"/>
  <c r="T2213" i="1"/>
  <c r="Y2213" i="1" s="1"/>
  <c r="R2213" i="1"/>
  <c r="U2213" i="1" s="1"/>
  <c r="N2213" i="1"/>
  <c r="T2212" i="1"/>
  <c r="R2212" i="1"/>
  <c r="N2212" i="1"/>
  <c r="T2211" i="1"/>
  <c r="Y2211" i="1" s="1"/>
  <c r="R2211" i="1"/>
  <c r="U2211" i="1" s="1"/>
  <c r="N2211" i="1"/>
  <c r="T2210" i="1"/>
  <c r="Y2210" i="1" s="1"/>
  <c r="R2210" i="1"/>
  <c r="N2210" i="1"/>
  <c r="T2209" i="1"/>
  <c r="Y2209" i="1" s="1"/>
  <c r="R2209" i="1"/>
  <c r="N2209" i="1"/>
  <c r="T2208" i="1"/>
  <c r="Y2208" i="1" s="1"/>
  <c r="R2208" i="1"/>
  <c r="U2208" i="1" s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U2205" i="1" s="1"/>
  <c r="V2205" i="1" s="1"/>
  <c r="W2205" i="1" s="1"/>
  <c r="N2205" i="1"/>
  <c r="T2204" i="1"/>
  <c r="Y2204" i="1" s="1"/>
  <c r="R2204" i="1"/>
  <c r="N2204" i="1"/>
  <c r="T2203" i="1"/>
  <c r="Y2203" i="1" s="1"/>
  <c r="R2203" i="1"/>
  <c r="U2203" i="1" s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U2200" i="1" s="1"/>
  <c r="N2200" i="1"/>
  <c r="X2199" i="1"/>
  <c r="T2199" i="1"/>
  <c r="R2199" i="1"/>
  <c r="U2199" i="1" s="1"/>
  <c r="N2199" i="1"/>
  <c r="T2198" i="1"/>
  <c r="Y2198" i="1" s="1"/>
  <c r="R2198" i="1"/>
  <c r="N2198" i="1"/>
  <c r="X2197" i="1"/>
  <c r="T2197" i="1"/>
  <c r="R2197" i="1"/>
  <c r="U2197" i="1" s="1"/>
  <c r="N2197" i="1"/>
  <c r="T2196" i="1"/>
  <c r="Y2196" i="1" s="1"/>
  <c r="R2196" i="1"/>
  <c r="U2196" i="1" s="1"/>
  <c r="N2196" i="1"/>
  <c r="X2195" i="1"/>
  <c r="T2195" i="1"/>
  <c r="Y2195" i="1" s="1"/>
  <c r="R2195" i="1"/>
  <c r="U2195" i="1" s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U2191" i="1" s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U2187" i="1" s="1"/>
  <c r="N2187" i="1"/>
  <c r="T2186" i="1"/>
  <c r="Y2186" i="1" s="1"/>
  <c r="R2186" i="1"/>
  <c r="U2186" i="1" s="1"/>
  <c r="V2186" i="1" s="1"/>
  <c r="N2186" i="1"/>
  <c r="T2185" i="1"/>
  <c r="Y2185" i="1" s="1"/>
  <c r="R2185" i="1"/>
  <c r="N2185" i="1"/>
  <c r="X2184" i="1"/>
  <c r="T2184" i="1"/>
  <c r="R2184" i="1"/>
  <c r="U2184" i="1" s="1"/>
  <c r="N2184" i="1"/>
  <c r="Y2183" i="1"/>
  <c r="T2183" i="1"/>
  <c r="R2183" i="1"/>
  <c r="U2183" i="1" s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U2180" i="1" s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U2177" i="1" s="1"/>
  <c r="N2177" i="1"/>
  <c r="T2176" i="1"/>
  <c r="Y2176" i="1" s="1"/>
  <c r="R2176" i="1"/>
  <c r="U2176" i="1" s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U2171" i="1" s="1"/>
  <c r="N2171" i="1"/>
  <c r="T2170" i="1"/>
  <c r="Y2170" i="1" s="1"/>
  <c r="R2170" i="1"/>
  <c r="U2170" i="1" s="1"/>
  <c r="N2170" i="1"/>
  <c r="X2169" i="1"/>
  <c r="T2169" i="1"/>
  <c r="R2169" i="1"/>
  <c r="U2169" i="1" s="1"/>
  <c r="N2169" i="1"/>
  <c r="T2168" i="1"/>
  <c r="Y2168" i="1" s="1"/>
  <c r="R2168" i="1"/>
  <c r="N2168" i="1"/>
  <c r="T2167" i="1"/>
  <c r="Y2167" i="1" s="1"/>
  <c r="R2167" i="1"/>
  <c r="U2167" i="1" s="1"/>
  <c r="V2167" i="1" s="1"/>
  <c r="N2167" i="1"/>
  <c r="T2166" i="1"/>
  <c r="Y2166" i="1" s="1"/>
  <c r="R2166" i="1"/>
  <c r="U2166" i="1" s="1"/>
  <c r="V2166" i="1" s="1"/>
  <c r="N2166" i="1"/>
  <c r="T2165" i="1"/>
  <c r="Y2165" i="1" s="1"/>
  <c r="R2165" i="1"/>
  <c r="U2165" i="1" s="1"/>
  <c r="N2165" i="1"/>
  <c r="U2616" i="1" l="1"/>
  <c r="Y2623" i="1"/>
  <c r="U3243" i="1"/>
  <c r="W3243" i="1" s="1"/>
  <c r="Y2577" i="1"/>
  <c r="U2844" i="1"/>
  <c r="U2886" i="1"/>
  <c r="V2886" i="1" s="1"/>
  <c r="Y3106" i="1"/>
  <c r="U3453" i="1"/>
  <c r="U2957" i="1"/>
  <c r="Y2826" i="1"/>
  <c r="Y3455" i="1"/>
  <c r="Y2169" i="1"/>
  <c r="U2174" i="1"/>
  <c r="Y2184" i="1"/>
  <c r="U2201" i="1"/>
  <c r="V2201" i="1" s="1"/>
  <c r="W2201" i="1" s="1"/>
  <c r="U2299" i="1"/>
  <c r="V2299" i="1" s="1"/>
  <c r="W2299" i="1" s="1"/>
  <c r="U2317" i="1"/>
  <c r="U2356" i="1"/>
  <c r="U2493" i="1"/>
  <c r="V2493" i="1" s="1"/>
  <c r="W2493" i="1" s="1"/>
  <c r="Y2507" i="1"/>
  <c r="U2607" i="1"/>
  <c r="V2607" i="1" s="1"/>
  <c r="W2607" i="1" s="1"/>
  <c r="U2614" i="1"/>
  <c r="V2614" i="1" s="1"/>
  <c r="U2641" i="1"/>
  <c r="V2641" i="1" s="1"/>
  <c r="W2641" i="1" s="1"/>
  <c r="U2661" i="1"/>
  <c r="V2661" i="1" s="1"/>
  <c r="W2661" i="1" s="1"/>
  <c r="U2669" i="1"/>
  <c r="U2756" i="1"/>
  <c r="U2765" i="1"/>
  <c r="U2770" i="1"/>
  <c r="U2987" i="1"/>
  <c r="V2987" i="1" s="1"/>
  <c r="W2987" i="1" s="1"/>
  <c r="U2997" i="1"/>
  <c r="V2997" i="1" s="1"/>
  <c r="U3002" i="1"/>
  <c r="V3002" i="1" s="1"/>
  <c r="W3002" i="1" s="1"/>
  <c r="U3007" i="1"/>
  <c r="V3007" i="1" s="1"/>
  <c r="W3007" i="1" s="1"/>
  <c r="U3012" i="1"/>
  <c r="U3022" i="1"/>
  <c r="U3029" i="1"/>
  <c r="V3029" i="1" s="1"/>
  <c r="U3325" i="1"/>
  <c r="U3623" i="1"/>
  <c r="W3674" i="1"/>
  <c r="U2883" i="1"/>
  <c r="V2883" i="1" s="1"/>
  <c r="W2883" i="1" s="1"/>
  <c r="Y3108" i="1"/>
  <c r="U3161" i="1"/>
  <c r="V3161" i="1" s="1"/>
  <c r="U3236" i="1"/>
  <c r="Y2255" i="1"/>
  <c r="V2277" i="1"/>
  <c r="W2277" i="1"/>
  <c r="Y2716" i="1"/>
  <c r="U2544" i="1"/>
  <c r="V2544" i="1" s="1"/>
  <c r="U2381" i="1"/>
  <c r="V2381" i="1" s="1"/>
  <c r="W2381" i="1" s="1"/>
  <c r="Y2544" i="1"/>
  <c r="V2882" i="1"/>
  <c r="W2882" i="1"/>
  <c r="Y3349" i="1"/>
  <c r="Y3453" i="1"/>
  <c r="U2289" i="1"/>
  <c r="V2289" i="1" s="1"/>
  <c r="W2289" i="1" s="1"/>
  <c r="U2312" i="1"/>
  <c r="V2312" i="1" s="1"/>
  <c r="U2456" i="1"/>
  <c r="V2456" i="1" s="1"/>
  <c r="U2464" i="1"/>
  <c r="U2472" i="1"/>
  <c r="U2477" i="1"/>
  <c r="U2491" i="1"/>
  <c r="U2505" i="1"/>
  <c r="U2510" i="1"/>
  <c r="U2575" i="1"/>
  <c r="V2575" i="1" s="1"/>
  <c r="U2584" i="1"/>
  <c r="V2584" i="1" s="1"/>
  <c r="U2597" i="1"/>
  <c r="U2602" i="1"/>
  <c r="V2602" i="1" s="1"/>
  <c r="U2612" i="1"/>
  <c r="U2639" i="1"/>
  <c r="V2639" i="1" s="1"/>
  <c r="U2644" i="1"/>
  <c r="U2723" i="1"/>
  <c r="U2733" i="1"/>
  <c r="U2749" i="1"/>
  <c r="V2749" i="1" s="1"/>
  <c r="U2763" i="1"/>
  <c r="U2768" i="1"/>
  <c r="U3000" i="1"/>
  <c r="U3010" i="1"/>
  <c r="V3010" i="1" s="1"/>
  <c r="W3010" i="1" s="1"/>
  <c r="U3020" i="1"/>
  <c r="U3027" i="1"/>
  <c r="V3027" i="1" s="1"/>
  <c r="U3034" i="1"/>
  <c r="W3036" i="1"/>
  <c r="U3085" i="1"/>
  <c r="U3108" i="1"/>
  <c r="U3112" i="1"/>
  <c r="V3112" i="1" s="1"/>
  <c r="W3112" i="1" s="1"/>
  <c r="Y3114" i="1"/>
  <c r="U3127" i="1"/>
  <c r="V3127" i="1" s="1"/>
  <c r="W3127" i="1" s="1"/>
  <c r="U3132" i="1"/>
  <c r="U3137" i="1"/>
  <c r="U3163" i="1"/>
  <c r="V3163" i="1" s="1"/>
  <c r="W3163" i="1" s="1"/>
  <c r="U3168" i="1"/>
  <c r="U3173" i="1"/>
  <c r="U3175" i="1"/>
  <c r="U3177" i="1"/>
  <c r="U3192" i="1"/>
  <c r="V3192" i="1" s="1"/>
  <c r="W3192" i="1" s="1"/>
  <c r="U3227" i="1"/>
  <c r="V3227" i="1" s="1"/>
  <c r="U3253" i="1"/>
  <c r="V3253" i="1" s="1"/>
  <c r="W3253" i="1" s="1"/>
  <c r="U3261" i="1"/>
  <c r="V3261" i="1" s="1"/>
  <c r="W3261" i="1" s="1"/>
  <c r="U3290" i="1"/>
  <c r="V3290" i="1" s="1"/>
  <c r="U3295" i="1"/>
  <c r="U3311" i="1"/>
  <c r="V3311" i="1" s="1"/>
  <c r="W3311" i="1" s="1"/>
  <c r="U3316" i="1"/>
  <c r="U3321" i="1"/>
  <c r="V3321" i="1" s="1"/>
  <c r="W3321" i="1" s="1"/>
  <c r="U3328" i="1"/>
  <c r="V3328" i="1" s="1"/>
  <c r="W3328" i="1" s="1"/>
  <c r="U3408" i="1"/>
  <c r="V3408" i="1" s="1"/>
  <c r="W3408" i="1" s="1"/>
  <c r="U3597" i="1"/>
  <c r="V3597" i="1" s="1"/>
  <c r="W3597" i="1" s="1"/>
  <c r="U3631" i="1"/>
  <c r="V3631" i="1" s="1"/>
  <c r="W3631" i="1" s="1"/>
  <c r="U3651" i="1"/>
  <c r="Y3202" i="1"/>
  <c r="Y2427" i="1"/>
  <c r="U3056" i="1"/>
  <c r="V3056" i="1" s="1"/>
  <c r="W3056" i="1" s="1"/>
  <c r="Y3585" i="1"/>
  <c r="U2190" i="1"/>
  <c r="V2190" i="1" s="1"/>
  <c r="W2190" i="1" s="1"/>
  <c r="Y2199" i="1"/>
  <c r="Y2273" i="1"/>
  <c r="U2293" i="1"/>
  <c r="U2331" i="1"/>
  <c r="U2490" i="1"/>
  <c r="V2490" i="1" s="1"/>
  <c r="W2490" i="1" s="1"/>
  <c r="Y2499" i="1"/>
  <c r="U2560" i="1"/>
  <c r="V2560" i="1" s="1"/>
  <c r="W2560" i="1" s="1"/>
  <c r="U2673" i="1"/>
  <c r="V2673" i="1" s="1"/>
  <c r="U2703" i="1"/>
  <c r="U2708" i="1"/>
  <c r="U2713" i="1"/>
  <c r="U2725" i="1"/>
  <c r="U2730" i="1"/>
  <c r="V2730" i="1" s="1"/>
  <c r="U2742" i="1"/>
  <c r="V2742" i="1" s="1"/>
  <c r="W2742" i="1" s="1"/>
  <c r="U2750" i="1"/>
  <c r="U2757" i="1"/>
  <c r="V2757" i="1" s="1"/>
  <c r="W2757" i="1" s="1"/>
  <c r="Y2775" i="1"/>
  <c r="U2778" i="1"/>
  <c r="U2788" i="1"/>
  <c r="V2788" i="1" s="1"/>
  <c r="U2791" i="1"/>
  <c r="V2791" i="1" s="1"/>
  <c r="W2791" i="1" s="1"/>
  <c r="U2885" i="1"/>
  <c r="V2885" i="1" s="1"/>
  <c r="W2885" i="1" s="1"/>
  <c r="U2901" i="1"/>
  <c r="V2901" i="1" s="1"/>
  <c r="W2901" i="1" s="1"/>
  <c r="U2919" i="1"/>
  <c r="V2919" i="1" s="1"/>
  <c r="Y2929" i="1"/>
  <c r="U2944" i="1"/>
  <c r="V2944" i="1" s="1"/>
  <c r="U2968" i="1"/>
  <c r="U3042" i="1"/>
  <c r="U3054" i="1"/>
  <c r="V3054" i="1" s="1"/>
  <c r="U3064" i="1"/>
  <c r="U3069" i="1"/>
  <c r="V3069" i="1" s="1"/>
  <c r="W3069" i="1" s="1"/>
  <c r="U3074" i="1"/>
  <c r="U3079" i="1"/>
  <c r="V3079" i="1" s="1"/>
  <c r="W3079" i="1" s="1"/>
  <c r="Y3237" i="1"/>
  <c r="U3252" i="1"/>
  <c r="U3334" i="1"/>
  <c r="U3435" i="1"/>
  <c r="V3435" i="1" s="1"/>
  <c r="W3435" i="1" s="1"/>
  <c r="W3452" i="1"/>
  <c r="Y3519" i="1"/>
  <c r="Y3704" i="1"/>
  <c r="Y3512" i="1"/>
  <c r="Y3533" i="1"/>
  <c r="Y3609" i="1"/>
  <c r="U2178" i="1"/>
  <c r="U2193" i="1"/>
  <c r="V2193" i="1" s="1"/>
  <c r="Y2202" i="1"/>
  <c r="U2207" i="1"/>
  <c r="W2207" i="1" s="1"/>
  <c r="U2224" i="1"/>
  <c r="U2229" i="1"/>
  <c r="V2229" i="1" s="1"/>
  <c r="W2229" i="1" s="1"/>
  <c r="U2234" i="1"/>
  <c r="V2234" i="1" s="1"/>
  <c r="U2242" i="1"/>
  <c r="U2260" i="1"/>
  <c r="V2260" i="1" s="1"/>
  <c r="W2260" i="1" s="1"/>
  <c r="U2262" i="1"/>
  <c r="V2262" i="1" s="1"/>
  <c r="W2262" i="1" s="1"/>
  <c r="U2276" i="1"/>
  <c r="V2276" i="1" s="1"/>
  <c r="U2278" i="1"/>
  <c r="V2278" i="1" s="1"/>
  <c r="W2278" i="1" s="1"/>
  <c r="U2291" i="1"/>
  <c r="U2296" i="1"/>
  <c r="U2309" i="1"/>
  <c r="V2309" i="1" s="1"/>
  <c r="U2319" i="1"/>
  <c r="V2319" i="1" s="1"/>
  <c r="W2319" i="1" s="1"/>
  <c r="U2322" i="1"/>
  <c r="V2322" i="1" s="1"/>
  <c r="W2322" i="1" s="1"/>
  <c r="U2329" i="1"/>
  <c r="V2329" i="1" s="1"/>
  <c r="W2329" i="1" s="1"/>
  <c r="U2380" i="1"/>
  <c r="V2380" i="1" s="1"/>
  <c r="U2400" i="1"/>
  <c r="V2400" i="1" s="1"/>
  <c r="W2400" i="1" s="1"/>
  <c r="U2413" i="1"/>
  <c r="V2413" i="1" s="1"/>
  <c r="U2428" i="1"/>
  <c r="W2428" i="1" s="1"/>
  <c r="U2448" i="1"/>
  <c r="V2448" i="1" s="1"/>
  <c r="U2453" i="1"/>
  <c r="U2461" i="1"/>
  <c r="U2469" i="1"/>
  <c r="Y2490" i="1"/>
  <c r="U2534" i="1"/>
  <c r="U2536" i="1"/>
  <c r="Y2538" i="1"/>
  <c r="U2555" i="1"/>
  <c r="V2555" i="1" s="1"/>
  <c r="U2565" i="1"/>
  <c r="U2572" i="1"/>
  <c r="V2572" i="1" s="1"/>
  <c r="U2594" i="1"/>
  <c r="U2599" i="1"/>
  <c r="V2599" i="1" s="1"/>
  <c r="W2599" i="1" s="1"/>
  <c r="Y2629" i="1"/>
  <c r="U2643" i="1"/>
  <c r="V2643" i="1" s="1"/>
  <c r="W2643" i="1" s="1"/>
  <c r="U2663" i="1"/>
  <c r="U2675" i="1"/>
  <c r="U2684" i="1"/>
  <c r="U2696" i="1"/>
  <c r="U2706" i="1"/>
  <c r="V2706" i="1" s="1"/>
  <c r="Y2708" i="1"/>
  <c r="U2716" i="1"/>
  <c r="V2716" i="1" s="1"/>
  <c r="W2716" i="1" s="1"/>
  <c r="U2735" i="1"/>
  <c r="U2745" i="1"/>
  <c r="V2745" i="1" s="1"/>
  <c r="U2781" i="1"/>
  <c r="V2781" i="1" s="1"/>
  <c r="W2781" i="1" s="1"/>
  <c r="U2786" i="1"/>
  <c r="U2794" i="1"/>
  <c r="Y2856" i="1"/>
  <c r="U2864" i="1"/>
  <c r="V2864" i="1" s="1"/>
  <c r="U2869" i="1"/>
  <c r="V2869" i="1" s="1"/>
  <c r="W2869" i="1" s="1"/>
  <c r="U2904" i="1"/>
  <c r="V2904" i="1" s="1"/>
  <c r="W2904" i="1" s="1"/>
  <c r="U2917" i="1"/>
  <c r="V2917" i="1" s="1"/>
  <c r="U2932" i="1"/>
  <c r="U2942" i="1"/>
  <c r="Y2946" i="1"/>
  <c r="U2966" i="1"/>
  <c r="U2971" i="1"/>
  <c r="V2971" i="1" s="1"/>
  <c r="W2971" i="1" s="1"/>
  <c r="U2994" i="1"/>
  <c r="V2994" i="1" s="1"/>
  <c r="U2999" i="1"/>
  <c r="V2999" i="1" s="1"/>
  <c r="U3009" i="1"/>
  <c r="V3009" i="1" s="1"/>
  <c r="W3009" i="1" s="1"/>
  <c r="U3014" i="1"/>
  <c r="V3014" i="1" s="1"/>
  <c r="W3014" i="1" s="1"/>
  <c r="U3019" i="1"/>
  <c r="U3057" i="1"/>
  <c r="U3067" i="1"/>
  <c r="U3077" i="1"/>
  <c r="V3077" i="1" s="1"/>
  <c r="W3077" i="1" s="1"/>
  <c r="U3100" i="1"/>
  <c r="V3100" i="1" s="1"/>
  <c r="W3100" i="1" s="1"/>
  <c r="U3114" i="1"/>
  <c r="V3114" i="1" s="1"/>
  <c r="U3119" i="1"/>
  <c r="V3119" i="1" s="1"/>
  <c r="W3119" i="1" s="1"/>
  <c r="U3146" i="1"/>
  <c r="V3146" i="1" s="1"/>
  <c r="Y3179" i="1"/>
  <c r="U3184" i="1"/>
  <c r="V3184" i="1" s="1"/>
  <c r="U3189" i="1"/>
  <c r="U3196" i="1"/>
  <c r="U3201" i="1"/>
  <c r="U3224" i="1"/>
  <c r="U3268" i="1"/>
  <c r="U3276" i="1"/>
  <c r="V3276" i="1" s="1"/>
  <c r="W3276" i="1" s="1"/>
  <c r="Y3294" i="1"/>
  <c r="U3332" i="1"/>
  <c r="Y3334" i="1"/>
  <c r="U3337" i="1"/>
  <c r="U3344" i="1"/>
  <c r="U3349" i="1"/>
  <c r="U3354" i="1"/>
  <c r="V3354" i="1" s="1"/>
  <c r="W3354" i="1" s="1"/>
  <c r="U3364" i="1"/>
  <c r="V3364" i="1" s="1"/>
  <c r="U3462" i="1"/>
  <c r="Y3485" i="1"/>
  <c r="U3496" i="1"/>
  <c r="V3496" i="1" s="1"/>
  <c r="U3513" i="1"/>
  <c r="V3513" i="1" s="1"/>
  <c r="W3513" i="1" s="1"/>
  <c r="U3534" i="1"/>
  <c r="U3640" i="1"/>
  <c r="V3640" i="1" s="1"/>
  <c r="U3667" i="1"/>
  <c r="U3686" i="1"/>
  <c r="V3686" i="1" s="1"/>
  <c r="W3686" i="1" s="1"/>
  <c r="U2916" i="1"/>
  <c r="U3046" i="1"/>
  <c r="V3046" i="1" s="1"/>
  <c r="W3046" i="1" s="1"/>
  <c r="U3065" i="1"/>
  <c r="U3070" i="1"/>
  <c r="V3070" i="1" s="1"/>
  <c r="W3070" i="1" s="1"/>
  <c r="U3157" i="1"/>
  <c r="V3157" i="1" s="1"/>
  <c r="W3157" i="1" s="1"/>
  <c r="U3257" i="1"/>
  <c r="Y3311" i="1"/>
  <c r="U3390" i="1"/>
  <c r="V3390" i="1" s="1"/>
  <c r="U3471" i="1"/>
  <c r="U3608" i="1"/>
  <c r="V3608" i="1" s="1"/>
  <c r="W3608" i="1" s="1"/>
  <c r="U3630" i="1"/>
  <c r="U3722" i="1"/>
  <c r="V3722" i="1" s="1"/>
  <c r="U3735" i="1"/>
  <c r="V3735" i="1" s="1"/>
  <c r="W3735" i="1" s="1"/>
  <c r="U2772" i="1"/>
  <c r="V2772" i="1" s="1"/>
  <c r="W2772" i="1" s="1"/>
  <c r="U2787" i="1"/>
  <c r="V2787" i="1" s="1"/>
  <c r="W2787" i="1" s="1"/>
  <c r="U2799" i="1"/>
  <c r="V2799" i="1" s="1"/>
  <c r="U2801" i="1"/>
  <c r="V2801" i="1" s="1"/>
  <c r="Y2803" i="1"/>
  <c r="U2815" i="1"/>
  <c r="V2815" i="1" s="1"/>
  <c r="W2815" i="1" s="1"/>
  <c r="Y2827" i="1"/>
  <c r="U2846" i="1"/>
  <c r="U2890" i="1"/>
  <c r="V2890" i="1" s="1"/>
  <c r="W2890" i="1" s="1"/>
  <c r="U2903" i="1"/>
  <c r="V2903" i="1" s="1"/>
  <c r="W2903" i="1" s="1"/>
  <c r="U2921" i="1"/>
  <c r="V2921" i="1" s="1"/>
  <c r="U2926" i="1"/>
  <c r="V2926" i="1" s="1"/>
  <c r="U2931" i="1"/>
  <c r="V2931" i="1" s="1"/>
  <c r="W2931" i="1" s="1"/>
  <c r="U2945" i="1"/>
  <c r="V2945" i="1" s="1"/>
  <c r="U2991" i="1"/>
  <c r="V2991" i="1" s="1"/>
  <c r="W2991" i="1" s="1"/>
  <c r="U3039" i="1"/>
  <c r="V3039" i="1" s="1"/>
  <c r="U3041" i="1"/>
  <c r="U3058" i="1"/>
  <c r="V3058" i="1" s="1"/>
  <c r="W3058" i="1" s="1"/>
  <c r="U3068" i="1"/>
  <c r="V3068" i="1" s="1"/>
  <c r="W3068" i="1" s="1"/>
  <c r="U3082" i="1"/>
  <c r="U3090" i="1"/>
  <c r="U3105" i="1"/>
  <c r="V3105" i="1" s="1"/>
  <c r="W3105" i="1" s="1"/>
  <c r="U3116" i="1"/>
  <c r="U3141" i="1"/>
  <c r="V3141" i="1" s="1"/>
  <c r="U3148" i="1"/>
  <c r="V3148" i="1" s="1"/>
  <c r="W3148" i="1" s="1"/>
  <c r="Y3155" i="1"/>
  <c r="U3160" i="1"/>
  <c r="V3160" i="1" s="1"/>
  <c r="W3160" i="1" s="1"/>
  <c r="U3170" i="1"/>
  <c r="U3232" i="1"/>
  <c r="U3234" i="1"/>
  <c r="V3234" i="1" s="1"/>
  <c r="W3234" i="1" s="1"/>
  <c r="U3238" i="1"/>
  <c r="V3238" i="1" s="1"/>
  <c r="Y3240" i="1"/>
  <c r="U3245" i="1"/>
  <c r="U3260" i="1"/>
  <c r="V3260" i="1" s="1"/>
  <c r="W3260" i="1" s="1"/>
  <c r="U3283" i="1"/>
  <c r="V3283" i="1" s="1"/>
  <c r="W3283" i="1" s="1"/>
  <c r="U3298" i="1"/>
  <c r="V3298" i="1" s="1"/>
  <c r="U3317" i="1"/>
  <c r="U3343" i="1"/>
  <c r="U3345" i="1"/>
  <c r="V3345" i="1" s="1"/>
  <c r="W3345" i="1" s="1"/>
  <c r="U3350" i="1"/>
  <c r="W3350" i="1" s="1"/>
  <c r="U3377" i="1"/>
  <c r="U3398" i="1"/>
  <c r="V3398" i="1" s="1"/>
  <c r="U3403" i="1"/>
  <c r="V3403" i="1" s="1"/>
  <c r="W3403" i="1" s="1"/>
  <c r="Y3405" i="1"/>
  <c r="U3410" i="1"/>
  <c r="U3427" i="1"/>
  <c r="U3438" i="1"/>
  <c r="V3438" i="1" s="1"/>
  <c r="U3451" i="1"/>
  <c r="V3451" i="1" s="1"/>
  <c r="U3491" i="1"/>
  <c r="Y3495" i="1"/>
  <c r="U3549" i="1"/>
  <c r="V3549" i="1" s="1"/>
  <c r="U3560" i="1"/>
  <c r="U3579" i="1"/>
  <c r="Y3601" i="1"/>
  <c r="U3610" i="1"/>
  <c r="U3618" i="1"/>
  <c r="U3628" i="1"/>
  <c r="U3664" i="1"/>
  <c r="V3664" i="1" s="1"/>
  <c r="U3677" i="1"/>
  <c r="V3677" i="1" s="1"/>
  <c r="W3677" i="1" s="1"/>
  <c r="U3697" i="1"/>
  <c r="V3697" i="1" s="1"/>
  <c r="U3708" i="1"/>
  <c r="U3717" i="1"/>
  <c r="U3725" i="1"/>
  <c r="U3738" i="1"/>
  <c r="W3678" i="1"/>
  <c r="V2356" i="1"/>
  <c r="W2356" i="1"/>
  <c r="V3022" i="1"/>
  <c r="W3022" i="1" s="1"/>
  <c r="Y3144" i="1"/>
  <c r="U3144" i="1"/>
  <c r="U3304" i="1"/>
  <c r="V3304" i="1" s="1"/>
  <c r="W3304" i="1" s="1"/>
  <c r="Y3304" i="1"/>
  <c r="U2401" i="1"/>
  <c r="V2401" i="1" s="1"/>
  <c r="U2531" i="1"/>
  <c r="U2817" i="1"/>
  <c r="U3448" i="1"/>
  <c r="V2256" i="1"/>
  <c r="W2256" i="1"/>
  <c r="Y2788" i="1"/>
  <c r="V3243" i="1"/>
  <c r="V3503" i="1"/>
  <c r="W3503" i="1" s="1"/>
  <c r="W2434" i="1"/>
  <c r="V2491" i="1"/>
  <c r="W2491" i="1"/>
  <c r="W2625" i="1"/>
  <c r="V2853" i="1"/>
  <c r="W2853" i="1" s="1"/>
  <c r="V3194" i="1"/>
  <c r="W3194" i="1"/>
  <c r="W3696" i="1"/>
  <c r="V2272" i="1"/>
  <c r="W2272" i="1" s="1"/>
  <c r="U2368" i="1"/>
  <c r="U2579" i="1"/>
  <c r="V2579" i="1" s="1"/>
  <c r="U2591" i="1"/>
  <c r="V2591" i="1" s="1"/>
  <c r="V2625" i="1"/>
  <c r="U3118" i="1"/>
  <c r="V3118" i="1" s="1"/>
  <c r="W3118" i="1" s="1"/>
  <c r="V3302" i="1"/>
  <c r="W3302" i="1" s="1"/>
  <c r="U3444" i="1"/>
  <c r="V3444" i="1" s="1"/>
  <c r="V3464" i="1"/>
  <c r="W3464" i="1"/>
  <c r="U3526" i="1"/>
  <c r="V3526" i="1" s="1"/>
  <c r="W3526" i="1" s="1"/>
  <c r="Y3624" i="1"/>
  <c r="U3624" i="1"/>
  <c r="W3659" i="1"/>
  <c r="Y2294" i="1"/>
  <c r="U2373" i="1"/>
  <c r="V2373" i="1" s="1"/>
  <c r="W2373" i="1" s="1"/>
  <c r="Y2373" i="1"/>
  <c r="V2430" i="1"/>
  <c r="W2430" i="1"/>
  <c r="U2640" i="1"/>
  <c r="U2642" i="1"/>
  <c r="U2712" i="1"/>
  <c r="V2712" i="1" s="1"/>
  <c r="W2712" i="1" s="1"/>
  <c r="U3045" i="1"/>
  <c r="U3211" i="1"/>
  <c r="V3211" i="1" s="1"/>
  <c r="W3211" i="1" s="1"/>
  <c r="V3377" i="1"/>
  <c r="W3377" i="1"/>
  <c r="Y3584" i="1"/>
  <c r="V3696" i="1"/>
  <c r="V3739" i="1"/>
  <c r="W3739" i="1"/>
  <c r="U2192" i="1"/>
  <c r="V2192" i="1" s="1"/>
  <c r="W2192" i="1" s="1"/>
  <c r="W2385" i="1"/>
  <c r="U2609" i="1"/>
  <c r="V2609" i="1" s="1"/>
  <c r="W2609" i="1" s="1"/>
  <c r="U2694" i="1"/>
  <c r="V2694" i="1" s="1"/>
  <c r="W2694" i="1" s="1"/>
  <c r="V2731" i="1"/>
  <c r="W2731" i="1" s="1"/>
  <c r="Y2844" i="1"/>
  <c r="U2953" i="1"/>
  <c r="V2953" i="1" s="1"/>
  <c r="W2953" i="1" s="1"/>
  <c r="V3057" i="1"/>
  <c r="W3057" i="1"/>
  <c r="U3209" i="1"/>
  <c r="V3209" i="1" s="1"/>
  <c r="W3209" i="1" s="1"/>
  <c r="Y3342" i="1"/>
  <c r="U3342" i="1"/>
  <c r="V3342" i="1" s="1"/>
  <c r="W3342" i="1" s="1"/>
  <c r="U3356" i="1"/>
  <c r="V3356" i="1" s="1"/>
  <c r="W3356" i="1" s="1"/>
  <c r="U3365" i="1"/>
  <c r="Y3365" i="1"/>
  <c r="Y3508" i="1"/>
  <c r="V3529" i="1"/>
  <c r="W3529" i="1"/>
  <c r="Y3563" i="1"/>
  <c r="U3563" i="1"/>
  <c r="V3563" i="1" s="1"/>
  <c r="W3563" i="1" s="1"/>
  <c r="U3721" i="1"/>
  <c r="V3721" i="1" s="1"/>
  <c r="W3721" i="1" s="1"/>
  <c r="Y2192" i="1"/>
  <c r="Y2347" i="1"/>
  <c r="U2633" i="1"/>
  <c r="V2633" i="1" s="1"/>
  <c r="W2825" i="1"/>
  <c r="U2884" i="1"/>
  <c r="V2884" i="1" s="1"/>
  <c r="Y2886" i="1"/>
  <c r="U3016" i="1"/>
  <c r="Y3091" i="1"/>
  <c r="U3091" i="1"/>
  <c r="V3162" i="1"/>
  <c r="W3162" i="1"/>
  <c r="V3212" i="1"/>
  <c r="W3212" i="1" s="1"/>
  <c r="U3275" i="1"/>
  <c r="V3275" i="1" s="1"/>
  <c r="W3275" i="1" s="1"/>
  <c r="W3298" i="1"/>
  <c r="Y3710" i="1"/>
  <c r="U3710" i="1"/>
  <c r="Y2190" i="1"/>
  <c r="U2239" i="1"/>
  <c r="V2239" i="1" s="1"/>
  <c r="W2239" i="1" s="1"/>
  <c r="Y2239" i="1"/>
  <c r="V2267" i="1"/>
  <c r="W2267" i="1" s="1"/>
  <c r="U2357" i="1"/>
  <c r="U2388" i="1"/>
  <c r="V2388" i="1" s="1"/>
  <c r="W2388" i="1" s="1"/>
  <c r="U2412" i="1"/>
  <c r="V2412" i="1" s="1"/>
  <c r="W2412" i="1" s="1"/>
  <c r="U2462" i="1"/>
  <c r="V2462" i="1" s="1"/>
  <c r="V2528" i="1"/>
  <c r="W2528" i="1"/>
  <c r="V2553" i="1"/>
  <c r="W2553" i="1" s="1"/>
  <c r="V2825" i="1"/>
  <c r="U2961" i="1"/>
  <c r="V2961" i="1" s="1"/>
  <c r="W2961" i="1" s="1"/>
  <c r="U3086" i="1"/>
  <c r="V3086" i="1" s="1"/>
  <c r="U3287" i="1"/>
  <c r="U3405" i="1"/>
  <c r="V3405" i="1" s="1"/>
  <c r="W3405" i="1" s="1"/>
  <c r="V3410" i="1"/>
  <c r="W3410" i="1" s="1"/>
  <c r="U3737" i="1"/>
  <c r="V3737" i="1" s="1"/>
  <c r="U2179" i="1"/>
  <c r="V2179" i="1" s="1"/>
  <c r="W2179" i="1" s="1"/>
  <c r="U2275" i="1"/>
  <c r="V2287" i="1"/>
  <c r="W2287" i="1"/>
  <c r="U2314" i="1"/>
  <c r="V2314" i="1" s="1"/>
  <c r="W2355" i="1"/>
  <c r="Y2357" i="1"/>
  <c r="U2438" i="1"/>
  <c r="U2458" i="1"/>
  <c r="V2458" i="1" s="1"/>
  <c r="W2458" i="1" s="1"/>
  <c r="V2565" i="1"/>
  <c r="W2565" i="1"/>
  <c r="W2602" i="1"/>
  <c r="U2662" i="1"/>
  <c r="V2662" i="1" s="1"/>
  <c r="W2662" i="1" s="1"/>
  <c r="Y2662" i="1"/>
  <c r="V2665" i="1"/>
  <c r="W2665" i="1" s="1"/>
  <c r="Y2718" i="1"/>
  <c r="V2725" i="1"/>
  <c r="W2725" i="1"/>
  <c r="V2756" i="1"/>
  <c r="W2756" i="1" s="1"/>
  <c r="V2805" i="1"/>
  <c r="W2805" i="1"/>
  <c r="U2892" i="1"/>
  <c r="Y2892" i="1"/>
  <c r="V3003" i="1"/>
  <c r="W3003" i="1" s="1"/>
  <c r="U3035" i="1"/>
  <c r="Y3035" i="1"/>
  <c r="U3292" i="1"/>
  <c r="V3292" i="1" s="1"/>
  <c r="W3292" i="1" s="1"/>
  <c r="W3371" i="1"/>
  <c r="U3480" i="1"/>
  <c r="V3480" i="1" s="1"/>
  <c r="W3480" i="1" s="1"/>
  <c r="U3642" i="1"/>
  <c r="V3678" i="1"/>
  <c r="V3700" i="1"/>
  <c r="W3700" i="1"/>
  <c r="U2175" i="1"/>
  <c r="V2175" i="1" s="1"/>
  <c r="W2175" i="1" s="1"/>
  <c r="W2186" i="1"/>
  <c r="U2230" i="1"/>
  <c r="U2237" i="1"/>
  <c r="Y2306" i="1"/>
  <c r="U2308" i="1"/>
  <c r="U2403" i="1"/>
  <c r="V2403" i="1" s="1"/>
  <c r="W2403" i="1" s="1"/>
  <c r="U2621" i="1"/>
  <c r="U2623" i="1"/>
  <c r="V2623" i="1" s="1"/>
  <c r="W2623" i="1" s="1"/>
  <c r="U2627" i="1"/>
  <c r="U2653" i="1"/>
  <c r="U2718" i="1"/>
  <c r="V2718" i="1" s="1"/>
  <c r="U2767" i="1"/>
  <c r="V2767" i="1" s="1"/>
  <c r="U2812" i="1"/>
  <c r="U2819" i="1"/>
  <c r="U2824" i="1"/>
  <c r="V2824" i="1" s="1"/>
  <c r="W2824" i="1" s="1"/>
  <c r="U2902" i="1"/>
  <c r="U3053" i="1"/>
  <c r="U3073" i="1"/>
  <c r="V3073" i="1" s="1"/>
  <c r="W3073" i="1" s="1"/>
  <c r="U3104" i="1"/>
  <c r="U3122" i="1"/>
  <c r="U3281" i="1"/>
  <c r="V3299" i="1"/>
  <c r="W3299" i="1"/>
  <c r="U3327" i="1"/>
  <c r="V3327" i="1" s="1"/>
  <c r="W3327" i="1" s="1"/>
  <c r="V3339" i="1"/>
  <c r="W3339" i="1" s="1"/>
  <c r="Y3571" i="1"/>
  <c r="U3571" i="1"/>
  <c r="V3571" i="1" s="1"/>
  <c r="W3571" i="1" s="1"/>
  <c r="U3593" i="1"/>
  <c r="V3593" i="1" s="1"/>
  <c r="W3593" i="1" s="1"/>
  <c r="U3666" i="1"/>
  <c r="V3666" i="1" s="1"/>
  <c r="W3666" i="1" s="1"/>
  <c r="Y3666" i="1"/>
  <c r="V3076" i="1"/>
  <c r="W3076" i="1" s="1"/>
  <c r="V3610" i="1"/>
  <c r="W3610" i="1"/>
  <c r="V3667" i="1"/>
  <c r="W3667" i="1"/>
  <c r="Y2272" i="1"/>
  <c r="U3182" i="1"/>
  <c r="V3182" i="1" s="1"/>
  <c r="W3182" i="1" s="1"/>
  <c r="U3237" i="1"/>
  <c r="U3382" i="1"/>
  <c r="V3382" i="1" s="1"/>
  <c r="W3382" i="1" s="1"/>
  <c r="U3397" i="1"/>
  <c r="V3397" i="1" s="1"/>
  <c r="W3397" i="1" s="1"/>
  <c r="Y3433" i="1"/>
  <c r="U3481" i="1"/>
  <c r="Y3481" i="1"/>
  <c r="U3553" i="1"/>
  <c r="U3726" i="1"/>
  <c r="Y3739" i="1"/>
  <c r="U2879" i="1"/>
  <c r="V2879" i="1" s="1"/>
  <c r="W2879" i="1" s="1"/>
  <c r="Y2924" i="1"/>
  <c r="Y2987" i="1"/>
  <c r="U3023" i="1"/>
  <c r="V3023" i="1" s="1"/>
  <c r="W3023" i="1" s="1"/>
  <c r="Y3029" i="1"/>
  <c r="V3032" i="1"/>
  <c r="W3032" i="1" s="1"/>
  <c r="U3052" i="1"/>
  <c r="V3052" i="1" s="1"/>
  <c r="W3052" i="1" s="1"/>
  <c r="Y3056" i="1"/>
  <c r="U3083" i="1"/>
  <c r="W3128" i="1"/>
  <c r="W3172" i="1"/>
  <c r="U3210" i="1"/>
  <c r="V3210" i="1" s="1"/>
  <c r="W3210" i="1" s="1"/>
  <c r="U3291" i="1"/>
  <c r="V3291" i="1" s="1"/>
  <c r="W3291" i="1" s="1"/>
  <c r="Y3373" i="1"/>
  <c r="V3385" i="1"/>
  <c r="W3385" i="1" s="1"/>
  <c r="V3432" i="1"/>
  <c r="W3432" i="1" s="1"/>
  <c r="W3539" i="1"/>
  <c r="U3548" i="1"/>
  <c r="V3564" i="1"/>
  <c r="W3564" i="1" s="1"/>
  <c r="U3583" i="1"/>
  <c r="Y3583" i="1"/>
  <c r="U3594" i="1"/>
  <c r="V3594" i="1" s="1"/>
  <c r="W3594" i="1" s="1"/>
  <c r="U3650" i="1"/>
  <c r="W3722" i="1"/>
  <c r="U3033" i="1"/>
  <c r="V3033" i="1" s="1"/>
  <c r="W3033" i="1" s="1"/>
  <c r="V3350" i="1"/>
  <c r="Y3608" i="1"/>
  <c r="U3658" i="1"/>
  <c r="V3704" i="1"/>
  <c r="W3704" i="1" s="1"/>
  <c r="W3713" i="1"/>
  <c r="U2861" i="1"/>
  <c r="U2899" i="1"/>
  <c r="V2899" i="1" s="1"/>
  <c r="U2915" i="1"/>
  <c r="V2915" i="1" s="1"/>
  <c r="W2915" i="1" s="1"/>
  <c r="Y2915" i="1"/>
  <c r="U3094" i="1"/>
  <c r="V3094" i="1" s="1"/>
  <c r="W3094" i="1" s="1"/>
  <c r="U2212" i="1"/>
  <c r="Y2271" i="1"/>
  <c r="U2360" i="1"/>
  <c r="V2360" i="1" s="1"/>
  <c r="U2585" i="1"/>
  <c r="U2766" i="1"/>
  <c r="V2766" i="1" s="1"/>
  <c r="W2766" i="1" s="1"/>
  <c r="U2847" i="1"/>
  <c r="Y2883" i="1"/>
  <c r="U2922" i="1"/>
  <c r="W2924" i="1"/>
  <c r="Y3044" i="1"/>
  <c r="U3044" i="1"/>
  <c r="V3044" i="1" s="1"/>
  <c r="W3044" i="1" s="1"/>
  <c r="Y3243" i="1"/>
  <c r="V3245" i="1"/>
  <c r="W3245" i="1" s="1"/>
  <c r="Y3310" i="1"/>
  <c r="Y3397" i="1"/>
  <c r="V3402" i="1"/>
  <c r="W3402" i="1"/>
  <c r="U3502" i="1"/>
  <c r="U3527" i="1"/>
  <c r="V3527" i="1" s="1"/>
  <c r="W3527" i="1" s="1"/>
  <c r="Y3527" i="1"/>
  <c r="V3618" i="1"/>
  <c r="W3618" i="1" s="1"/>
  <c r="V3713" i="1"/>
  <c r="Y3715" i="1"/>
  <c r="Y2212" i="1"/>
  <c r="U2303" i="1"/>
  <c r="Y2339" i="1"/>
  <c r="U2365" i="1"/>
  <c r="V2592" i="1"/>
  <c r="W2592" i="1" s="1"/>
  <c r="Y2766" i="1"/>
  <c r="U2168" i="1"/>
  <c r="V2168" i="1" s="1"/>
  <c r="W2168" i="1" s="1"/>
  <c r="U2194" i="1"/>
  <c r="U2198" i="1"/>
  <c r="V2198" i="1" s="1"/>
  <c r="U2217" i="1"/>
  <c r="V2217" i="1" s="1"/>
  <c r="U2225" i="1"/>
  <c r="U2241" i="1"/>
  <c r="V2241" i="1" s="1"/>
  <c r="W2250" i="1"/>
  <c r="U2290" i="1"/>
  <c r="V2290" i="1" s="1"/>
  <c r="U2292" i="1"/>
  <c r="V2292" i="1" s="1"/>
  <c r="W2292" i="1" s="1"/>
  <c r="U2320" i="1"/>
  <c r="V2320" i="1" s="1"/>
  <c r="W2320" i="1" s="1"/>
  <c r="U2324" i="1"/>
  <c r="V2324" i="1" s="1"/>
  <c r="W2324" i="1" s="1"/>
  <c r="U2342" i="1"/>
  <c r="U2353" i="1"/>
  <c r="W2353" i="1" s="1"/>
  <c r="Y2365" i="1"/>
  <c r="W2389" i="1"/>
  <c r="U2427" i="1"/>
  <c r="V2427" i="1" s="1"/>
  <c r="W2427" i="1" s="1"/>
  <c r="U2431" i="1"/>
  <c r="U2449" i="1"/>
  <c r="U2471" i="1"/>
  <c r="V2471" i="1" s="1"/>
  <c r="W2471" i="1" s="1"/>
  <c r="U2484" i="1"/>
  <c r="U2488" i="1"/>
  <c r="U2492" i="1"/>
  <c r="V2492" i="1" s="1"/>
  <c r="W2492" i="1" s="1"/>
  <c r="U2494" i="1"/>
  <c r="V2494" i="1" s="1"/>
  <c r="U2500" i="1"/>
  <c r="V2500" i="1" s="1"/>
  <c r="Y2502" i="1"/>
  <c r="U2509" i="1"/>
  <c r="V2509" i="1" s="1"/>
  <c r="W2509" i="1" s="1"/>
  <c r="U2525" i="1"/>
  <c r="V2525" i="1" s="1"/>
  <c r="U2527" i="1"/>
  <c r="V2527" i="1" s="1"/>
  <c r="U2539" i="1"/>
  <c r="V2539" i="1" s="1"/>
  <c r="W2539" i="1" s="1"/>
  <c r="U2550" i="1"/>
  <c r="V2550" i="1" s="1"/>
  <c r="W2550" i="1" s="1"/>
  <c r="U2558" i="1"/>
  <c r="V2558" i="1" s="1"/>
  <c r="W2558" i="1" s="1"/>
  <c r="U2562" i="1"/>
  <c r="V2562" i="1" s="1"/>
  <c r="U2581" i="1"/>
  <c r="U2586" i="1"/>
  <c r="V2586" i="1" s="1"/>
  <c r="W2586" i="1" s="1"/>
  <c r="U2608" i="1"/>
  <c r="V2608" i="1" s="1"/>
  <c r="W2608" i="1" s="1"/>
  <c r="Y2610" i="1"/>
  <c r="U2618" i="1"/>
  <c r="U2628" i="1"/>
  <c r="V2628" i="1" s="1"/>
  <c r="W2628" i="1" s="1"/>
  <c r="U2630" i="1"/>
  <c r="V2630" i="1" s="1"/>
  <c r="W2630" i="1" s="1"/>
  <c r="U2659" i="1"/>
  <c r="V2659" i="1" s="1"/>
  <c r="U2687" i="1"/>
  <c r="V2687" i="1" s="1"/>
  <c r="U2741" i="1"/>
  <c r="V2741" i="1" s="1"/>
  <c r="U2810" i="1"/>
  <c r="V2810" i="1" s="1"/>
  <c r="U2814" i="1"/>
  <c r="V2814" i="1" s="1"/>
  <c r="U2850" i="1"/>
  <c r="V2850" i="1" s="1"/>
  <c r="U2852" i="1"/>
  <c r="V2852" i="1" s="1"/>
  <c r="Y2869" i="1"/>
  <c r="U2871" i="1"/>
  <c r="V2871" i="1" s="1"/>
  <c r="W2871" i="1" s="1"/>
  <c r="U2914" i="1"/>
  <c r="U2946" i="1"/>
  <c r="V2946" i="1" s="1"/>
  <c r="W2946" i="1" s="1"/>
  <c r="U2965" i="1"/>
  <c r="W2965" i="1" s="1"/>
  <c r="U2983" i="1"/>
  <c r="V2989" i="1"/>
  <c r="W2989" i="1" s="1"/>
  <c r="U3063" i="1"/>
  <c r="V3063" i="1" s="1"/>
  <c r="W3063" i="1" s="1"/>
  <c r="U3072" i="1"/>
  <c r="V3072" i="1" s="1"/>
  <c r="Y3072" i="1"/>
  <c r="U3088" i="1"/>
  <c r="V3088" i="1" s="1"/>
  <c r="W3088" i="1" s="1"/>
  <c r="U3120" i="1"/>
  <c r="V3120" i="1" s="1"/>
  <c r="W3120" i="1" s="1"/>
  <c r="U3124" i="1"/>
  <c r="U3133" i="1"/>
  <c r="Y3156" i="1"/>
  <c r="Y3172" i="1"/>
  <c r="W3202" i="1"/>
  <c r="U3215" i="1"/>
  <c r="V3215" i="1" s="1"/>
  <c r="W3215" i="1" s="1"/>
  <c r="Y3219" i="1"/>
  <c r="U3246" i="1"/>
  <c r="V3246" i="1" s="1"/>
  <c r="U3248" i="1"/>
  <c r="V3248" i="1" s="1"/>
  <c r="U3255" i="1"/>
  <c r="V3255" i="1" s="1"/>
  <c r="W3255" i="1" s="1"/>
  <c r="U3322" i="1"/>
  <c r="V3322" i="1" s="1"/>
  <c r="U3330" i="1"/>
  <c r="V3330" i="1" s="1"/>
  <c r="W3330" i="1" s="1"/>
  <c r="U3369" i="1"/>
  <c r="U3430" i="1"/>
  <c r="V3430" i="1" s="1"/>
  <c r="W3430" i="1" s="1"/>
  <c r="U3446" i="1"/>
  <c r="U3463" i="1"/>
  <c r="U3467" i="1"/>
  <c r="Y3472" i="1"/>
  <c r="U3472" i="1"/>
  <c r="Y3539" i="1"/>
  <c r="Y3548" i="1"/>
  <c r="U3556" i="1"/>
  <c r="V3556" i="1" s="1"/>
  <c r="W3572" i="1"/>
  <c r="V3603" i="1"/>
  <c r="W3603" i="1"/>
  <c r="U3634" i="1"/>
  <c r="U3646" i="1"/>
  <c r="V3646" i="1" s="1"/>
  <c r="W3646" i="1" s="1"/>
  <c r="U3705" i="1"/>
  <c r="W2988" i="1"/>
  <c r="U3078" i="1"/>
  <c r="Y3296" i="1"/>
  <c r="Y3298" i="1"/>
  <c r="U3303" i="1"/>
  <c r="U3505" i="1"/>
  <c r="V3505" i="1" s="1"/>
  <c r="Y3631" i="1"/>
  <c r="U2181" i="1"/>
  <c r="V2181" i="1" s="1"/>
  <c r="W2181" i="1" s="1"/>
  <c r="Y2197" i="1"/>
  <c r="U2210" i="1"/>
  <c r="V2210" i="1" s="1"/>
  <c r="W2210" i="1" s="1"/>
  <c r="Y2217" i="1"/>
  <c r="U2226" i="1"/>
  <c r="U2261" i="1"/>
  <c r="V2261" i="1" s="1"/>
  <c r="Y2276" i="1"/>
  <c r="U2281" i="1"/>
  <c r="V2281" i="1" s="1"/>
  <c r="W2281" i="1" s="1"/>
  <c r="U2283" i="1"/>
  <c r="V2283" i="1" s="1"/>
  <c r="W2283" i="1" s="1"/>
  <c r="Y2287" i="1"/>
  <c r="U2298" i="1"/>
  <c r="V2298" i="1" s="1"/>
  <c r="W2298" i="1" s="1"/>
  <c r="U2307" i="1"/>
  <c r="V2307" i="1" s="1"/>
  <c r="W2307" i="1" s="1"/>
  <c r="U2313" i="1"/>
  <c r="U2315" i="1"/>
  <c r="U2325" i="1"/>
  <c r="V2325" i="1" s="1"/>
  <c r="W2325" i="1" s="1"/>
  <c r="U2334" i="1"/>
  <c r="V2334" i="1" s="1"/>
  <c r="U2348" i="1"/>
  <c r="U2350" i="1"/>
  <c r="V2350" i="1" s="1"/>
  <c r="U2392" i="1"/>
  <c r="V2392" i="1" s="1"/>
  <c r="W2392" i="1" s="1"/>
  <c r="U2394" i="1"/>
  <c r="U2416" i="1"/>
  <c r="V2416" i="1" s="1"/>
  <c r="W2416" i="1" s="1"/>
  <c r="U2418" i="1"/>
  <c r="U2447" i="1"/>
  <c r="Y2495" i="1"/>
  <c r="U2502" i="1"/>
  <c r="V2502" i="1" s="1"/>
  <c r="W2502" i="1" s="1"/>
  <c r="U2506" i="1"/>
  <c r="V2506" i="1" s="1"/>
  <c r="W2506" i="1" s="1"/>
  <c r="Y2518" i="1"/>
  <c r="U2520" i="1"/>
  <c r="V2520" i="1" s="1"/>
  <c r="W2520" i="1" s="1"/>
  <c r="Y2526" i="1"/>
  <c r="U2530" i="1"/>
  <c r="W2530" i="1" s="1"/>
  <c r="U2532" i="1"/>
  <c r="V2532" i="1" s="1"/>
  <c r="Y2534" i="1"/>
  <c r="U2549" i="1"/>
  <c r="V2549" i="1" s="1"/>
  <c r="W2549" i="1" s="1"/>
  <c r="U2557" i="1"/>
  <c r="U2563" i="1"/>
  <c r="V2563" i="1" s="1"/>
  <c r="U2620" i="1"/>
  <c r="U2626" i="1"/>
  <c r="V2626" i="1" s="1"/>
  <c r="W2626" i="1" s="1"/>
  <c r="U2634" i="1"/>
  <c r="Y2639" i="1"/>
  <c r="U2647" i="1"/>
  <c r="U2649" i="1"/>
  <c r="V2649" i="1" s="1"/>
  <c r="U2651" i="1"/>
  <c r="U2671" i="1"/>
  <c r="V2671" i="1" s="1"/>
  <c r="W2671" i="1" s="1"/>
  <c r="Y2687" i="1"/>
  <c r="U2700" i="1"/>
  <c r="U2726" i="1"/>
  <c r="U2734" i="1"/>
  <c r="V2734" i="1" s="1"/>
  <c r="W2734" i="1" s="1"/>
  <c r="U2754" i="1"/>
  <c r="V2754" i="1" s="1"/>
  <c r="W2754" i="1" s="1"/>
  <c r="U2759" i="1"/>
  <c r="V2759" i="1" s="1"/>
  <c r="W2759" i="1" s="1"/>
  <c r="Y2771" i="1"/>
  <c r="U2792" i="1"/>
  <c r="V2792" i="1" s="1"/>
  <c r="U2798" i="1"/>
  <c r="Y2801" i="1"/>
  <c r="U2816" i="1"/>
  <c r="V2816" i="1" s="1"/>
  <c r="U2818" i="1"/>
  <c r="V2818" i="1" s="1"/>
  <c r="W2818" i="1" s="1"/>
  <c r="U2820" i="1"/>
  <c r="V2820" i="1" s="1"/>
  <c r="U2828" i="1"/>
  <c r="V2828" i="1" s="1"/>
  <c r="U2832" i="1"/>
  <c r="V2832" i="1" s="1"/>
  <c r="Y2838" i="1"/>
  <c r="U2845" i="1"/>
  <c r="U2898" i="1"/>
  <c r="V2898" i="1" s="1"/>
  <c r="U2934" i="1"/>
  <c r="V2934" i="1" s="1"/>
  <c r="U2962" i="1"/>
  <c r="Y2973" i="1"/>
  <c r="U2982" i="1"/>
  <c r="U2992" i="1"/>
  <c r="V2992" i="1" s="1"/>
  <c r="U3004" i="1"/>
  <c r="V3004" i="1" s="1"/>
  <c r="U3006" i="1"/>
  <c r="V3006" i="1" s="1"/>
  <c r="U3038" i="1"/>
  <c r="V3038" i="1" s="1"/>
  <c r="U3048" i="1"/>
  <c r="V3048" i="1" s="1"/>
  <c r="W3048" i="1" s="1"/>
  <c r="U3062" i="1"/>
  <c r="V3062" i="1" s="1"/>
  <c r="W3062" i="1" s="1"/>
  <c r="Y3078" i="1"/>
  <c r="U3097" i="1"/>
  <c r="U3113" i="1"/>
  <c r="U3117" i="1"/>
  <c r="U3136" i="1"/>
  <c r="V3136" i="1" s="1"/>
  <c r="U3138" i="1"/>
  <c r="U3154" i="1"/>
  <c r="V3154" i="1" s="1"/>
  <c r="U3156" i="1"/>
  <c r="V3156" i="1" s="1"/>
  <c r="W3156" i="1" s="1"/>
  <c r="U3188" i="1"/>
  <c r="V3188" i="1" s="1"/>
  <c r="U3208" i="1"/>
  <c r="V3208" i="1" s="1"/>
  <c r="U3216" i="1"/>
  <c r="V3216" i="1" s="1"/>
  <c r="U3222" i="1"/>
  <c r="V3222" i="1" s="1"/>
  <c r="U3244" i="1"/>
  <c r="V3244" i="1" s="1"/>
  <c r="W3244" i="1" s="1"/>
  <c r="U3269" i="1"/>
  <c r="V3269" i="1" s="1"/>
  <c r="W3269" i="1" s="1"/>
  <c r="U3271" i="1"/>
  <c r="U3273" i="1"/>
  <c r="V3273" i="1" s="1"/>
  <c r="W3273" i="1" s="1"/>
  <c r="U3277" i="1"/>
  <c r="Y3299" i="1"/>
  <c r="Y3303" i="1"/>
  <c r="U3315" i="1"/>
  <c r="V3315" i="1" s="1"/>
  <c r="W3315" i="1" s="1"/>
  <c r="U3341" i="1"/>
  <c r="U3347" i="1"/>
  <c r="U3370" i="1"/>
  <c r="V3370" i="1" s="1"/>
  <c r="W3370" i="1" s="1"/>
  <c r="U3372" i="1"/>
  <c r="V3372" i="1" s="1"/>
  <c r="U3396" i="1"/>
  <c r="V3396" i="1" s="1"/>
  <c r="W3396" i="1" s="1"/>
  <c r="U3415" i="1"/>
  <c r="U3436" i="1"/>
  <c r="U3443" i="1"/>
  <c r="V3443" i="1" s="1"/>
  <c r="W3443" i="1" s="1"/>
  <c r="U3460" i="1"/>
  <c r="U3475" i="1"/>
  <c r="V3475" i="1" s="1"/>
  <c r="W3475" i="1" s="1"/>
  <c r="U3490" i="1"/>
  <c r="Y3505" i="1"/>
  <c r="U3518" i="1"/>
  <c r="V3518" i="1" s="1"/>
  <c r="W3518" i="1" s="1"/>
  <c r="U3520" i="1"/>
  <c r="V3520" i="1" s="1"/>
  <c r="W3520" i="1" s="1"/>
  <c r="U3547" i="1"/>
  <c r="V3547" i="1" s="1"/>
  <c r="U3565" i="1"/>
  <c r="V3565" i="1" s="1"/>
  <c r="W3565" i="1" s="1"/>
  <c r="U3592" i="1"/>
  <c r="V3592" i="1" s="1"/>
  <c r="W3592" i="1" s="1"/>
  <c r="U3629" i="1"/>
  <c r="V3629" i="1" s="1"/>
  <c r="U3657" i="1"/>
  <c r="U3665" i="1"/>
  <c r="V3665" i="1" s="1"/>
  <c r="W3665" i="1" s="1"/>
  <c r="U3699" i="1"/>
  <c r="V3699" i="1" s="1"/>
  <c r="U3723" i="1"/>
  <c r="V3723" i="1" s="1"/>
  <c r="W3723" i="1" s="1"/>
  <c r="U2854" i="1"/>
  <c r="V2854" i="1" s="1"/>
  <c r="W2854" i="1" s="1"/>
  <c r="U2860" i="1"/>
  <c r="U2887" i="1"/>
  <c r="V2887" i="1" s="1"/>
  <c r="W2887" i="1" s="1"/>
  <c r="U2900" i="1"/>
  <c r="V2900" i="1" s="1"/>
  <c r="W2900" i="1" s="1"/>
  <c r="U2911" i="1"/>
  <c r="U2927" i="1"/>
  <c r="U2929" i="1"/>
  <c r="V2929" i="1" s="1"/>
  <c r="W2929" i="1" s="1"/>
  <c r="U2947" i="1"/>
  <c r="V2947" i="1" s="1"/>
  <c r="W2947" i="1" s="1"/>
  <c r="U2949" i="1"/>
  <c r="V2949" i="1" s="1"/>
  <c r="W2949" i="1" s="1"/>
  <c r="U2956" i="1"/>
  <c r="V2956" i="1" s="1"/>
  <c r="U2963" i="1"/>
  <c r="U2974" i="1"/>
  <c r="V2974" i="1" s="1"/>
  <c r="U2976" i="1"/>
  <c r="V2976" i="1" s="1"/>
  <c r="U3011" i="1"/>
  <c r="V3011" i="1" s="1"/>
  <c r="W3011" i="1" s="1"/>
  <c r="U3017" i="1"/>
  <c r="V3017" i="1" s="1"/>
  <c r="W3017" i="1" s="1"/>
  <c r="U3024" i="1"/>
  <c r="V3024" i="1" s="1"/>
  <c r="W3024" i="1" s="1"/>
  <c r="U3026" i="1"/>
  <c r="V3026" i="1" s="1"/>
  <c r="U3030" i="1"/>
  <c r="Y3032" i="1"/>
  <c r="U3047" i="1"/>
  <c r="Y3070" i="1"/>
  <c r="U3115" i="1"/>
  <c r="V3115" i="1" s="1"/>
  <c r="W3115" i="1" s="1"/>
  <c r="U3121" i="1"/>
  <c r="U3129" i="1"/>
  <c r="V3129" i="1" s="1"/>
  <c r="U3183" i="1"/>
  <c r="V3183" i="1" s="1"/>
  <c r="W3183" i="1" s="1"/>
  <c r="U3203" i="1"/>
  <c r="V3203" i="1" s="1"/>
  <c r="W3203" i="1" s="1"/>
  <c r="U3207" i="1"/>
  <c r="V3207" i="1" s="1"/>
  <c r="W3207" i="1" s="1"/>
  <c r="U3223" i="1"/>
  <c r="Y3235" i="1"/>
  <c r="U3278" i="1"/>
  <c r="V3278" i="1" s="1"/>
  <c r="W3278" i="1" s="1"/>
  <c r="U3282" i="1"/>
  <c r="U3297" i="1"/>
  <c r="V3297" i="1" s="1"/>
  <c r="W3297" i="1" s="1"/>
  <c r="U3300" i="1"/>
  <c r="V3300" i="1" s="1"/>
  <c r="W3300" i="1" s="1"/>
  <c r="U3335" i="1"/>
  <c r="V3335" i="1" s="1"/>
  <c r="U3361" i="1"/>
  <c r="V3361" i="1" s="1"/>
  <c r="W3361" i="1" s="1"/>
  <c r="U3368" i="1"/>
  <c r="Y3374" i="1"/>
  <c r="U3376" i="1"/>
  <c r="V3376" i="1" s="1"/>
  <c r="W3376" i="1" s="1"/>
  <c r="U3380" i="1"/>
  <c r="V3380" i="1" s="1"/>
  <c r="W3380" i="1" s="1"/>
  <c r="U3393" i="1"/>
  <c r="U3400" i="1"/>
  <c r="V3400" i="1" s="1"/>
  <c r="U3406" i="1"/>
  <c r="V3406" i="1" s="1"/>
  <c r="W3406" i="1" s="1"/>
  <c r="U3457" i="1"/>
  <c r="U3470" i="1"/>
  <c r="Y3493" i="1"/>
  <c r="U3507" i="1"/>
  <c r="V3507" i="1" s="1"/>
  <c r="W3507" i="1" s="1"/>
  <c r="U3511" i="1"/>
  <c r="V3511" i="1" s="1"/>
  <c r="U3521" i="1"/>
  <c r="V3521" i="1" s="1"/>
  <c r="W3521" i="1" s="1"/>
  <c r="Y3547" i="1"/>
  <c r="U3557" i="1"/>
  <c r="V3557" i="1" s="1"/>
  <c r="U3605" i="1"/>
  <c r="U3626" i="1"/>
  <c r="V3626" i="1" s="1"/>
  <c r="W3626" i="1" s="1"/>
  <c r="U3632" i="1"/>
  <c r="V3632" i="1" s="1"/>
  <c r="U3638" i="1"/>
  <c r="V3638" i="1" s="1"/>
  <c r="W3638" i="1" s="1"/>
  <c r="U3671" i="1"/>
  <c r="V3671" i="1" s="1"/>
  <c r="W3671" i="1" s="1"/>
  <c r="U3673" i="1"/>
  <c r="V3673" i="1" s="1"/>
  <c r="W3673" i="1" s="1"/>
  <c r="U3683" i="1"/>
  <c r="U3691" i="1"/>
  <c r="V3691" i="1" s="1"/>
  <c r="Y3693" i="1"/>
  <c r="U3734" i="1"/>
  <c r="Y3381" i="1"/>
  <c r="U3394" i="1"/>
  <c r="V3394" i="1" s="1"/>
  <c r="W3394" i="1" s="1"/>
  <c r="U3421" i="1"/>
  <c r="V3421" i="1" s="1"/>
  <c r="W3421" i="1" s="1"/>
  <c r="U3426" i="1"/>
  <c r="V3426" i="1" s="1"/>
  <c r="U3433" i="1"/>
  <c r="V3433" i="1" s="1"/>
  <c r="U3459" i="1"/>
  <c r="V3459" i="1" s="1"/>
  <c r="U3465" i="1"/>
  <c r="U3473" i="1"/>
  <c r="U3483" i="1"/>
  <c r="V3483" i="1" s="1"/>
  <c r="W3483" i="1" s="1"/>
  <c r="U3485" i="1"/>
  <c r="V3485" i="1" s="1"/>
  <c r="Y3491" i="1"/>
  <c r="U3497" i="1"/>
  <c r="V3497" i="1" s="1"/>
  <c r="U3501" i="1"/>
  <c r="V3501" i="1" s="1"/>
  <c r="W3501" i="1" s="1"/>
  <c r="Y3528" i="1"/>
  <c r="U3530" i="1"/>
  <c r="V3530" i="1" s="1"/>
  <c r="W3530" i="1" s="1"/>
  <c r="Y3536" i="1"/>
  <c r="U3544" i="1"/>
  <c r="U3550" i="1"/>
  <c r="V3550" i="1" s="1"/>
  <c r="W3550" i="1" s="1"/>
  <c r="U3559" i="1"/>
  <c r="U3568" i="1"/>
  <c r="V3568" i="1" s="1"/>
  <c r="W3568" i="1" s="1"/>
  <c r="Y3572" i="1"/>
  <c r="U3574" i="1"/>
  <c r="V3574" i="1" s="1"/>
  <c r="W3574" i="1" s="1"/>
  <c r="U3578" i="1"/>
  <c r="V3578" i="1" s="1"/>
  <c r="W3578" i="1" s="1"/>
  <c r="U3591" i="1"/>
  <c r="U3598" i="1"/>
  <c r="V3598" i="1" s="1"/>
  <c r="W3598" i="1" s="1"/>
  <c r="U3619" i="1"/>
  <c r="V3619" i="1" s="1"/>
  <c r="U3621" i="1"/>
  <c r="U3668" i="1"/>
  <c r="V3668" i="1" s="1"/>
  <c r="W3668" i="1" s="1"/>
  <c r="Y3672" i="1"/>
  <c r="U3676" i="1"/>
  <c r="V3676" i="1" s="1"/>
  <c r="W3676" i="1" s="1"/>
  <c r="U3730" i="1"/>
  <c r="V3730" i="1" s="1"/>
  <c r="V2178" i="1"/>
  <c r="W2178" i="1" s="1"/>
  <c r="V2631" i="1"/>
  <c r="W2631" i="1"/>
  <c r="V2635" i="1"/>
  <c r="W2635" i="1"/>
  <c r="V2354" i="1"/>
  <c r="W2354" i="1" s="1"/>
  <c r="V2508" i="1"/>
  <c r="W2508" i="1"/>
  <c r="V2559" i="1"/>
  <c r="W2559" i="1" s="1"/>
  <c r="V2612" i="1"/>
  <c r="W2612" i="1" s="1"/>
  <c r="V2220" i="1"/>
  <c r="W2220" i="1" s="1"/>
  <c r="V2574" i="1"/>
  <c r="W2574" i="1"/>
  <c r="V2667" i="1"/>
  <c r="W2667" i="1"/>
  <c r="V2232" i="1"/>
  <c r="W2232" i="1" s="1"/>
  <c r="V2226" i="1"/>
  <c r="W2226" i="1" s="1"/>
  <c r="V2171" i="1"/>
  <c r="W2171" i="1" s="1"/>
  <c r="V2839" i="1"/>
  <c r="W2839" i="1" s="1"/>
  <c r="V2833" i="1"/>
  <c r="W2833" i="1" s="1"/>
  <c r="V3043" i="1"/>
  <c r="W3043" i="1" s="1"/>
  <c r="V2282" i="1"/>
  <c r="W2282" i="1" s="1"/>
  <c r="V2345" i="1"/>
  <c r="W2345" i="1" s="1"/>
  <c r="V2353" i="1"/>
  <c r="W2364" i="1"/>
  <c r="V2378" i="1"/>
  <c r="W2378" i="1"/>
  <c r="V2417" i="1"/>
  <c r="W2417" i="1"/>
  <c r="V2424" i="1"/>
  <c r="W2424" i="1"/>
  <c r="V2466" i="1"/>
  <c r="W2466" i="1" s="1"/>
  <c r="V2468" i="1"/>
  <c r="W2468" i="1" s="1"/>
  <c r="V2484" i="1"/>
  <c r="W2484" i="1"/>
  <c r="V2488" i="1"/>
  <c r="W2488" i="1" s="1"/>
  <c r="W2522" i="1"/>
  <c r="V2530" i="1"/>
  <c r="U2564" i="1"/>
  <c r="W2681" i="1"/>
  <c r="Y2683" i="1"/>
  <c r="U2683" i="1"/>
  <c r="W2687" i="1"/>
  <c r="V2710" i="1"/>
  <c r="W2710" i="1" s="1"/>
  <c r="W2816" i="1"/>
  <c r="V2910" i="1"/>
  <c r="W2910" i="1"/>
  <c r="V2954" i="1"/>
  <c r="W2954" i="1" s="1"/>
  <c r="Y2969" i="1"/>
  <c r="U2969" i="1"/>
  <c r="V3078" i="1"/>
  <c r="W3078" i="1" s="1"/>
  <c r="V3101" i="1"/>
  <c r="W3101" i="1" s="1"/>
  <c r="Y3134" i="1"/>
  <c r="V3247" i="1"/>
  <c r="W3247" i="1" s="1"/>
  <c r="V2196" i="1"/>
  <c r="W2196" i="1"/>
  <c r="V2225" i="1"/>
  <c r="V2242" i="1"/>
  <c r="W2242" i="1" s="1"/>
  <c r="V2246" i="1"/>
  <c r="W2246" i="1" s="1"/>
  <c r="V2248" i="1"/>
  <c r="W2248" i="1" s="1"/>
  <c r="V2316" i="1"/>
  <c r="W2316" i="1" s="1"/>
  <c r="W2333" i="1"/>
  <c r="V2359" i="1"/>
  <c r="W2359" i="1" s="1"/>
  <c r="W2367" i="1"/>
  <c r="V2367" i="1"/>
  <c r="Y2473" i="1"/>
  <c r="U2473" i="1"/>
  <c r="V2479" i="1"/>
  <c r="W2479" i="1" s="1"/>
  <c r="V2597" i="1"/>
  <c r="W2597" i="1" s="1"/>
  <c r="V2618" i="1"/>
  <c r="W2618" i="1"/>
  <c r="V2620" i="1"/>
  <c r="W2620" i="1" s="1"/>
  <c r="Y2622" i="1"/>
  <c r="U2622" i="1"/>
  <c r="V2629" i="1"/>
  <c r="W2629" i="1" s="1"/>
  <c r="V2651" i="1"/>
  <c r="W2651" i="1"/>
  <c r="V2678" i="1"/>
  <c r="W2678" i="1" s="1"/>
  <c r="V2680" i="1"/>
  <c r="W2680" i="1" s="1"/>
  <c r="V2768" i="1"/>
  <c r="W2768" i="1" s="1"/>
  <c r="V2928" i="1"/>
  <c r="W2928" i="1" s="1"/>
  <c r="V2939" i="1"/>
  <c r="W2939" i="1" s="1"/>
  <c r="V3031" i="1"/>
  <c r="W3031" i="1" s="1"/>
  <c r="V3226" i="1"/>
  <c r="W3226" i="1" s="1"/>
  <c r="V3232" i="1"/>
  <c r="W3232" i="1" s="1"/>
  <c r="V3235" i="1"/>
  <c r="W3235" i="1" s="1"/>
  <c r="V3566" i="1"/>
  <c r="W3566" i="1" s="1"/>
  <c r="V2170" i="1"/>
  <c r="W2170" i="1" s="1"/>
  <c r="Y2172" i="1"/>
  <c r="U2172" i="1"/>
  <c r="V2191" i="1"/>
  <c r="W2191" i="1" s="1"/>
  <c r="V2200" i="1"/>
  <c r="W2200" i="1" s="1"/>
  <c r="U2202" i="1"/>
  <c r="V2207" i="1"/>
  <c r="U2209" i="1"/>
  <c r="W2216" i="1"/>
  <c r="V2218" i="1"/>
  <c r="W2218" i="1" s="1"/>
  <c r="V2305" i="1"/>
  <c r="W2305" i="1"/>
  <c r="W2314" i="1"/>
  <c r="V2318" i="1"/>
  <c r="W2318" i="1" s="1"/>
  <c r="V2352" i="1"/>
  <c r="W2352" i="1"/>
  <c r="V2357" i="1"/>
  <c r="W2357" i="1" s="1"/>
  <c r="U2363" i="1"/>
  <c r="V2365" i="1"/>
  <c r="W2365" i="1" s="1"/>
  <c r="Y2371" i="1"/>
  <c r="U2371" i="1"/>
  <c r="W2393" i="1"/>
  <c r="W2409" i="1"/>
  <c r="V2432" i="1"/>
  <c r="W2432" i="1" s="1"/>
  <c r="V2445" i="1"/>
  <c r="W2445" i="1" s="1"/>
  <c r="V2447" i="1"/>
  <c r="W2447" i="1" s="1"/>
  <c r="V2449" i="1"/>
  <c r="W2449" i="1" s="1"/>
  <c r="W2455" i="1"/>
  <c r="V2455" i="1"/>
  <c r="V2461" i="1"/>
  <c r="W2461" i="1" s="1"/>
  <c r="V2463" i="1"/>
  <c r="W2463" i="1" s="1"/>
  <c r="U2465" i="1"/>
  <c r="V2477" i="1"/>
  <c r="W2477" i="1" s="1"/>
  <c r="V2481" i="1"/>
  <c r="W2481" i="1" s="1"/>
  <c r="V2510" i="1"/>
  <c r="W2510" i="1" s="1"/>
  <c r="V2546" i="1"/>
  <c r="W2546" i="1" s="1"/>
  <c r="V2573" i="1"/>
  <c r="W2573" i="1"/>
  <c r="V2587" i="1"/>
  <c r="W2587" i="1" s="1"/>
  <c r="V2616" i="1"/>
  <c r="W2616" i="1" s="1"/>
  <c r="V2627" i="1"/>
  <c r="W2627" i="1"/>
  <c r="V2676" i="1"/>
  <c r="W2676" i="1"/>
  <c r="V2711" i="1"/>
  <c r="W2711" i="1" s="1"/>
  <c r="V2753" i="1"/>
  <c r="W2753" i="1" s="1"/>
  <c r="U2764" i="1"/>
  <c r="V2803" i="1"/>
  <c r="W2803" i="1" s="1"/>
  <c r="V2821" i="1"/>
  <c r="W2821" i="1" s="1"/>
  <c r="V2862" i="1"/>
  <c r="W2862" i="1" s="1"/>
  <c r="V2866" i="1"/>
  <c r="W2866" i="1" s="1"/>
  <c r="V2872" i="1"/>
  <c r="W2872" i="1" s="1"/>
  <c r="V2911" i="1"/>
  <c r="W2911" i="1" s="1"/>
  <c r="U2930" i="1"/>
  <c r="Y2930" i="1"/>
  <c r="V3059" i="1"/>
  <c r="W3059" i="1" s="1"/>
  <c r="V3061" i="1"/>
  <c r="W3061" i="1" s="1"/>
  <c r="V3075" i="1"/>
  <c r="W3075" i="1" s="1"/>
  <c r="V3085" i="1"/>
  <c r="W3085" i="1" s="1"/>
  <c r="V3087" i="1"/>
  <c r="W3087" i="1" s="1"/>
  <c r="Y3093" i="1"/>
  <c r="U3093" i="1"/>
  <c r="V3424" i="1"/>
  <c r="W3424" i="1" s="1"/>
  <c r="Y3525" i="1"/>
  <c r="U3525" i="1"/>
  <c r="V3542" i="1"/>
  <c r="W3542" i="1" s="1"/>
  <c r="V2177" i="1"/>
  <c r="W2177" i="1"/>
  <c r="V2183" i="1"/>
  <c r="W2183" i="1" s="1"/>
  <c r="V2195" i="1"/>
  <c r="W2195" i="1"/>
  <c r="U2204" i="1"/>
  <c r="V2211" i="1"/>
  <c r="W2211" i="1"/>
  <c r="V2213" i="1"/>
  <c r="W2213" i="1" s="1"/>
  <c r="V2235" i="1"/>
  <c r="W2235" i="1" s="1"/>
  <c r="W2240" i="1"/>
  <c r="Y2253" i="1"/>
  <c r="U2253" i="1"/>
  <c r="W2261" i="1"/>
  <c r="V2293" i="1"/>
  <c r="W2293" i="1"/>
  <c r="Y2346" i="1"/>
  <c r="U2346" i="1"/>
  <c r="Y2379" i="1"/>
  <c r="U2379" i="1"/>
  <c r="W2397" i="1"/>
  <c r="W2405" i="1"/>
  <c r="V2420" i="1"/>
  <c r="W2420" i="1" s="1"/>
  <c r="V2428" i="1"/>
  <c r="V2440" i="1"/>
  <c r="W2440" i="1"/>
  <c r="V2453" i="1"/>
  <c r="W2453" i="1" s="1"/>
  <c r="V2457" i="1"/>
  <c r="W2457" i="1" s="1"/>
  <c r="Y2512" i="1"/>
  <c r="U2512" i="1"/>
  <c r="U2548" i="1"/>
  <c r="V2552" i="1"/>
  <c r="W2552" i="1" s="1"/>
  <c r="W2571" i="1"/>
  <c r="V2581" i="1"/>
  <c r="W2581" i="1" s="1"/>
  <c r="V2585" i="1"/>
  <c r="W2585" i="1" s="1"/>
  <c r="V2644" i="1"/>
  <c r="W2644" i="1"/>
  <c r="V2660" i="1"/>
  <c r="W2660" i="1" s="1"/>
  <c r="V2684" i="1"/>
  <c r="W2684" i="1" s="1"/>
  <c r="V2700" i="1"/>
  <c r="W2700" i="1" s="1"/>
  <c r="V2729" i="1"/>
  <c r="W2729" i="1" s="1"/>
  <c r="V2747" i="1"/>
  <c r="W2747" i="1"/>
  <c r="V2760" i="1"/>
  <c r="W2760" i="1" s="1"/>
  <c r="W2762" i="1"/>
  <c r="V2776" i="1"/>
  <c r="W2776" i="1"/>
  <c r="V2794" i="1"/>
  <c r="W2794" i="1" s="1"/>
  <c r="V2870" i="1"/>
  <c r="W2870" i="1"/>
  <c r="V2914" i="1"/>
  <c r="W2914" i="1" s="1"/>
  <c r="V2948" i="1"/>
  <c r="W2948" i="1" s="1"/>
  <c r="V2966" i="1"/>
  <c r="W2966" i="1" s="1"/>
  <c r="V3081" i="1"/>
  <c r="W3081" i="1"/>
  <c r="V3083" i="1"/>
  <c r="W3083" i="1" s="1"/>
  <c r="Y3419" i="1"/>
  <c r="U3419" i="1"/>
  <c r="V2268" i="1"/>
  <c r="W2268" i="1" s="1"/>
  <c r="U2270" i="1"/>
  <c r="V2274" i="1"/>
  <c r="W2274" i="1" s="1"/>
  <c r="V2317" i="1"/>
  <c r="W2317" i="1"/>
  <c r="V2328" i="1"/>
  <c r="W2328" i="1" s="1"/>
  <c r="U2330" i="1"/>
  <c r="Y2338" i="1"/>
  <c r="U2338" i="1"/>
  <c r="V2342" i="1"/>
  <c r="W2342" i="1" s="1"/>
  <c r="V2489" i="1"/>
  <c r="W2489" i="1" s="1"/>
  <c r="V2516" i="1"/>
  <c r="W2516" i="1"/>
  <c r="V2518" i="1"/>
  <c r="W2518" i="1" s="1"/>
  <c r="V2541" i="1"/>
  <c r="W2541" i="1" s="1"/>
  <c r="V2556" i="1"/>
  <c r="W2556" i="1" s="1"/>
  <c r="Y2585" i="1"/>
  <c r="V2669" i="1"/>
  <c r="W2669" i="1" s="1"/>
  <c r="V2679" i="1"/>
  <c r="W2679" i="1" s="1"/>
  <c r="V2696" i="1"/>
  <c r="W2696" i="1" s="1"/>
  <c r="V2702" i="1"/>
  <c r="W2702" i="1" s="1"/>
  <c r="W2715" i="1"/>
  <c r="V2723" i="1"/>
  <c r="W2723" i="1" s="1"/>
  <c r="V2727" i="1"/>
  <c r="W2727" i="1" s="1"/>
  <c r="V2743" i="1"/>
  <c r="W2743" i="1"/>
  <c r="W2751" i="1"/>
  <c r="W2788" i="1"/>
  <c r="U2790" i="1"/>
  <c r="V2842" i="1"/>
  <c r="W2842" i="1" s="1"/>
  <c r="V2881" i="1"/>
  <c r="W2881" i="1" s="1"/>
  <c r="V2935" i="1"/>
  <c r="W2935" i="1" s="1"/>
  <c r="V2957" i="1"/>
  <c r="W2957" i="1" s="1"/>
  <c r="V3020" i="1"/>
  <c r="W3020" i="1" s="1"/>
  <c r="V3041" i="1"/>
  <c r="W3041" i="1"/>
  <c r="V3324" i="1"/>
  <c r="W3324" i="1" s="1"/>
  <c r="Y3326" i="1"/>
  <c r="U3326" i="1"/>
  <c r="V3389" i="1"/>
  <c r="W3389" i="1" s="1"/>
  <c r="V3399" i="1"/>
  <c r="W3399" i="1" s="1"/>
  <c r="V3401" i="1"/>
  <c r="W3401" i="1" s="1"/>
  <c r="V3462" i="1"/>
  <c r="W3462" i="1" s="1"/>
  <c r="V3492" i="1"/>
  <c r="W3492" i="1" s="1"/>
  <c r="V2169" i="1"/>
  <c r="W2169" i="1" s="1"/>
  <c r="V2187" i="1"/>
  <c r="W2187" i="1" s="1"/>
  <c r="U2189" i="1"/>
  <c r="W2193" i="1"/>
  <c r="V2197" i="1"/>
  <c r="W2197" i="1" s="1"/>
  <c r="V2245" i="1"/>
  <c r="W2245" i="1" s="1"/>
  <c r="Y2247" i="1"/>
  <c r="U2247" i="1"/>
  <c r="Y2264" i="1"/>
  <c r="U2264" i="1"/>
  <c r="Y2284" i="1"/>
  <c r="U2284" i="1"/>
  <c r="V2288" i="1"/>
  <c r="W2288" i="1" s="1"/>
  <c r="V2300" i="1"/>
  <c r="W2300" i="1" s="1"/>
  <c r="U2302" i="1"/>
  <c r="V2306" i="1"/>
  <c r="W2306" i="1" s="1"/>
  <c r="V2313" i="1"/>
  <c r="W2313" i="1" s="1"/>
  <c r="V2315" i="1"/>
  <c r="W2315" i="1" s="1"/>
  <c r="V2326" i="1"/>
  <c r="W2326" i="1" s="1"/>
  <c r="V2340" i="1"/>
  <c r="W2340" i="1"/>
  <c r="V2362" i="1"/>
  <c r="W2362" i="1" s="1"/>
  <c r="V2419" i="1"/>
  <c r="W2419" i="1"/>
  <c r="V2421" i="1"/>
  <c r="W2421" i="1" s="1"/>
  <c r="Y2423" i="1"/>
  <c r="U2423" i="1"/>
  <c r="V2472" i="1"/>
  <c r="W2472" i="1" s="1"/>
  <c r="V2513" i="1"/>
  <c r="W2513" i="1" s="1"/>
  <c r="V2531" i="1"/>
  <c r="W2531" i="1" s="1"/>
  <c r="W2537" i="1"/>
  <c r="U2543" i="1"/>
  <c r="V2551" i="1"/>
  <c r="W2551" i="1" s="1"/>
  <c r="V2566" i="1"/>
  <c r="W2566" i="1" s="1"/>
  <c r="V2570" i="1"/>
  <c r="W2570" i="1" s="1"/>
  <c r="W2572" i="1"/>
  <c r="V2640" i="1"/>
  <c r="W2640" i="1" s="1"/>
  <c r="V2642" i="1"/>
  <c r="W2642" i="1" s="1"/>
  <c r="V2677" i="1"/>
  <c r="W2677" i="1" s="1"/>
  <c r="V2807" i="1"/>
  <c r="W2807" i="1" s="1"/>
  <c r="V2860" i="1"/>
  <c r="V2933" i="1"/>
  <c r="W2933" i="1"/>
  <c r="U2964" i="1"/>
  <c r="V2977" i="1"/>
  <c r="W2977" i="1"/>
  <c r="V3000" i="1"/>
  <c r="W3000" i="1" s="1"/>
  <c r="V3386" i="1"/>
  <c r="W3386" i="1"/>
  <c r="W2167" i="1"/>
  <c r="V2219" i="1"/>
  <c r="W2219" i="1" s="1"/>
  <c r="V2230" i="1"/>
  <c r="W2230" i="1" s="1"/>
  <c r="V2236" i="1"/>
  <c r="W2236" i="1" s="1"/>
  <c r="U2243" i="1"/>
  <c r="V2255" i="1"/>
  <c r="W2255" i="1" s="1"/>
  <c r="W2276" i="1"/>
  <c r="U2280" i="1"/>
  <c r="W2332" i="1"/>
  <c r="V2374" i="1"/>
  <c r="W2374" i="1" s="1"/>
  <c r="V2384" i="1"/>
  <c r="W2384" i="1" s="1"/>
  <c r="V2404" i="1"/>
  <c r="W2404" i="1" s="1"/>
  <c r="V2415" i="1"/>
  <c r="W2415" i="1" s="1"/>
  <c r="V2444" i="1"/>
  <c r="W2444" i="1"/>
  <c r="W2450" i="1"/>
  <c r="W2474" i="1"/>
  <c r="V2476" i="1"/>
  <c r="W2476" i="1" s="1"/>
  <c r="V2497" i="1"/>
  <c r="W2497" i="1"/>
  <c r="V2499" i="1"/>
  <c r="W2499" i="1"/>
  <c r="V2503" i="1"/>
  <c r="W2503" i="1" s="1"/>
  <c r="V2524" i="1"/>
  <c r="W2524" i="1" s="1"/>
  <c r="V2526" i="1"/>
  <c r="W2526" i="1" s="1"/>
  <c r="V2547" i="1"/>
  <c r="W2547" i="1" s="1"/>
  <c r="V2568" i="1"/>
  <c r="W2568" i="1"/>
  <c r="V2658" i="1"/>
  <c r="W2658" i="1" s="1"/>
  <c r="V2691" i="1"/>
  <c r="W2691" i="1" s="1"/>
  <c r="V2714" i="1"/>
  <c r="W2714" i="1" s="1"/>
  <c r="V2765" i="1"/>
  <c r="W2765" i="1" s="1"/>
  <c r="V2773" i="1"/>
  <c r="W2773" i="1"/>
  <c r="V2775" i="1"/>
  <c r="W2775" i="1" s="1"/>
  <c r="V2804" i="1"/>
  <c r="W2804" i="1" s="1"/>
  <c r="V2826" i="1"/>
  <c r="W2826" i="1" s="1"/>
  <c r="V2905" i="1"/>
  <c r="W2905" i="1" s="1"/>
  <c r="U2907" i="1"/>
  <c r="V2922" i="1"/>
  <c r="W2960" i="1"/>
  <c r="V3012" i="1"/>
  <c r="W3012" i="1" s="1"/>
  <c r="V3034" i="1"/>
  <c r="W3034" i="1" s="1"/>
  <c r="V3049" i="1"/>
  <c r="W3049" i="1" s="1"/>
  <c r="U3103" i="1"/>
  <c r="V3134" i="1"/>
  <c r="W3134" i="1" s="1"/>
  <c r="V3177" i="1"/>
  <c r="W3177" i="1" s="1"/>
  <c r="V3193" i="1"/>
  <c r="W3193" i="1"/>
  <c r="V3279" i="1"/>
  <c r="W3279" i="1"/>
  <c r="V3285" i="1"/>
  <c r="W3285" i="1" s="1"/>
  <c r="W2166" i="1"/>
  <c r="U2173" i="1"/>
  <c r="V2184" i="1"/>
  <c r="W2184" i="1" s="1"/>
  <c r="V2203" i="1"/>
  <c r="W2203" i="1"/>
  <c r="U2221" i="1"/>
  <c r="V2228" i="1"/>
  <c r="W2228" i="1" s="1"/>
  <c r="V2252" i="1"/>
  <c r="W2252" i="1"/>
  <c r="U2259" i="1"/>
  <c r="V2265" i="1"/>
  <c r="W2265" i="1" s="1"/>
  <c r="V2285" i="1"/>
  <c r="W2285" i="1" s="1"/>
  <c r="V2296" i="1"/>
  <c r="W2296" i="1"/>
  <c r="W2323" i="1"/>
  <c r="V2347" i="1"/>
  <c r="W2347" i="1" s="1"/>
  <c r="V2180" i="1"/>
  <c r="W2180" i="1" s="1"/>
  <c r="V2212" i="1"/>
  <c r="W2212" i="1" s="1"/>
  <c r="V2214" i="1"/>
  <c r="W2214" i="1" s="1"/>
  <c r="W2223" i="1"/>
  <c r="W2234" i="1"/>
  <c r="V2238" i="1"/>
  <c r="W2238" i="1" s="1"/>
  <c r="V2294" i="1"/>
  <c r="W2294" i="1" s="1"/>
  <c r="V2301" i="1"/>
  <c r="W2301" i="1" s="1"/>
  <c r="V2310" i="1"/>
  <c r="W2310" i="1" s="1"/>
  <c r="W2376" i="1"/>
  <c r="V2383" i="1"/>
  <c r="W2383" i="1" s="1"/>
  <c r="V2407" i="1"/>
  <c r="W2407" i="1" s="1"/>
  <c r="U2411" i="1"/>
  <c r="U2437" i="1"/>
  <c r="V2439" i="1"/>
  <c r="W2439" i="1" s="1"/>
  <c r="U2441" i="1"/>
  <c r="W2446" i="1"/>
  <c r="V2454" i="1"/>
  <c r="W2454" i="1" s="1"/>
  <c r="V2470" i="1"/>
  <c r="W2470" i="1"/>
  <c r="V2505" i="1"/>
  <c r="W2505" i="1" s="1"/>
  <c r="V2517" i="1"/>
  <c r="W2517" i="1" s="1"/>
  <c r="U2521" i="1"/>
  <c r="V2536" i="1"/>
  <c r="W2536" i="1" s="1"/>
  <c r="W2561" i="1"/>
  <c r="W2588" i="1"/>
  <c r="U2604" i="1"/>
  <c r="W2645" i="1"/>
  <c r="V2653" i="1"/>
  <c r="W2653" i="1" s="1"/>
  <c r="V2655" i="1"/>
  <c r="W2655" i="1" s="1"/>
  <c r="W2693" i="1"/>
  <c r="V2699" i="1"/>
  <c r="W2699" i="1"/>
  <c r="W2730" i="1"/>
  <c r="U2738" i="1"/>
  <c r="V2770" i="1"/>
  <c r="W2770" i="1" s="1"/>
  <c r="V2777" i="1"/>
  <c r="W2777" i="1" s="1"/>
  <c r="V2779" i="1"/>
  <c r="W2779" i="1" s="1"/>
  <c r="V2812" i="1"/>
  <c r="W2812" i="1"/>
  <c r="V2836" i="1"/>
  <c r="W2836" i="1"/>
  <c r="V2838" i="1"/>
  <c r="W2838" i="1" s="1"/>
  <c r="V2855" i="1"/>
  <c r="W2855" i="1" s="1"/>
  <c r="U2873" i="1"/>
  <c r="U2888" i="1"/>
  <c r="W2980" i="1"/>
  <c r="V3055" i="1"/>
  <c r="W3055" i="1" s="1"/>
  <c r="V3064" i="1"/>
  <c r="W3064" i="1" s="1"/>
  <c r="V3130" i="1"/>
  <c r="W3130" i="1" s="1"/>
  <c r="V3132" i="1"/>
  <c r="W3132" i="1" s="1"/>
  <c r="V3174" i="1"/>
  <c r="W3174" i="1" s="1"/>
  <c r="V3176" i="1"/>
  <c r="W3176" i="1" s="1"/>
  <c r="V3178" i="1"/>
  <c r="W3178" i="1" s="1"/>
  <c r="Y3190" i="1"/>
  <c r="U3190" i="1"/>
  <c r="V3309" i="1"/>
  <c r="W3309" i="1"/>
  <c r="V2336" i="1"/>
  <c r="W2336" i="1" s="1"/>
  <c r="V2358" i="1"/>
  <c r="W2358" i="1" s="1"/>
  <c r="U2375" i="1"/>
  <c r="W2396" i="1"/>
  <c r="U2408" i="1"/>
  <c r="V2452" i="1"/>
  <c r="W2452" i="1"/>
  <c r="U2480" i="1"/>
  <c r="U2485" i="1"/>
  <c r="V2487" i="1"/>
  <c r="W2487" i="1" s="1"/>
  <c r="U2507" i="1"/>
  <c r="U2601" i="1"/>
  <c r="Y2601" i="1"/>
  <c r="V2663" i="1"/>
  <c r="W2663" i="1" s="1"/>
  <c r="V2674" i="1"/>
  <c r="W2674" i="1" s="1"/>
  <c r="U2701" i="1"/>
  <c r="V2708" i="1"/>
  <c r="W2708" i="1"/>
  <c r="U2721" i="1"/>
  <c r="U2744" i="1"/>
  <c r="V2750" i="1"/>
  <c r="W2750" i="1" s="1"/>
  <c r="V2763" i="1"/>
  <c r="W2763" i="1" s="1"/>
  <c r="V2778" i="1"/>
  <c r="W2778" i="1" s="1"/>
  <c r="V2785" i="1"/>
  <c r="W2785" i="1" s="1"/>
  <c r="U2795" i="1"/>
  <c r="V2798" i="1"/>
  <c r="U2823" i="1"/>
  <c r="V2830" i="1"/>
  <c r="W2830" i="1" s="1"/>
  <c r="V2849" i="1"/>
  <c r="W2849" i="1"/>
  <c r="V2858" i="1"/>
  <c r="W2858" i="1" s="1"/>
  <c r="V2920" i="1"/>
  <c r="W2920" i="1" s="1"/>
  <c r="U2937" i="1"/>
  <c r="U2950" i="1"/>
  <c r="U2952" i="1"/>
  <c r="U3071" i="1"/>
  <c r="V3152" i="1"/>
  <c r="W3152" i="1"/>
  <c r="V3217" i="1"/>
  <c r="W3217" i="1" s="1"/>
  <c r="V3268" i="1"/>
  <c r="W3268" i="1" s="1"/>
  <c r="W3272" i="1"/>
  <c r="W3274" i="1"/>
  <c r="V3381" i="1"/>
  <c r="W3381" i="1"/>
  <c r="V3448" i="1"/>
  <c r="W3448" i="1" s="1"/>
  <c r="V3710" i="1"/>
  <c r="W3710" i="1" s="1"/>
  <c r="V2199" i="1"/>
  <c r="W2199" i="1" s="1"/>
  <c r="V2208" i="1"/>
  <c r="W2208" i="1" s="1"/>
  <c r="V2344" i="1"/>
  <c r="W2344" i="1"/>
  <c r="V2366" i="1"/>
  <c r="W2366" i="1" s="1"/>
  <c r="W2527" i="1"/>
  <c r="V2733" i="1"/>
  <c r="W2733" i="1"/>
  <c r="V2786" i="1"/>
  <c r="W2786" i="1" s="1"/>
  <c r="V2793" i="1"/>
  <c r="W2793" i="1" s="1"/>
  <c r="V2827" i="1"/>
  <c r="W2827" i="1" s="1"/>
  <c r="W2834" i="1"/>
  <c r="V2908" i="1"/>
  <c r="W2908" i="1" s="1"/>
  <c r="V2943" i="1"/>
  <c r="W2943" i="1" s="1"/>
  <c r="V2959" i="1"/>
  <c r="W2959" i="1" s="1"/>
  <c r="V3125" i="1"/>
  <c r="W3125" i="1" s="1"/>
  <c r="V2165" i="1"/>
  <c r="W2165" i="1"/>
  <c r="W2215" i="1"/>
  <c r="V2215" i="1"/>
  <c r="V2251" i="1"/>
  <c r="W2251" i="1" s="1"/>
  <c r="V2258" i="1"/>
  <c r="W2258" i="1"/>
  <c r="V2263" i="1"/>
  <c r="W2263" i="1" s="1"/>
  <c r="V2269" i="1"/>
  <c r="W2269" i="1"/>
  <c r="V2279" i="1"/>
  <c r="W2279" i="1"/>
  <c r="V2295" i="1"/>
  <c r="W2295" i="1" s="1"/>
  <c r="W2327" i="1"/>
  <c r="V2387" i="1"/>
  <c r="W2387" i="1" s="1"/>
  <c r="V2391" i="1"/>
  <c r="W2391" i="1" s="1"/>
  <c r="V2436" i="1"/>
  <c r="W2436" i="1"/>
  <c r="V2464" i="1"/>
  <c r="W2464" i="1" s="1"/>
  <c r="V2469" i="1"/>
  <c r="W2469" i="1" s="1"/>
  <c r="V2511" i="1"/>
  <c r="W2511" i="1" s="1"/>
  <c r="W2532" i="1"/>
  <c r="V2542" i="1"/>
  <c r="W2542" i="1" s="1"/>
  <c r="V2567" i="1"/>
  <c r="W2567" i="1" s="1"/>
  <c r="V2578" i="1"/>
  <c r="W2578" i="1" s="1"/>
  <c r="V2580" i="1"/>
  <c r="W2580" i="1" s="1"/>
  <c r="Y2611" i="1"/>
  <c r="U2611" i="1"/>
  <c r="V2634" i="1"/>
  <c r="W2634" i="1" s="1"/>
  <c r="V2692" i="1"/>
  <c r="W2692" i="1" s="1"/>
  <c r="U2188" i="1"/>
  <c r="U2227" i="1"/>
  <c r="Y2231" i="1"/>
  <c r="U2231" i="1"/>
  <c r="U2297" i="1"/>
  <c r="U2337" i="1"/>
  <c r="V2370" i="1"/>
  <c r="W2370" i="1"/>
  <c r="U2395" i="1"/>
  <c r="V2399" i="1"/>
  <c r="W2399" i="1"/>
  <c r="V2422" i="1"/>
  <c r="W2422" i="1" s="1"/>
  <c r="U2429" i="1"/>
  <c r="V2431" i="1"/>
  <c r="W2431" i="1" s="1"/>
  <c r="U2433" i="1"/>
  <c r="V2460" i="1"/>
  <c r="W2460" i="1"/>
  <c r="W2478" i="1"/>
  <c r="V2498" i="1"/>
  <c r="W2498" i="1" s="1"/>
  <c r="U2504" i="1"/>
  <c r="V2535" i="1"/>
  <c r="W2535" i="1"/>
  <c r="U2540" i="1"/>
  <c r="V2590" i="1"/>
  <c r="W2590" i="1" s="1"/>
  <c r="V2594" i="1"/>
  <c r="W2594" i="1" s="1"/>
  <c r="V2600" i="1"/>
  <c r="W2600" i="1"/>
  <c r="V2615" i="1"/>
  <c r="W2615" i="1" s="1"/>
  <c r="U2654" i="1"/>
  <c r="V2688" i="1"/>
  <c r="W2688" i="1"/>
  <c r="U2690" i="1"/>
  <c r="V2697" i="1"/>
  <c r="W2697" i="1" s="1"/>
  <c r="V2705" i="1"/>
  <c r="W2705" i="1"/>
  <c r="W2719" i="1"/>
  <c r="U2755" i="1"/>
  <c r="W2780" i="1"/>
  <c r="U2782" i="1"/>
  <c r="V2784" i="1"/>
  <c r="W2784" i="1"/>
  <c r="V2808" i="1"/>
  <c r="W2808" i="1" s="1"/>
  <c r="W2810" i="1"/>
  <c r="V2844" i="1"/>
  <c r="W2844" i="1" s="1"/>
  <c r="W2850" i="1"/>
  <c r="W2852" i="1"/>
  <c r="V2975" i="1"/>
  <c r="W2975" i="1" s="1"/>
  <c r="V3018" i="1"/>
  <c r="W3018" i="1" s="1"/>
  <c r="W3141" i="1"/>
  <c r="U3159" i="1"/>
  <c r="W3161" i="1"/>
  <c r="V3263" i="1"/>
  <c r="W3263" i="1" s="1"/>
  <c r="V3333" i="1"/>
  <c r="W3333" i="1" s="1"/>
  <c r="V3337" i="1"/>
  <c r="W3337" i="1"/>
  <c r="V3363" i="1"/>
  <c r="W3363" i="1" s="1"/>
  <c r="V3437" i="1"/>
  <c r="W3437" i="1" s="1"/>
  <c r="V3383" i="1"/>
  <c r="W3383" i="1" s="1"/>
  <c r="V2841" i="1"/>
  <c r="W2841" i="1" s="1"/>
  <c r="V2942" i="1"/>
  <c r="W2942" i="1" s="1"/>
  <c r="V2968" i="1"/>
  <c r="W2968" i="1" s="1"/>
  <c r="V3123" i="1"/>
  <c r="W3123" i="1" s="1"/>
  <c r="V3223" i="1"/>
  <c r="W3223" i="1" s="1"/>
  <c r="V3265" i="1"/>
  <c r="W3265" i="1" s="1"/>
  <c r="V3295" i="1"/>
  <c r="W3295" i="1" s="1"/>
  <c r="V3323" i="1"/>
  <c r="W3323" i="1" s="1"/>
  <c r="U3362" i="1"/>
  <c r="Y3422" i="1"/>
  <c r="U3422" i="1"/>
  <c r="V3456" i="1"/>
  <c r="W3456" i="1" s="1"/>
  <c r="Y3458" i="1"/>
  <c r="U3458" i="1"/>
  <c r="V3490" i="1"/>
  <c r="W3490" i="1" s="1"/>
  <c r="U2311" i="1"/>
  <c r="U2382" i="1"/>
  <c r="U2390" i="1"/>
  <c r="U2398" i="1"/>
  <c r="U2501" i="1"/>
  <c r="U2533" i="1"/>
  <c r="W2538" i="1"/>
  <c r="V2577" i="1"/>
  <c r="W2577" i="1" s="1"/>
  <c r="U2610" i="1"/>
  <c r="U2746" i="1"/>
  <c r="V2789" i="1"/>
  <c r="W2789" i="1" s="1"/>
  <c r="V2809" i="1"/>
  <c r="W2809" i="1" s="1"/>
  <c r="V2846" i="1"/>
  <c r="W2846" i="1" s="1"/>
  <c r="U2851" i="1"/>
  <c r="U2859" i="1"/>
  <c r="V2867" i="1"/>
  <c r="W2867" i="1" s="1"/>
  <c r="U2875" i="1"/>
  <c r="V2876" i="1"/>
  <c r="W2876" i="1" s="1"/>
  <c r="U2895" i="1"/>
  <c r="V2916" i="1"/>
  <c r="W2916" i="1"/>
  <c r="V2932" i="1"/>
  <c r="W2932" i="1" s="1"/>
  <c r="U2986" i="1"/>
  <c r="V3001" i="1"/>
  <c r="W3001" i="1" s="1"/>
  <c r="V3019" i="1"/>
  <c r="W3019" i="1" s="1"/>
  <c r="V3025" i="1"/>
  <c r="W3025" i="1" s="1"/>
  <c r="U3028" i="1"/>
  <c r="V3053" i="1"/>
  <c r="W3053" i="1" s="1"/>
  <c r="Y3060" i="1"/>
  <c r="U3060" i="1"/>
  <c r="V3082" i="1"/>
  <c r="W3082" i="1" s="1"/>
  <c r="V3091" i="1"/>
  <c r="W3091" i="1" s="1"/>
  <c r="V3107" i="1"/>
  <c r="W3107" i="1"/>
  <c r="V3116" i="1"/>
  <c r="W3116" i="1" s="1"/>
  <c r="U3151" i="1"/>
  <c r="U3167" i="1"/>
  <c r="U3169" i="1"/>
  <c r="U3187" i="1"/>
  <c r="V3189" i="1"/>
  <c r="W3189" i="1" s="1"/>
  <c r="V3201" i="1"/>
  <c r="W3201" i="1" s="1"/>
  <c r="V3204" i="1"/>
  <c r="W3204" i="1" s="1"/>
  <c r="V3252" i="1"/>
  <c r="W3252" i="1" s="1"/>
  <c r="U3258" i="1"/>
  <c r="V3317" i="1"/>
  <c r="W3317" i="1" s="1"/>
  <c r="V3319" i="1"/>
  <c r="W3319" i="1" s="1"/>
  <c r="U3352" i="1"/>
  <c r="U3412" i="1"/>
  <c r="V3466" i="1"/>
  <c r="W3466" i="1"/>
  <c r="Y3468" i="1"/>
  <c r="U3468" i="1"/>
  <c r="V3472" i="1"/>
  <c r="W3472" i="1" s="1"/>
  <c r="U3495" i="1"/>
  <c r="V3499" i="1"/>
  <c r="W3499" i="1" s="1"/>
  <c r="V3535" i="1"/>
  <c r="W3535" i="1" s="1"/>
  <c r="V3702" i="1"/>
  <c r="W3702" i="1" s="1"/>
  <c r="V3726" i="1"/>
  <c r="W3726" i="1" s="1"/>
  <c r="U3736" i="1"/>
  <c r="V3738" i="1"/>
  <c r="W3738" i="1" s="1"/>
  <c r="V2194" i="1"/>
  <c r="W2194" i="1" s="1"/>
  <c r="U2206" i="1"/>
  <c r="V2257" i="1"/>
  <c r="W2257" i="1" s="1"/>
  <c r="U2304" i="1"/>
  <c r="V2333" i="1"/>
  <c r="V2341" i="1"/>
  <c r="W2341" i="1" s="1"/>
  <c r="V2349" i="1"/>
  <c r="W2349" i="1" s="1"/>
  <c r="Y2356" i="1"/>
  <c r="U2361" i="1"/>
  <c r="U2369" i="1"/>
  <c r="U2377" i="1"/>
  <c r="U2435" i="1"/>
  <c r="U2443" i="1"/>
  <c r="U2451" i="1"/>
  <c r="U2459" i="1"/>
  <c r="U2467" i="1"/>
  <c r="U2475" i="1"/>
  <c r="U2483" i="1"/>
  <c r="Y2549" i="1"/>
  <c r="U2576" i="1"/>
  <c r="V2583" i="1"/>
  <c r="W2583" i="1" s="1"/>
  <c r="U2589" i="1"/>
  <c r="U2596" i="1"/>
  <c r="V2603" i="1"/>
  <c r="W2603" i="1" s="1"/>
  <c r="U2637" i="1"/>
  <c r="U2650" i="1"/>
  <c r="W2657" i="1"/>
  <c r="U2668" i="1"/>
  <c r="Y2682" i="1"/>
  <c r="U2682" i="1"/>
  <c r="Y2685" i="1"/>
  <c r="V2689" i="1"/>
  <c r="W2689" i="1" s="1"/>
  <c r="V2695" i="1"/>
  <c r="W2695" i="1" s="1"/>
  <c r="V2698" i="1"/>
  <c r="W2698" i="1" s="1"/>
  <c r="W2707" i="1"/>
  <c r="V2720" i="1"/>
  <c r="W2720" i="1" s="1"/>
  <c r="U2728" i="1"/>
  <c r="W2741" i="1"/>
  <c r="V2752" i="1"/>
  <c r="W2752" i="1" s="1"/>
  <c r="V2761" i="1"/>
  <c r="W2761" i="1" s="1"/>
  <c r="W2767" i="1"/>
  <c r="U2769" i="1"/>
  <c r="V2817" i="1"/>
  <c r="W2817" i="1" s="1"/>
  <c r="V2835" i="1"/>
  <c r="W2835" i="1" s="1"/>
  <c r="U2843" i="1"/>
  <c r="U2874" i="1"/>
  <c r="V2889" i="1"/>
  <c r="W2889" i="1" s="1"/>
  <c r="U2906" i="1"/>
  <c r="U2918" i="1"/>
  <c r="W2934" i="1"/>
  <c r="U2970" i="1"/>
  <c r="U2973" i="1"/>
  <c r="U2978" i="1"/>
  <c r="U2984" i="1"/>
  <c r="Y3033" i="1"/>
  <c r="V3042" i="1"/>
  <c r="W3042" i="1" s="1"/>
  <c r="V3050" i="1"/>
  <c r="W3050" i="1" s="1"/>
  <c r="V3065" i="1"/>
  <c r="W3065" i="1" s="1"/>
  <c r="V3131" i="1"/>
  <c r="W3131" i="1" s="1"/>
  <c r="V3133" i="1"/>
  <c r="W3133" i="1" s="1"/>
  <c r="V3149" i="1"/>
  <c r="W3149" i="1" s="1"/>
  <c r="V3180" i="1"/>
  <c r="W3180" i="1" s="1"/>
  <c r="V3256" i="1"/>
  <c r="W3256" i="1" s="1"/>
  <c r="V3312" i="1"/>
  <c r="W3312" i="1" s="1"/>
  <c r="V3343" i="1"/>
  <c r="W3343" i="1" s="1"/>
  <c r="W3428" i="1"/>
  <c r="V3428" i="1"/>
  <c r="V3449" i="1"/>
  <c r="W3449" i="1" s="1"/>
  <c r="U3486" i="1"/>
  <c r="V3488" i="1"/>
  <c r="W3488" i="1" s="1"/>
  <c r="V3628" i="1"/>
  <c r="W3628" i="1" s="1"/>
  <c r="W2606" i="1"/>
  <c r="W2666" i="1"/>
  <c r="W2800" i="1"/>
  <c r="V2806" i="1"/>
  <c r="W2806" i="1" s="1"/>
  <c r="W2897" i="1"/>
  <c r="W2992" i="1"/>
  <c r="W3171" i="1"/>
  <c r="V3271" i="1"/>
  <c r="W3271" i="1" s="1"/>
  <c r="W3310" i="1"/>
  <c r="V2737" i="1"/>
  <c r="W2737" i="1" s="1"/>
  <c r="W2745" i="1"/>
  <c r="V2758" i="1"/>
  <c r="W2758" i="1" s="1"/>
  <c r="W2797" i="1"/>
  <c r="V2811" i="1"/>
  <c r="W2811" i="1" s="1"/>
  <c r="W2814" i="1"/>
  <c r="V2829" i="1"/>
  <c r="W2829" i="1" s="1"/>
  <c r="V2861" i="1"/>
  <c r="W2861" i="1" s="1"/>
  <c r="W2878" i="1"/>
  <c r="Y2880" i="1"/>
  <c r="U2880" i="1"/>
  <c r="V2913" i="1"/>
  <c r="W2913" i="1" s="1"/>
  <c r="W2926" i="1"/>
  <c r="V2951" i="1"/>
  <c r="W2951" i="1" s="1"/>
  <c r="Y2961" i="1"/>
  <c r="V3008" i="1"/>
  <c r="W3008" i="1"/>
  <c r="V3030" i="1"/>
  <c r="W3030" i="1" s="1"/>
  <c r="V3047" i="1"/>
  <c r="W3047" i="1" s="1"/>
  <c r="V3067" i="1"/>
  <c r="W3067" i="1" s="1"/>
  <c r="V3074" i="1"/>
  <c r="W3074" i="1" s="1"/>
  <c r="V3092" i="1"/>
  <c r="W3092" i="1" s="1"/>
  <c r="V3113" i="1"/>
  <c r="W3113" i="1" s="1"/>
  <c r="V3124" i="1"/>
  <c r="W3124" i="1" s="1"/>
  <c r="V3196" i="1"/>
  <c r="W3196" i="1" s="1"/>
  <c r="W3198" i="1"/>
  <c r="V3224" i="1"/>
  <c r="W3224" i="1" s="1"/>
  <c r="Y3284" i="1"/>
  <c r="U3284" i="1"/>
  <c r="V3288" i="1"/>
  <c r="W3288" i="1" s="1"/>
  <c r="W3290" i="1"/>
  <c r="W3314" i="1"/>
  <c r="V3338" i="1"/>
  <c r="W3338" i="1" s="1"/>
  <c r="V3347" i="1"/>
  <c r="W3347" i="1" s="1"/>
  <c r="V3349" i="1"/>
  <c r="W3349" i="1" s="1"/>
  <c r="Y3435" i="1"/>
  <c r="Y3439" i="1"/>
  <c r="U3439" i="1"/>
  <c r="V3463" i="1"/>
  <c r="W3463" i="1" s="1"/>
  <c r="V3469" i="1"/>
  <c r="W3469" i="1" s="1"/>
  <c r="V3508" i="1"/>
  <c r="W3508" i="1"/>
  <c r="V3522" i="1"/>
  <c r="W3522" i="1" s="1"/>
  <c r="V3654" i="1"/>
  <c r="W3654" i="1" s="1"/>
  <c r="V3656" i="1"/>
  <c r="W3656" i="1" s="1"/>
  <c r="Y3197" i="1"/>
  <c r="U3197" i="1"/>
  <c r="V3230" i="1"/>
  <c r="W3230" i="1" s="1"/>
  <c r="V3241" i="1"/>
  <c r="W3241" i="1" s="1"/>
  <c r="V3368" i="1"/>
  <c r="W3368" i="1" s="1"/>
  <c r="V3374" i="1"/>
  <c r="W3374" i="1" s="1"/>
  <c r="V3552" i="1"/>
  <c r="W3552" i="1" s="1"/>
  <c r="V3708" i="1"/>
  <c r="W3708" i="1" s="1"/>
  <c r="V3741" i="1"/>
  <c r="W3741" i="1" s="1"/>
  <c r="W2717" i="1"/>
  <c r="W2997" i="1"/>
  <c r="W3038" i="1"/>
  <c r="Y3315" i="1"/>
  <c r="U3454" i="1"/>
  <c r="Y3454" i="1"/>
  <c r="U2182" i="1"/>
  <c r="Y2381" i="1"/>
  <c r="U2406" i="1"/>
  <c r="U2414" i="1"/>
  <c r="W2529" i="1"/>
  <c r="U2593" i="1"/>
  <c r="Y2609" i="1"/>
  <c r="V2726" i="1"/>
  <c r="W2726" i="1" s="1"/>
  <c r="V2176" i="1"/>
  <c r="W2176" i="1" s="1"/>
  <c r="V2224" i="1"/>
  <c r="W2224" i="1" s="1"/>
  <c r="V2386" i="1"/>
  <c r="W2386" i="1" s="1"/>
  <c r="V2402" i="1"/>
  <c r="W2402" i="1" s="1"/>
  <c r="V2410" i="1"/>
  <c r="W2410" i="1" s="1"/>
  <c r="W2495" i="1"/>
  <c r="V2496" i="1"/>
  <c r="W2496" i="1" s="1"/>
  <c r="W2519" i="1"/>
  <c r="V2538" i="1"/>
  <c r="V2554" i="1"/>
  <c r="W2554" i="1" s="1"/>
  <c r="W2605" i="1"/>
  <c r="Y2637" i="1"/>
  <c r="V2647" i="1"/>
  <c r="W2647" i="1" s="1"/>
  <c r="V2675" i="1"/>
  <c r="W2675" i="1" s="1"/>
  <c r="Y2677" i="1"/>
  <c r="V2685" i="1"/>
  <c r="W2685" i="1" s="1"/>
  <c r="V2704" i="1"/>
  <c r="W2704" i="1" s="1"/>
  <c r="W2706" i="1"/>
  <c r="U2185" i="1"/>
  <c r="U2233" i="1"/>
  <c r="U2249" i="1"/>
  <c r="U2266" i="1"/>
  <c r="U2286" i="1"/>
  <c r="Y2291" i="1"/>
  <c r="U2335" i="1"/>
  <c r="U2343" i="1"/>
  <c r="U2351" i="1"/>
  <c r="U2425" i="1"/>
  <c r="U2514" i="1"/>
  <c r="V2569" i="1"/>
  <c r="W2569" i="1" s="1"/>
  <c r="U2582" i="1"/>
  <c r="V2617" i="1"/>
  <c r="W2617" i="1" s="1"/>
  <c r="U2619" i="1"/>
  <c r="U2624" i="1"/>
  <c r="U2632" i="1"/>
  <c r="Y2633" i="1"/>
  <c r="U2652" i="1"/>
  <c r="U2709" i="1"/>
  <c r="V2713" i="1"/>
  <c r="W2713" i="1" s="1"/>
  <c r="V2722" i="1"/>
  <c r="W2722" i="1" s="1"/>
  <c r="U2736" i="1"/>
  <c r="Y2756" i="1"/>
  <c r="W2774" i="1"/>
  <c r="V2783" i="1"/>
  <c r="W2783" i="1" s="1"/>
  <c r="V2802" i="1"/>
  <c r="W2802" i="1" s="1"/>
  <c r="U2813" i="1"/>
  <c r="V2819" i="1"/>
  <c r="W2822" i="1"/>
  <c r="U2831" i="1"/>
  <c r="V2837" i="1"/>
  <c r="W2837" i="1" s="1"/>
  <c r="Y2861" i="1"/>
  <c r="U2863" i="1"/>
  <c r="Y2863" i="1"/>
  <c r="V2868" i="1"/>
  <c r="W2868" i="1" s="1"/>
  <c r="U2891" i="1"/>
  <c r="U2894" i="1"/>
  <c r="U2967" i="1"/>
  <c r="V2983" i="1"/>
  <c r="W2983" i="1" s="1"/>
  <c r="U2985" i="1"/>
  <c r="U2996" i="1"/>
  <c r="V2998" i="1"/>
  <c r="W2998" i="1" s="1"/>
  <c r="U3021" i="1"/>
  <c r="V3037" i="1"/>
  <c r="W3037" i="1" s="1"/>
  <c r="W3086" i="1"/>
  <c r="V3090" i="1"/>
  <c r="W3090" i="1" s="1"/>
  <c r="V3122" i="1"/>
  <c r="W3122" i="1" s="1"/>
  <c r="V3126" i="1"/>
  <c r="W3126" i="1" s="1"/>
  <c r="U3139" i="1"/>
  <c r="V3150" i="1"/>
  <c r="W3150" i="1" s="1"/>
  <c r="V3164" i="1"/>
  <c r="W3164" i="1"/>
  <c r="V3166" i="1"/>
  <c r="W3166" i="1" s="1"/>
  <c r="V3168" i="1"/>
  <c r="W3168" i="1" s="1"/>
  <c r="U3179" i="1"/>
  <c r="V3200" i="1"/>
  <c r="W3200" i="1" s="1"/>
  <c r="V3249" i="1"/>
  <c r="W3249" i="1" s="1"/>
  <c r="V3340" i="1"/>
  <c r="W3340" i="1"/>
  <c r="V3373" i="1"/>
  <c r="W3373" i="1" s="1"/>
  <c r="V3387" i="1"/>
  <c r="W3387" i="1" s="1"/>
  <c r="Y3407" i="1"/>
  <c r="U3407" i="1"/>
  <c r="V3427" i="1"/>
  <c r="W3427" i="1"/>
  <c r="V3429" i="1"/>
  <c r="W3429" i="1" s="1"/>
  <c r="V3434" i="1"/>
  <c r="W3434" i="1"/>
  <c r="V3442" i="1"/>
  <c r="W3442" i="1" s="1"/>
  <c r="V3479" i="1"/>
  <c r="W3479" i="1" s="1"/>
  <c r="V3579" i="1"/>
  <c r="W3579" i="1"/>
  <c r="V3630" i="1"/>
  <c r="W3630" i="1" s="1"/>
  <c r="U2595" i="1"/>
  <c r="U2613" i="1"/>
  <c r="U2648" i="1"/>
  <c r="U2656" i="1"/>
  <c r="U2664" i="1"/>
  <c r="U2672" i="1"/>
  <c r="Y2681" i="1"/>
  <c r="Y2691" i="1"/>
  <c r="Y2806" i="1"/>
  <c r="U2857" i="1"/>
  <c r="U2865" i="1"/>
  <c r="V2990" i="1"/>
  <c r="W2990" i="1" s="1"/>
  <c r="V3108" i="1"/>
  <c r="W3108" i="1" s="1"/>
  <c r="V3138" i="1"/>
  <c r="W3138" i="1" s="1"/>
  <c r="V3140" i="1"/>
  <c r="W3140" i="1" s="1"/>
  <c r="V3231" i="1"/>
  <c r="W3231" i="1" s="1"/>
  <c r="V3306" i="1"/>
  <c r="W3306" i="1" s="1"/>
  <c r="V3332" i="1"/>
  <c r="W3332" i="1" s="1"/>
  <c r="V3404" i="1"/>
  <c r="W3404" i="1" s="1"/>
  <c r="V3418" i="1"/>
  <c r="W3418" i="1" s="1"/>
  <c r="W3476" i="1"/>
  <c r="V3541" i="1"/>
  <c r="W3541" i="1" s="1"/>
  <c r="V3692" i="1"/>
  <c r="W3692" i="1" s="1"/>
  <c r="W2771" i="1"/>
  <c r="W2801" i="1"/>
  <c r="U2896" i="1"/>
  <c r="Y2923" i="1"/>
  <c r="V2925" i="1"/>
  <c r="W2925" i="1" s="1"/>
  <c r="V2993" i="1"/>
  <c r="W2993" i="1" s="1"/>
  <c r="V2995" i="1"/>
  <c r="W2995" i="1" s="1"/>
  <c r="V3005" i="1"/>
  <c r="W3005" i="1" s="1"/>
  <c r="W3026" i="1"/>
  <c r="V3040" i="1"/>
  <c r="W3040" i="1" s="1"/>
  <c r="W3054" i="1"/>
  <c r="W3084" i="1"/>
  <c r="U3158" i="1"/>
  <c r="V3173" i="1"/>
  <c r="W3173" i="1" s="1"/>
  <c r="V3181" i="1"/>
  <c r="W3181" i="1" s="1"/>
  <c r="V3186" i="1"/>
  <c r="W3186" i="1" s="1"/>
  <c r="U3199" i="1"/>
  <c r="V3205" i="1"/>
  <c r="W3205" i="1" s="1"/>
  <c r="V3257" i="1"/>
  <c r="W3257" i="1" s="1"/>
  <c r="V3301" i="1"/>
  <c r="W3301" i="1" s="1"/>
  <c r="V3344" i="1"/>
  <c r="W3344" i="1" s="1"/>
  <c r="V3353" i="1"/>
  <c r="W3353" i="1" s="1"/>
  <c r="V3357" i="1"/>
  <c r="W3357" i="1" s="1"/>
  <c r="V3413" i="1"/>
  <c r="W3413" i="1" s="1"/>
  <c r="V3416" i="1"/>
  <c r="W3416" i="1"/>
  <c r="V3431" i="1"/>
  <c r="W3431" i="1" s="1"/>
  <c r="W3444" i="1"/>
  <c r="V3510" i="1"/>
  <c r="W3510" i="1" s="1"/>
  <c r="V3514" i="1"/>
  <c r="W3514" i="1" s="1"/>
  <c r="V3523" i="1"/>
  <c r="W3523" i="1" s="1"/>
  <c r="V3617" i="1"/>
  <c r="W3617" i="1" s="1"/>
  <c r="V3623" i="1"/>
  <c r="W3623" i="1"/>
  <c r="V3690" i="1"/>
  <c r="W3690" i="1" s="1"/>
  <c r="U2638" i="1"/>
  <c r="U2686" i="1"/>
  <c r="U2724" i="1"/>
  <c r="U2732" i="1"/>
  <c r="U2740" i="1"/>
  <c r="U2748" i="1"/>
  <c r="Y2765" i="1"/>
  <c r="U2796" i="1"/>
  <c r="U2840" i="1"/>
  <c r="U2848" i="1"/>
  <c r="U2856" i="1"/>
  <c r="U2912" i="1"/>
  <c r="U2923" i="1"/>
  <c r="V2938" i="1"/>
  <c r="W2938" i="1" s="1"/>
  <c r="Y2940" i="1"/>
  <c r="U2958" i="1"/>
  <c r="V2965" i="1"/>
  <c r="U2979" i="1"/>
  <c r="U2981" i="1"/>
  <c r="U3013" i="1"/>
  <c r="U3015" i="1"/>
  <c r="Y3077" i="1"/>
  <c r="W3098" i="1"/>
  <c r="U3102" i="1"/>
  <c r="U3110" i="1"/>
  <c r="Y3118" i="1"/>
  <c r="V3135" i="1"/>
  <c r="W3135" i="1" s="1"/>
  <c r="W3145" i="1"/>
  <c r="U3155" i="1"/>
  <c r="V3170" i="1"/>
  <c r="W3170" i="1" s="1"/>
  <c r="W3184" i="1"/>
  <c r="V3225" i="1"/>
  <c r="W3225" i="1" s="1"/>
  <c r="V3236" i="1"/>
  <c r="W3236" i="1" s="1"/>
  <c r="W3238" i="1"/>
  <c r="U3240" i="1"/>
  <c r="U3250" i="1"/>
  <c r="W3264" i="1"/>
  <c r="U3266" i="1"/>
  <c r="Y3289" i="1"/>
  <c r="U3289" i="1"/>
  <c r="V3320" i="1"/>
  <c r="W3320" i="1" s="1"/>
  <c r="Y3324" i="1"/>
  <c r="V3334" i="1"/>
  <c r="W3334" i="1" s="1"/>
  <c r="W3355" i="1"/>
  <c r="Y3359" i="1"/>
  <c r="U3359" i="1"/>
  <c r="V3378" i="1"/>
  <c r="W3378" i="1" s="1"/>
  <c r="V3392" i="1"/>
  <c r="W3392" i="1"/>
  <c r="V3476" i="1"/>
  <c r="V3560" i="1"/>
  <c r="W3560" i="1" s="1"/>
  <c r="Y3562" i="1"/>
  <c r="U3562" i="1"/>
  <c r="U3611" i="1"/>
  <c r="V3613" i="1"/>
  <c r="W3613" i="1" s="1"/>
  <c r="V3621" i="1"/>
  <c r="W3621" i="1" s="1"/>
  <c r="U3694" i="1"/>
  <c r="U2877" i="1"/>
  <c r="U2893" i="1"/>
  <c r="U2909" i="1"/>
  <c r="U2955" i="1"/>
  <c r="U2972" i="1"/>
  <c r="U3080" i="1"/>
  <c r="U3109" i="1"/>
  <c r="U3147" i="1"/>
  <c r="U3206" i="1"/>
  <c r="U3308" i="1"/>
  <c r="V3316" i="1"/>
  <c r="W3316" i="1" s="1"/>
  <c r="U3417" i="1"/>
  <c r="V3455" i="1"/>
  <c r="W3455" i="1" s="1"/>
  <c r="V3489" i="1"/>
  <c r="W3489" i="1" s="1"/>
  <c r="Y3494" i="1"/>
  <c r="U3494" i="1"/>
  <c r="V3504" i="1"/>
  <c r="W3504" i="1" s="1"/>
  <c r="Y3554" i="1"/>
  <c r="U3554" i="1"/>
  <c r="V3734" i="1"/>
  <c r="W3734" i="1" s="1"/>
  <c r="V3099" i="1"/>
  <c r="W3099" i="1" s="1"/>
  <c r="V3175" i="1"/>
  <c r="W3175" i="1" s="1"/>
  <c r="W3296" i="1"/>
  <c r="W3367" i="1"/>
  <c r="V3375" i="1"/>
  <c r="W3375" i="1" s="1"/>
  <c r="V3393" i="1"/>
  <c r="W3393" i="1" s="1"/>
  <c r="U3395" i="1"/>
  <c r="Y3423" i="1"/>
  <c r="U3423" i="1"/>
  <c r="W3461" i="1"/>
  <c r="V3467" i="1"/>
  <c r="W3467" i="1" s="1"/>
  <c r="V3491" i="1"/>
  <c r="W3491" i="1" s="1"/>
  <c r="U3517" i="1"/>
  <c r="V3536" i="1"/>
  <c r="W3536" i="1" s="1"/>
  <c r="V3538" i="1"/>
  <c r="W3538" i="1" s="1"/>
  <c r="V3580" i="1"/>
  <c r="W3580" i="1" s="1"/>
  <c r="V3624" i="1"/>
  <c r="W3624" i="1" s="1"/>
  <c r="V3639" i="1"/>
  <c r="W3639" i="1" s="1"/>
  <c r="U3648" i="1"/>
  <c r="V3719" i="1"/>
  <c r="W3719" i="1" s="1"/>
  <c r="V3727" i="1"/>
  <c r="W3727" i="1" s="1"/>
  <c r="U2936" i="1"/>
  <c r="W3089" i="1"/>
  <c r="W3106" i="1"/>
  <c r="U3111" i="1"/>
  <c r="U3165" i="1"/>
  <c r="U3185" i="1"/>
  <c r="U3195" i="1"/>
  <c r="U3214" i="1"/>
  <c r="V3233" i="1"/>
  <c r="W3233" i="1" s="1"/>
  <c r="U3239" i="1"/>
  <c r="U3242" i="1"/>
  <c r="V3254" i="1"/>
  <c r="W3254" i="1" s="1"/>
  <c r="V3262" i="1"/>
  <c r="W3262" i="1"/>
  <c r="V3270" i="1"/>
  <c r="W3270" i="1" s="1"/>
  <c r="W3280" i="1"/>
  <c r="Y3291" i="1"/>
  <c r="U3313" i="1"/>
  <c r="V3325" i="1"/>
  <c r="W3325" i="1" s="1"/>
  <c r="W3331" i="1"/>
  <c r="Y3341" i="1"/>
  <c r="V3351" i="1"/>
  <c r="W3351" i="1" s="1"/>
  <c r="U3358" i="1"/>
  <c r="V3388" i="1"/>
  <c r="W3388" i="1" s="1"/>
  <c r="W3400" i="1"/>
  <c r="V3440" i="1"/>
  <c r="W3440" i="1" s="1"/>
  <c r="V3457" i="1"/>
  <c r="W3457" i="1" s="1"/>
  <c r="W3477" i="1"/>
  <c r="V3484" i="1"/>
  <c r="W3484" i="1" s="1"/>
  <c r="V3487" i="1"/>
  <c r="W3487" i="1" s="1"/>
  <c r="V3515" i="1"/>
  <c r="W3515" i="1" s="1"/>
  <c r="U3531" i="1"/>
  <c r="V3533" i="1"/>
  <c r="W3533" i="1" s="1"/>
  <c r="V3544" i="1"/>
  <c r="W3544" i="1" s="1"/>
  <c r="W3567" i="1"/>
  <c r="V3591" i="1"/>
  <c r="W3591" i="1" s="1"/>
  <c r="V3620" i="1"/>
  <c r="W3620" i="1" s="1"/>
  <c r="V3622" i="1"/>
  <c r="W3622" i="1" s="1"/>
  <c r="U3698" i="1"/>
  <c r="V3706" i="1"/>
  <c r="W3706" i="1" s="1"/>
  <c r="V3471" i="1"/>
  <c r="W3471" i="1" s="1"/>
  <c r="V3532" i="1"/>
  <c r="W3532" i="1" s="1"/>
  <c r="V3601" i="1"/>
  <c r="W3601" i="1" s="1"/>
  <c r="V3625" i="1"/>
  <c r="W3625" i="1" s="1"/>
  <c r="V3658" i="1"/>
  <c r="V3681" i="1"/>
  <c r="W3681" i="1" s="1"/>
  <c r="V3725" i="1"/>
  <c r="W3725" i="1" s="1"/>
  <c r="V3281" i="1"/>
  <c r="W3281" i="1" s="1"/>
  <c r="V3336" i="1"/>
  <c r="W3336" i="1" s="1"/>
  <c r="W3360" i="1"/>
  <c r="V3366" i="1"/>
  <c r="W3366" i="1" s="1"/>
  <c r="V3436" i="1"/>
  <c r="W3436" i="1" s="1"/>
  <c r="V3441" i="1"/>
  <c r="W3441" i="1" s="1"/>
  <c r="V3445" i="1"/>
  <c r="W3445" i="1" s="1"/>
  <c r="Y3471" i="1"/>
  <c r="V3478" i="1"/>
  <c r="W3478" i="1" s="1"/>
  <c r="V3482" i="1"/>
  <c r="W3482" i="1" s="1"/>
  <c r="U3500" i="1"/>
  <c r="V3546" i="1"/>
  <c r="W3546" i="1" s="1"/>
  <c r="W3558" i="1"/>
  <c r="U3561" i="1"/>
  <c r="W3607" i="1"/>
  <c r="U3616" i="1"/>
  <c r="V3647" i="1"/>
  <c r="W3647" i="1" s="1"/>
  <c r="U3669" i="1"/>
  <c r="V3672" i="1"/>
  <c r="W3672" i="1" s="1"/>
  <c r="V3716" i="1"/>
  <c r="W3716" i="1" s="1"/>
  <c r="U3720" i="1"/>
  <c r="U3286" i="1"/>
  <c r="U3294" i="1"/>
  <c r="V3307" i="1"/>
  <c r="W3307" i="1" s="1"/>
  <c r="U3318" i="1"/>
  <c r="W3329" i="1"/>
  <c r="U3346" i="1"/>
  <c r="U3411" i="1"/>
  <c r="Y3436" i="1"/>
  <c r="U3447" i="1"/>
  <c r="W3493" i="1"/>
  <c r="V3506" i="1"/>
  <c r="W3506" i="1" s="1"/>
  <c r="W3509" i="1"/>
  <c r="W3511" i="1"/>
  <c r="U3516" i="1"/>
  <c r="V3576" i="1"/>
  <c r="W3576" i="1" s="1"/>
  <c r="W3596" i="1"/>
  <c r="U3600" i="1"/>
  <c r="Y3614" i="1"/>
  <c r="U3614" i="1"/>
  <c r="W3664" i="1"/>
  <c r="Y3669" i="1"/>
  <c r="V3684" i="1"/>
  <c r="W3684" i="1" s="1"/>
  <c r="V3543" i="1"/>
  <c r="W3543" i="1" s="1"/>
  <c r="V3581" i="1"/>
  <c r="W3581" i="1" s="1"/>
  <c r="V3587" i="1"/>
  <c r="W3587" i="1" s="1"/>
  <c r="V3604" i="1"/>
  <c r="W3604" i="1" s="1"/>
  <c r="V3612" i="1"/>
  <c r="W3612" i="1" s="1"/>
  <c r="V3635" i="1"/>
  <c r="W3635" i="1" s="1"/>
  <c r="V3663" i="1"/>
  <c r="W3663" i="1" s="1"/>
  <c r="V3689" i="1"/>
  <c r="W3689" i="1" s="1"/>
  <c r="Y3385" i="1"/>
  <c r="V3524" i="1"/>
  <c r="W3524" i="1"/>
  <c r="V3534" i="1"/>
  <c r="W3534" i="1" s="1"/>
  <c r="V3602" i="1"/>
  <c r="W3602" i="1" s="1"/>
  <c r="U3637" i="1"/>
  <c r="V3643" i="1"/>
  <c r="W3643" i="1" s="1"/>
  <c r="U3682" i="1"/>
  <c r="U3711" i="1"/>
  <c r="V3731" i="1"/>
  <c r="W3731" i="1"/>
  <c r="V3733" i="1"/>
  <c r="W3733" i="1" s="1"/>
  <c r="U3348" i="1"/>
  <c r="U3379" i="1"/>
  <c r="U3391" i="1"/>
  <c r="U3409" i="1"/>
  <c r="U3425" i="1"/>
  <c r="Y3431" i="1"/>
  <c r="U3498" i="1"/>
  <c r="U3537" i="1"/>
  <c r="U3545" i="1"/>
  <c r="U3570" i="1"/>
  <c r="W3573" i="1"/>
  <c r="U3575" i="1"/>
  <c r="U3589" i="1"/>
  <c r="U3599" i="1"/>
  <c r="U3615" i="1"/>
  <c r="Y3645" i="1"/>
  <c r="U3645" i="1"/>
  <c r="U3652" i="1"/>
  <c r="V3660" i="1"/>
  <c r="W3660" i="1" s="1"/>
  <c r="V3714" i="1"/>
  <c r="W3714" i="1" s="1"/>
  <c r="V3717" i="1"/>
  <c r="W3717" i="1" s="1"/>
  <c r="W3728" i="1"/>
  <c r="W3540" i="1"/>
  <c r="W3584" i="1"/>
  <c r="W3588" i="1"/>
  <c r="U3590" i="1"/>
  <c r="U3644" i="1"/>
  <c r="V3653" i="1"/>
  <c r="W3653" i="1" s="1"/>
  <c r="U3655" i="1"/>
  <c r="U3661" i="1"/>
  <c r="Y3675" i="1"/>
  <c r="W3685" i="1"/>
  <c r="V3701" i="1"/>
  <c r="W3701" i="1" s="1"/>
  <c r="V3707" i="1"/>
  <c r="W3707" i="1" s="1"/>
  <c r="U3709" i="1"/>
  <c r="V3715" i="1"/>
  <c r="W3715" i="1" s="1"/>
  <c r="V3718" i="1"/>
  <c r="W3718" i="1" s="1"/>
  <c r="V3724" i="1"/>
  <c r="W3724" i="1" s="1"/>
  <c r="V3595" i="1"/>
  <c r="W3595" i="1" s="1"/>
  <c r="V3627" i="1"/>
  <c r="W3627" i="1"/>
  <c r="W3629" i="1"/>
  <c r="U3636" i="1"/>
  <c r="V3651" i="1"/>
  <c r="W3651" i="1" s="1"/>
  <c r="W3737" i="1"/>
  <c r="V3740" i="1"/>
  <c r="W3740" i="1" s="1"/>
  <c r="V3742" i="1"/>
  <c r="W3742" i="1" s="1"/>
  <c r="U3512" i="1"/>
  <c r="U3569" i="1"/>
  <c r="U3606" i="1"/>
  <c r="V3662" i="1"/>
  <c r="W3662" i="1" s="1"/>
  <c r="U3675" i="1"/>
  <c r="W3693" i="1"/>
  <c r="Y3603" i="1"/>
  <c r="U3670" i="1"/>
  <c r="W3680" i="1"/>
  <c r="W3688" i="1"/>
  <c r="W3697" i="1"/>
  <c r="U3732" i="1"/>
  <c r="W3453" i="1" l="1"/>
  <c r="W2534" i="1"/>
  <c r="W2174" i="1"/>
  <c r="W2237" i="1"/>
  <c r="W3146" i="1"/>
  <c r="V3137" i="1"/>
  <c r="W3137" i="1"/>
  <c r="W2659" i="1"/>
  <c r="W3188" i="1"/>
  <c r="W2899" i="1"/>
  <c r="W3072" i="1"/>
  <c r="W2749" i="1"/>
  <c r="W2413" i="1"/>
  <c r="W2334" i="1"/>
  <c r="V2291" i="1"/>
  <c r="W2291" i="1" s="1"/>
  <c r="W2649" i="1"/>
  <c r="W3303" i="1"/>
  <c r="W2225" i="1"/>
  <c r="W3390" i="1"/>
  <c r="W2999" i="1"/>
  <c r="W2886" i="1"/>
  <c r="W2820" i="1"/>
  <c r="W2673" i="1"/>
  <c r="W2562" i="1"/>
  <c r="W2718" i="1"/>
  <c r="V2703" i="1"/>
  <c r="W2703" i="1" s="1"/>
  <c r="V3453" i="1"/>
  <c r="V3303" i="1"/>
  <c r="W2639" i="1"/>
  <c r="W2309" i="1"/>
  <c r="V2962" i="1"/>
  <c r="W2962" i="1" s="1"/>
  <c r="W3658" i="1"/>
  <c r="W2819" i="1"/>
  <c r="W2864" i="1"/>
  <c r="V2331" i="1"/>
  <c r="W2331" i="1"/>
  <c r="W3699" i="1"/>
  <c r="W3248" i="1"/>
  <c r="W2945" i="1"/>
  <c r="W3029" i="1"/>
  <c r="W3485" i="1"/>
  <c r="W2994" i="1"/>
  <c r="W2799" i="1"/>
  <c r="W3154" i="1"/>
  <c r="W3114" i="1"/>
  <c r="W3227" i="1"/>
  <c r="W2544" i="1"/>
  <c r="V2735" i="1"/>
  <c r="W2735" i="1" s="1"/>
  <c r="W2217" i="1"/>
  <c r="W2555" i="1"/>
  <c r="V2534" i="1"/>
  <c r="W2448" i="1"/>
  <c r="V2174" i="1"/>
  <c r="V2237" i="1"/>
  <c r="W2974" i="1"/>
  <c r="W3027" i="1"/>
  <c r="W2898" i="1"/>
  <c r="W2860" i="1"/>
  <c r="W3438" i="1"/>
  <c r="W2944" i="1"/>
  <c r="W2922" i="1"/>
  <c r="W3364" i="1"/>
  <c r="W3039" i="1"/>
  <c r="W2290" i="1"/>
  <c r="W3497" i="1"/>
  <c r="W2494" i="1"/>
  <c r="W3398" i="1"/>
  <c r="W2917" i="1"/>
  <c r="W2921" i="1"/>
  <c r="W3129" i="1"/>
  <c r="V2927" i="1"/>
  <c r="W2927" i="1" s="1"/>
  <c r="W2312" i="1"/>
  <c r="W3502" i="1"/>
  <c r="W2614" i="1"/>
  <c r="W3451" i="1"/>
  <c r="W2919" i="1"/>
  <c r="W2584" i="1"/>
  <c r="W2456" i="1"/>
  <c r="W3549" i="1"/>
  <c r="V3369" i="1"/>
  <c r="W3369" i="1" s="1"/>
  <c r="V2418" i="1"/>
  <c r="W2418" i="1" s="1"/>
  <c r="W2575" i="1"/>
  <c r="W2380" i="1"/>
  <c r="W2798" i="1"/>
  <c r="W3632" i="1"/>
  <c r="W3640" i="1"/>
  <c r="W3208" i="1"/>
  <c r="W3496" i="1"/>
  <c r="W2976" i="1"/>
  <c r="W2633" i="1"/>
  <c r="V3502" i="1"/>
  <c r="W3097" i="1"/>
  <c r="V3465" i="1"/>
  <c r="W3465" i="1"/>
  <c r="V3341" i="1"/>
  <c r="W3341" i="1" s="1"/>
  <c r="V3237" i="1"/>
  <c r="W3237" i="1" s="1"/>
  <c r="V2902" i="1"/>
  <c r="W2902" i="1"/>
  <c r="V3287" i="1"/>
  <c r="W3287" i="1"/>
  <c r="V3035" i="1"/>
  <c r="W3035" i="1" s="1"/>
  <c r="W3730" i="1"/>
  <c r="W3136" i="1"/>
  <c r="W2360" i="1"/>
  <c r="W2579" i="1"/>
  <c r="W2401" i="1"/>
  <c r="V3683" i="1"/>
  <c r="W3683" i="1"/>
  <c r="V2557" i="1"/>
  <c r="W2557" i="1" s="1"/>
  <c r="V3650" i="1"/>
  <c r="W3650" i="1" s="1"/>
  <c r="V3481" i="1"/>
  <c r="W3481" i="1" s="1"/>
  <c r="V2275" i="1"/>
  <c r="W2275" i="1"/>
  <c r="V2368" i="1"/>
  <c r="W2368" i="1"/>
  <c r="W3433" i="1"/>
  <c r="W3556" i="1"/>
  <c r="W3216" i="1"/>
  <c r="V3605" i="1"/>
  <c r="W3605" i="1" s="1"/>
  <c r="W3619" i="1"/>
  <c r="W2832" i="1"/>
  <c r="W2350" i="1"/>
  <c r="W2462" i="1"/>
  <c r="W2198" i="1"/>
  <c r="W2241" i="1"/>
  <c r="W2884" i="1"/>
  <c r="V3415" i="1"/>
  <c r="W3415" i="1"/>
  <c r="V2982" i="1"/>
  <c r="W2982" i="1" s="1"/>
  <c r="V2348" i="1"/>
  <c r="W2348" i="1"/>
  <c r="V3705" i="1"/>
  <c r="W3705" i="1" s="1"/>
  <c r="V2308" i="1"/>
  <c r="W2308" i="1" s="1"/>
  <c r="V3144" i="1"/>
  <c r="W3144" i="1" s="1"/>
  <c r="W3691" i="1"/>
  <c r="W3426" i="1"/>
  <c r="V2394" i="1"/>
  <c r="W2394" i="1" s="1"/>
  <c r="W3006" i="1"/>
  <c r="W2591" i="1"/>
  <c r="V2303" i="1"/>
  <c r="W2303" i="1" s="1"/>
  <c r="W2563" i="1"/>
  <c r="W2828" i="1"/>
  <c r="V3559" i="1"/>
  <c r="W3559" i="1"/>
  <c r="V3282" i="1"/>
  <c r="W3282" i="1"/>
  <c r="V3121" i="1"/>
  <c r="W3121" i="1" s="1"/>
  <c r="V3277" i="1"/>
  <c r="W3277" i="1" s="1"/>
  <c r="V3642" i="1"/>
  <c r="W3642" i="1" s="1"/>
  <c r="V2892" i="1"/>
  <c r="W2892" i="1" s="1"/>
  <c r="V2438" i="1"/>
  <c r="W2438" i="1"/>
  <c r="V3045" i="1"/>
  <c r="W3045" i="1" s="1"/>
  <c r="V2845" i="1"/>
  <c r="W2845" i="1"/>
  <c r="V3446" i="1"/>
  <c r="W3446" i="1"/>
  <c r="V3548" i="1"/>
  <c r="W3548" i="1"/>
  <c r="V3553" i="1"/>
  <c r="W3553" i="1" s="1"/>
  <c r="W2525" i="1"/>
  <c r="W3459" i="1"/>
  <c r="W3222" i="1"/>
  <c r="W3547" i="1"/>
  <c r="V3117" i="1"/>
  <c r="W3117" i="1" s="1"/>
  <c r="W3004" i="1"/>
  <c r="W2956" i="1"/>
  <c r="W2792" i="1"/>
  <c r="V3634" i="1"/>
  <c r="W3634" i="1" s="1"/>
  <c r="V2847" i="1"/>
  <c r="W2847" i="1"/>
  <c r="V3583" i="1"/>
  <c r="W3583" i="1"/>
  <c r="V3104" i="1"/>
  <c r="W3104" i="1" s="1"/>
  <c r="W3557" i="1"/>
  <c r="W3246" i="1"/>
  <c r="W3322" i="1"/>
  <c r="V2963" i="1"/>
  <c r="W2963" i="1" s="1"/>
  <c r="V3460" i="1"/>
  <c r="W3460" i="1" s="1"/>
  <c r="V3097" i="1"/>
  <c r="V2621" i="1"/>
  <c r="W2621" i="1" s="1"/>
  <c r="V3657" i="1"/>
  <c r="W3657" i="1"/>
  <c r="V3365" i="1"/>
  <c r="W3365" i="1"/>
  <c r="W3372" i="1"/>
  <c r="W3335" i="1"/>
  <c r="W3505" i="1"/>
  <c r="W2500" i="1"/>
  <c r="V3473" i="1"/>
  <c r="W3473" i="1"/>
  <c r="V3470" i="1"/>
  <c r="W3470" i="1"/>
  <c r="V3016" i="1"/>
  <c r="W3016" i="1" s="1"/>
  <c r="V3346" i="1"/>
  <c r="W3346" i="1"/>
  <c r="V3648" i="1"/>
  <c r="W3648" i="1" s="1"/>
  <c r="V2632" i="1"/>
  <c r="W2632" i="1"/>
  <c r="V2970" i="1"/>
  <c r="W2970" i="1" s="1"/>
  <c r="V2637" i="1"/>
  <c r="W2637" i="1" s="1"/>
  <c r="V3495" i="1"/>
  <c r="W3495" i="1" s="1"/>
  <c r="V2375" i="1"/>
  <c r="W2375" i="1" s="1"/>
  <c r="V2964" i="1"/>
  <c r="W2964" i="1"/>
  <c r="V2189" i="1"/>
  <c r="W2189" i="1" s="1"/>
  <c r="V2338" i="1"/>
  <c r="W2338" i="1" s="1"/>
  <c r="V3732" i="1"/>
  <c r="W3732" i="1" s="1"/>
  <c r="V3447" i="1"/>
  <c r="W3447" i="1"/>
  <c r="V3417" i="1"/>
  <c r="W3417" i="1" s="1"/>
  <c r="V2343" i="1"/>
  <c r="W2343" i="1" s="1"/>
  <c r="V2918" i="1"/>
  <c r="W2918" i="1"/>
  <c r="V3060" i="1"/>
  <c r="W3060" i="1" s="1"/>
  <c r="V2297" i="1"/>
  <c r="W2297" i="1" s="1"/>
  <c r="V3071" i="1"/>
  <c r="W3071" i="1" s="1"/>
  <c r="V2221" i="1"/>
  <c r="W2221" i="1" s="1"/>
  <c r="V3709" i="1"/>
  <c r="W3709" i="1" s="1"/>
  <c r="V2840" i="1"/>
  <c r="W2840" i="1" s="1"/>
  <c r="V2619" i="1"/>
  <c r="W2619" i="1" s="1"/>
  <c r="V2414" i="1"/>
  <c r="W2414" i="1" s="1"/>
  <c r="V2485" i="1"/>
  <c r="W2485" i="1" s="1"/>
  <c r="V2441" i="1"/>
  <c r="W2441" i="1" s="1"/>
  <c r="V2907" i="1"/>
  <c r="W2907" i="1" s="1"/>
  <c r="V3525" i="1"/>
  <c r="W3525" i="1" s="1"/>
  <c r="V3575" i="1"/>
  <c r="W3575" i="1" s="1"/>
  <c r="V3214" i="1"/>
  <c r="W3214" i="1"/>
  <c r="V2796" i="1"/>
  <c r="W2796" i="1" s="1"/>
  <c r="V3158" i="1"/>
  <c r="W3158" i="1" s="1"/>
  <c r="V2398" i="1"/>
  <c r="W2398" i="1" s="1"/>
  <c r="V2795" i="1"/>
  <c r="W2795" i="1" s="1"/>
  <c r="V3103" i="1"/>
  <c r="W3103" i="1" s="1"/>
  <c r="V2264" i="1"/>
  <c r="W2264" i="1"/>
  <c r="V2259" i="1"/>
  <c r="W2259" i="1" s="1"/>
  <c r="V2683" i="1"/>
  <c r="W2683" i="1"/>
  <c r="V3606" i="1"/>
  <c r="W3606" i="1" s="1"/>
  <c r="V3516" i="1"/>
  <c r="W3516" i="1"/>
  <c r="V2893" i="1"/>
  <c r="W2893" i="1"/>
  <c r="V3155" i="1"/>
  <c r="W3155" i="1" s="1"/>
  <c r="V2724" i="1"/>
  <c r="W2724" i="1"/>
  <c r="V2595" i="1"/>
  <c r="W2595" i="1"/>
  <c r="V2435" i="1"/>
  <c r="W2435" i="1" s="1"/>
  <c r="V3258" i="1"/>
  <c r="W3258" i="1" s="1"/>
  <c r="V2895" i="1"/>
  <c r="W2895" i="1" s="1"/>
  <c r="V3190" i="1"/>
  <c r="W3190" i="1"/>
  <c r="V2411" i="1"/>
  <c r="W2411" i="1" s="1"/>
  <c r="V3569" i="1"/>
  <c r="W3569" i="1" s="1"/>
  <c r="V3661" i="1"/>
  <c r="W3661" i="1"/>
  <c r="V3500" i="1"/>
  <c r="W3500" i="1" s="1"/>
  <c r="V2877" i="1"/>
  <c r="W2877" i="1" s="1"/>
  <c r="V2848" i="1"/>
  <c r="W2848" i="1" s="1"/>
  <c r="V2624" i="1"/>
  <c r="W2624" i="1" s="1"/>
  <c r="V2880" i="1"/>
  <c r="W2880" i="1" s="1"/>
  <c r="V2377" i="1"/>
  <c r="W2377" i="1" s="1"/>
  <c r="V2604" i="1"/>
  <c r="W2604" i="1"/>
  <c r="V2465" i="1"/>
  <c r="W2465" i="1" s="1"/>
  <c r="V3512" i="1"/>
  <c r="W3512" i="1"/>
  <c r="V3266" i="1"/>
  <c r="W3266" i="1" s="1"/>
  <c r="V3021" i="1"/>
  <c r="W3021" i="1" s="1"/>
  <c r="V2728" i="1"/>
  <c r="W2728" i="1" s="1"/>
  <c r="V2548" i="1"/>
  <c r="W2548" i="1"/>
  <c r="V3669" i="1"/>
  <c r="W3669" i="1" s="1"/>
  <c r="V3562" i="1"/>
  <c r="W3562" i="1" s="1"/>
  <c r="V3407" i="1"/>
  <c r="W3407" i="1" s="1"/>
  <c r="V2682" i="1"/>
  <c r="W2682" i="1" s="1"/>
  <c r="V2361" i="1"/>
  <c r="W2361" i="1" s="1"/>
  <c r="V3468" i="1"/>
  <c r="W3468" i="1" s="1"/>
  <c r="V3159" i="1"/>
  <c r="W3159" i="1" s="1"/>
  <c r="V2601" i="1"/>
  <c r="W2601" i="1" s="1"/>
  <c r="V3391" i="1"/>
  <c r="W3391" i="1" s="1"/>
  <c r="V3561" i="1"/>
  <c r="W3561" i="1" s="1"/>
  <c r="V3199" i="1"/>
  <c r="W3199" i="1" s="1"/>
  <c r="V2664" i="1"/>
  <c r="W2664" i="1" s="1"/>
  <c r="V2206" i="1"/>
  <c r="W2206" i="1"/>
  <c r="V3167" i="1"/>
  <c r="W3167" i="1" s="1"/>
  <c r="V2390" i="1"/>
  <c r="W2390" i="1" s="1"/>
  <c r="V2433" i="1"/>
  <c r="W2433" i="1" s="1"/>
  <c r="V2231" i="1"/>
  <c r="W2231" i="1" s="1"/>
  <c r="V3411" i="1"/>
  <c r="W3411" i="1" s="1"/>
  <c r="V3313" i="1"/>
  <c r="W3313" i="1" s="1"/>
  <c r="V3185" i="1"/>
  <c r="W3185" i="1" s="1"/>
  <c r="V2972" i="1"/>
  <c r="W2972" i="1" s="1"/>
  <c r="V3110" i="1"/>
  <c r="W3110" i="1" s="1"/>
  <c r="V2981" i="1"/>
  <c r="W2981" i="1" s="1"/>
  <c r="V2912" i="1"/>
  <c r="W2912" i="1" s="1"/>
  <c r="V2748" i="1"/>
  <c r="W2748" i="1" s="1"/>
  <c r="V2656" i="1"/>
  <c r="W2656" i="1" s="1"/>
  <c r="V2891" i="1"/>
  <c r="W2891" i="1" s="1"/>
  <c r="V2831" i="1"/>
  <c r="W2831" i="1" s="1"/>
  <c r="V2709" i="1"/>
  <c r="W2709" i="1"/>
  <c r="V2266" i="1"/>
  <c r="W2266" i="1" s="1"/>
  <c r="V2984" i="1"/>
  <c r="W2984" i="1" s="1"/>
  <c r="V2874" i="1"/>
  <c r="W2874" i="1" s="1"/>
  <c r="V2769" i="1"/>
  <c r="W2769" i="1" s="1"/>
  <c r="V2668" i="1"/>
  <c r="W2668" i="1" s="1"/>
  <c r="V2459" i="1"/>
  <c r="W2459" i="1"/>
  <c r="V3151" i="1"/>
  <c r="W3151" i="1" s="1"/>
  <c r="V2851" i="1"/>
  <c r="W2851" i="1" s="1"/>
  <c r="V2746" i="1"/>
  <c r="W2746" i="1" s="1"/>
  <c r="V2382" i="1"/>
  <c r="W2382" i="1" s="1"/>
  <c r="V2504" i="1"/>
  <c r="W2504" i="1" s="1"/>
  <c r="V2395" i="1"/>
  <c r="W2395" i="1" s="1"/>
  <c r="V2888" i="1"/>
  <c r="W2888" i="1" s="1"/>
  <c r="V2437" i="1"/>
  <c r="W2437" i="1" s="1"/>
  <c r="V3326" i="1"/>
  <c r="W3326" i="1" s="1"/>
  <c r="V2346" i="1"/>
  <c r="W2346" i="1" s="1"/>
  <c r="V2253" i="1"/>
  <c r="W2253" i="1" s="1"/>
  <c r="V2371" i="1"/>
  <c r="W2371" i="1" s="1"/>
  <c r="V2622" i="1"/>
  <c r="W2622" i="1" s="1"/>
  <c r="V3395" i="1"/>
  <c r="W3395" i="1" s="1"/>
  <c r="V3494" i="1"/>
  <c r="W3494" i="1" s="1"/>
  <c r="V3289" i="1"/>
  <c r="W3289" i="1" s="1"/>
  <c r="V2856" i="1"/>
  <c r="W2856" i="1" s="1"/>
  <c r="V2185" i="1"/>
  <c r="W2185" i="1" s="1"/>
  <c r="V2593" i="1"/>
  <c r="W2593" i="1" s="1"/>
  <c r="V2843" i="1"/>
  <c r="W2843" i="1" s="1"/>
  <c r="V3736" i="1"/>
  <c r="W3736" i="1" s="1"/>
  <c r="V2540" i="1"/>
  <c r="W2540" i="1"/>
  <c r="V2227" i="1"/>
  <c r="W2227" i="1" s="1"/>
  <c r="V2243" i="1"/>
  <c r="W2243" i="1" s="1"/>
  <c r="V2969" i="1"/>
  <c r="W2969" i="1" s="1"/>
  <c r="V3698" i="1"/>
  <c r="W3698" i="1" s="1"/>
  <c r="V3554" i="1"/>
  <c r="W3554" i="1" s="1"/>
  <c r="V3206" i="1"/>
  <c r="W3206" i="1" s="1"/>
  <c r="V2686" i="1"/>
  <c r="W2686" i="1" s="1"/>
  <c r="V2813" i="1"/>
  <c r="W2813" i="1" s="1"/>
  <c r="V3439" i="1"/>
  <c r="W3439" i="1" s="1"/>
  <c r="V3362" i="1"/>
  <c r="W3362" i="1" s="1"/>
  <c r="V2611" i="1"/>
  <c r="W2611" i="1" s="1"/>
  <c r="V2937" i="1"/>
  <c r="W2937" i="1"/>
  <c r="V2379" i="1"/>
  <c r="W2379" i="1" s="1"/>
  <c r="V2363" i="1"/>
  <c r="W2363" i="1" s="1"/>
  <c r="V3655" i="1"/>
  <c r="W3655" i="1" s="1"/>
  <c r="V3589" i="1"/>
  <c r="W3589" i="1" s="1"/>
  <c r="V3694" i="1"/>
  <c r="W3694" i="1" s="1"/>
  <c r="V2638" i="1"/>
  <c r="W2638" i="1" s="1"/>
  <c r="V2967" i="1"/>
  <c r="W2967" i="1" s="1"/>
  <c r="V2483" i="1"/>
  <c r="W2483" i="1" s="1"/>
  <c r="V3187" i="1"/>
  <c r="W3187" i="1" s="1"/>
  <c r="V2875" i="1"/>
  <c r="W2875" i="1" s="1"/>
  <c r="V2790" i="1"/>
  <c r="W2790" i="1"/>
  <c r="V3409" i="1"/>
  <c r="W3409" i="1" s="1"/>
  <c r="V3015" i="1"/>
  <c r="W3015" i="1"/>
  <c r="V2896" i="1"/>
  <c r="W2896" i="1" s="1"/>
  <c r="V2672" i="1"/>
  <c r="W2672" i="1" s="1"/>
  <c r="V2406" i="1"/>
  <c r="W2406" i="1" s="1"/>
  <c r="V2475" i="1"/>
  <c r="W2475" i="1"/>
  <c r="V3169" i="1"/>
  <c r="W3169" i="1" s="1"/>
  <c r="V3458" i="1"/>
  <c r="W3458" i="1"/>
  <c r="V2473" i="1"/>
  <c r="W2473" i="1" s="1"/>
  <c r="V3637" i="1"/>
  <c r="W3637" i="1" s="1"/>
  <c r="V3423" i="1"/>
  <c r="W3423" i="1" s="1"/>
  <c r="V2923" i="1"/>
  <c r="W2923" i="1" s="1"/>
  <c r="V2894" i="1"/>
  <c r="W2894" i="1"/>
  <c r="V2286" i="1"/>
  <c r="W2286" i="1"/>
  <c r="V2467" i="1"/>
  <c r="W2467" i="1" s="1"/>
  <c r="V3352" i="1"/>
  <c r="W3352" i="1" s="1"/>
  <c r="V2533" i="1"/>
  <c r="W2533" i="1" s="1"/>
  <c r="V2782" i="1"/>
  <c r="W2782" i="1"/>
  <c r="V2302" i="1"/>
  <c r="W2302" i="1" s="1"/>
  <c r="V2330" i="1"/>
  <c r="W2330" i="1" s="1"/>
  <c r="V3670" i="1"/>
  <c r="W3670" i="1" s="1"/>
  <c r="V3644" i="1"/>
  <c r="W3644" i="1"/>
  <c r="V3570" i="1"/>
  <c r="W3570" i="1" s="1"/>
  <c r="V3711" i="1"/>
  <c r="W3711" i="1" s="1"/>
  <c r="V3294" i="1"/>
  <c r="W3294" i="1" s="1"/>
  <c r="V3590" i="1"/>
  <c r="W3590" i="1" s="1"/>
  <c r="V3615" i="1"/>
  <c r="W3615" i="1"/>
  <c r="V3545" i="1"/>
  <c r="W3545" i="1" s="1"/>
  <c r="V3348" i="1"/>
  <c r="W3348" i="1" s="1"/>
  <c r="V3682" i="1"/>
  <c r="W3682" i="1" s="1"/>
  <c r="V3286" i="1"/>
  <c r="W3286" i="1" s="1"/>
  <c r="V3531" i="1"/>
  <c r="W3531" i="1"/>
  <c r="V3358" i="1"/>
  <c r="W3358" i="1" s="1"/>
  <c r="V3242" i="1"/>
  <c r="W3242" i="1" s="1"/>
  <c r="V3165" i="1"/>
  <c r="W3165" i="1" s="1"/>
  <c r="V3517" i="1"/>
  <c r="W3517" i="1" s="1"/>
  <c r="V3308" i="1"/>
  <c r="W3308" i="1" s="1"/>
  <c r="V2955" i="1"/>
  <c r="W2955" i="1"/>
  <c r="V3240" i="1"/>
  <c r="W3240" i="1" s="1"/>
  <c r="V3102" i="1"/>
  <c r="W3102" i="1" s="1"/>
  <c r="V2979" i="1"/>
  <c r="W2979" i="1" s="1"/>
  <c r="V2740" i="1"/>
  <c r="W2740" i="1"/>
  <c r="V2865" i="1"/>
  <c r="W2865" i="1"/>
  <c r="V2648" i="1"/>
  <c r="W2648" i="1" s="1"/>
  <c r="V2996" i="1"/>
  <c r="W2996" i="1" s="1"/>
  <c r="V2652" i="1"/>
  <c r="W2652" i="1" s="1"/>
  <c r="V2514" i="1"/>
  <c r="W2514" i="1" s="1"/>
  <c r="V2249" i="1"/>
  <c r="W2249" i="1" s="1"/>
  <c r="V2978" i="1"/>
  <c r="W2978" i="1" s="1"/>
  <c r="V2576" i="1"/>
  <c r="W2576" i="1" s="1"/>
  <c r="V2451" i="1"/>
  <c r="W2451" i="1" s="1"/>
  <c r="V2986" i="1"/>
  <c r="W2986" i="1" s="1"/>
  <c r="V2501" i="1"/>
  <c r="W2501" i="1" s="1"/>
  <c r="V2311" i="1"/>
  <c r="W2311" i="1" s="1"/>
  <c r="V2755" i="1"/>
  <c r="W2755" i="1" s="1"/>
  <c r="V2744" i="1"/>
  <c r="W2744" i="1" s="1"/>
  <c r="V2408" i="1"/>
  <c r="W2408" i="1" s="1"/>
  <c r="V2873" i="1"/>
  <c r="W2873" i="1" s="1"/>
  <c r="V2270" i="1"/>
  <c r="W2270" i="1" s="1"/>
  <c r="V2764" i="1"/>
  <c r="W2764" i="1"/>
  <c r="V2172" i="1"/>
  <c r="W2172" i="1" s="1"/>
  <c r="V3498" i="1"/>
  <c r="W3498" i="1" s="1"/>
  <c r="V3614" i="1"/>
  <c r="W3614" i="1" s="1"/>
  <c r="V2958" i="1"/>
  <c r="W2958" i="1"/>
  <c r="V3139" i="1"/>
  <c r="W3139" i="1" s="1"/>
  <c r="V2351" i="1"/>
  <c r="W2351" i="1" s="1"/>
  <c r="V3486" i="1"/>
  <c r="W3486" i="1"/>
  <c r="V2304" i="1"/>
  <c r="W2304" i="1" s="1"/>
  <c r="V2950" i="1"/>
  <c r="W2950" i="1" s="1"/>
  <c r="V3611" i="1"/>
  <c r="W3611" i="1" s="1"/>
  <c r="V2863" i="1"/>
  <c r="W2863" i="1" s="1"/>
  <c r="V2736" i="1"/>
  <c r="W2736" i="1" s="1"/>
  <c r="V3454" i="1"/>
  <c r="W3454" i="1" s="1"/>
  <c r="V2610" i="1"/>
  <c r="W2610" i="1" s="1"/>
  <c r="V2188" i="1"/>
  <c r="W2188" i="1" s="1"/>
  <c r="V2284" i="1"/>
  <c r="W2284" i="1" s="1"/>
  <c r="V3425" i="1"/>
  <c r="W3425" i="1" s="1"/>
  <c r="V3600" i="1"/>
  <c r="W3600" i="1"/>
  <c r="V3318" i="1"/>
  <c r="W3318" i="1" s="1"/>
  <c r="V2936" i="1"/>
  <c r="W2936" i="1" s="1"/>
  <c r="V3147" i="1"/>
  <c r="W3147" i="1" s="1"/>
  <c r="V2335" i="1"/>
  <c r="W2335" i="1" s="1"/>
  <c r="V2906" i="1"/>
  <c r="W2906" i="1" s="1"/>
  <c r="V2369" i="1"/>
  <c r="W2369" i="1" s="1"/>
  <c r="V2701" i="1"/>
  <c r="W2701" i="1" s="1"/>
  <c r="V2423" i="1"/>
  <c r="W2423" i="1"/>
  <c r="V2202" i="1"/>
  <c r="W2202" i="1" s="1"/>
  <c r="V3675" i="1"/>
  <c r="W3675" i="1" s="1"/>
  <c r="V3652" i="1"/>
  <c r="W3652" i="1" s="1"/>
  <c r="V3109" i="1"/>
  <c r="W3109" i="1" s="1"/>
  <c r="V3197" i="1"/>
  <c r="W3197" i="1" s="1"/>
  <c r="V2596" i="1"/>
  <c r="W2596" i="1"/>
  <c r="V3412" i="1"/>
  <c r="W3412" i="1" s="1"/>
  <c r="V2480" i="1"/>
  <c r="W2480" i="1" s="1"/>
  <c r="V2512" i="1"/>
  <c r="W2512" i="1" s="1"/>
  <c r="V3636" i="1"/>
  <c r="W3636" i="1" s="1"/>
  <c r="V3645" i="1"/>
  <c r="W3645" i="1" s="1"/>
  <c r="V3195" i="1"/>
  <c r="W3195" i="1" s="1"/>
  <c r="V3080" i="1"/>
  <c r="W3080" i="1" s="1"/>
  <c r="V3250" i="1"/>
  <c r="W3250" i="1" s="1"/>
  <c r="V3013" i="1"/>
  <c r="W3013" i="1" s="1"/>
  <c r="V2582" i="1"/>
  <c r="W2582" i="1"/>
  <c r="V2589" i="1"/>
  <c r="W2589" i="1" s="1"/>
  <c r="V2859" i="1"/>
  <c r="W2859" i="1" s="1"/>
  <c r="V2690" i="1"/>
  <c r="W2690" i="1" s="1"/>
  <c r="V2337" i="1"/>
  <c r="W2337" i="1" s="1"/>
  <c r="V2738" i="1"/>
  <c r="W2738" i="1" s="1"/>
  <c r="V2280" i="1"/>
  <c r="W2280" i="1" s="1"/>
  <c r="V2543" i="1"/>
  <c r="W2543" i="1" s="1"/>
  <c r="V3419" i="1"/>
  <c r="W3419" i="1" s="1"/>
  <c r="V3379" i="1"/>
  <c r="W3379" i="1"/>
  <c r="V3599" i="1"/>
  <c r="W3599" i="1" s="1"/>
  <c r="V3537" i="1"/>
  <c r="W3537" i="1"/>
  <c r="V3720" i="1"/>
  <c r="W3720" i="1" s="1"/>
  <c r="V3616" i="1"/>
  <c r="W3616" i="1" s="1"/>
  <c r="V3239" i="1"/>
  <c r="W3239" i="1" s="1"/>
  <c r="V3111" i="1"/>
  <c r="W3111" i="1" s="1"/>
  <c r="V2909" i="1"/>
  <c r="W2909" i="1" s="1"/>
  <c r="V3359" i="1"/>
  <c r="W3359" i="1"/>
  <c r="V2732" i="1"/>
  <c r="W2732" i="1" s="1"/>
  <c r="V2857" i="1"/>
  <c r="W2857" i="1" s="1"/>
  <c r="V2613" i="1"/>
  <c r="W2613" i="1"/>
  <c r="V3179" i="1"/>
  <c r="W3179" i="1" s="1"/>
  <c r="V2985" i="1"/>
  <c r="W2985" i="1" s="1"/>
  <c r="V2425" i="1"/>
  <c r="W2425" i="1"/>
  <c r="V2233" i="1"/>
  <c r="W2233" i="1" s="1"/>
  <c r="V2182" i="1"/>
  <c r="W2182" i="1" s="1"/>
  <c r="V3284" i="1"/>
  <c r="W3284" i="1" s="1"/>
  <c r="V2973" i="1"/>
  <c r="W2973" i="1" s="1"/>
  <c r="V2650" i="1"/>
  <c r="W2650" i="1" s="1"/>
  <c r="V2443" i="1"/>
  <c r="W2443" i="1"/>
  <c r="V3028" i="1"/>
  <c r="W3028" i="1"/>
  <c r="V3422" i="1"/>
  <c r="W3422" i="1" s="1"/>
  <c r="V2654" i="1"/>
  <c r="W2654" i="1" s="1"/>
  <c r="V2429" i="1"/>
  <c r="W2429" i="1" s="1"/>
  <c r="V2952" i="1"/>
  <c r="W2952" i="1" s="1"/>
  <c r="V2823" i="1"/>
  <c r="W2823" i="1" s="1"/>
  <c r="V2721" i="1"/>
  <c r="W2721" i="1" s="1"/>
  <c r="V2507" i="1"/>
  <c r="W2507" i="1"/>
  <c r="V2521" i="1"/>
  <c r="W2521" i="1" s="1"/>
  <c r="V2173" i="1"/>
  <c r="W2173" i="1" s="1"/>
  <c r="V2247" i="1"/>
  <c r="W2247" i="1" s="1"/>
  <c r="V2204" i="1"/>
  <c r="W2204" i="1" s="1"/>
  <c r="V3093" i="1"/>
  <c r="W3093" i="1" s="1"/>
  <c r="V2930" i="1"/>
  <c r="W2930" i="1" s="1"/>
  <c r="V2209" i="1"/>
  <c r="W2209" i="1" s="1"/>
  <c r="V2564" i="1"/>
  <c r="W2564" i="1" s="1"/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<sst xmlns="http://schemas.openxmlformats.org/spreadsheetml/2006/main" count="46715" uniqueCount="6687">
  <si>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</si>
  <si>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</si>
  <si>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</si>
  <si>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</si>
  <si>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</si>
  <si>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</si>
  <si>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</si>
  <si>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</si>
  <si>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</si>
  <si>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</si>
  <si>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</si>
  <si>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</si>
  <si>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</si>
  <si>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</si>
  <si>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</si>
  <si>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</si>
  <si>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</si>
  <si>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</si>
  <si>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</si>
  <si>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</si>
  <si>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</si>
  <si>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</si>
  <si>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</si>
  <si>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</si>
  <si>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</si>
  <si>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</si>
  <si>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</si>
  <si>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</si>
  <si>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</si>
  <si>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</si>
  <si>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</si>
  <si>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</si>
  <si>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</si>
  <si>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</si>
  <si>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</si>
  <si>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</si>
  <si>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</si>
  <si>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</si>
  <si>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</si>
  <si>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</si>
  <si>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</si>
  <si>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</si>
  <si>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</si>
  <si>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</si>
  <si>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</si>
  <si>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</si>
  <si>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</si>
  <si>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</si>
  <si>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</si>
  <si>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</si>
  <si>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</si>
  <si>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</si>
  <si>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</si>
  <si>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</si>
  <si>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</si>
  <si>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</si>
  <si>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</si>
  <si>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</si>
  <si>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</si>
  <si>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</si>
  <si>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</si>
  <si>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</si>
  <si>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</si>
  <si>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</si>
  <si>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</si>
  <si>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</si>
  <si>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</si>
  <si>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</si>
  <si>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</si>
  <si>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</si>
  <si>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</si>
  <si>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</si>
  <si>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</si>
  <si>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</si>
  <si>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</si>
  <si>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</si>
  <si>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</si>
  <si>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</si>
  <si>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</si>
  <si>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</si>
  <si>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</si>
  <si>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</si>
  <si>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</si>
  <si>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</si>
  <si>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</si>
  <si>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</si>
  <si>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</si>
  <si>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</si>
  <si>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</si>
  <si>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</si>
  <si>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</si>
  <si>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</si>
  <si>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</si>
  <si>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</si>
  <si>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</si>
  <si>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</si>
  <si>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</si>
  <si>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</si>
  <si>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</si>
  <si>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</si>
  <si>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</si>
  <si>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</si>
  <si>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</si>
  <si>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</si>
  <si>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</si>
  <si>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</si>
  <si>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</si>
  <si>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</si>
  <si>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</si>
  <si>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</si>
  <si>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</si>
  <si>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</si>
  <si>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</si>
  <si>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</si>
  <si>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</si>
  <si>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</si>
  <si>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</si>
  <si>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</si>
  <si>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</si>
  <si>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</si>
  <si>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</si>
  <si>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</si>
  <si>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</si>
  <si>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</si>
  <si>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</si>
  <si>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</si>
  <si>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</si>
  <si>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</si>
  <si>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</si>
  <si>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</si>
  <si>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</si>
  <si>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</si>
  <si>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</si>
  <si>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</si>
  <si>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</si>
  <si>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</si>
  <si>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</si>
  <si>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</si>
  <si>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</si>
  <si>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</si>
  <si>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</si>
  <si>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</si>
  <si>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</si>
  <si>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</si>
  <si>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</si>
  <si>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</si>
  <si>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</si>
  <si>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</si>
  <si>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</si>
  <si>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</si>
  <si>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</si>
  <si>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</si>
  <si>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</si>
  <si>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</si>
  <si>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</si>
  <si>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</si>
  <si>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</si>
  <si>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</si>
  <si>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</si>
  <si>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</si>
  <si>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</si>
  <si>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</si>
  <si>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</si>
  <si>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</si>
  <si>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</si>
  <si>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</si>
  <si>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</si>
  <si>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</si>
  <si>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</si>
  <si>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</si>
  <si>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</si>
  <si>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</si>
  <si>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</si>
  <si>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</si>
  <si>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</si>
  <si>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</si>
  <si>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</si>
  <si>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</si>
  <si>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</si>
  <si>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</si>
  <si>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</si>
  <si>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</si>
  <si>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</si>
  <si>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</si>
  <si>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</si>
  <si>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</si>
  <si>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</si>
  <si>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</si>
  <si>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</si>
  <si>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</si>
  <si>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</si>
  <si>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</si>
  <si>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</si>
  <si>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</si>
  <si>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</si>
  <si>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</si>
  <si>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</si>
  <si>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</si>
  <si>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</si>
  <si>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</si>
  <si>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</si>
  <si>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</si>
  <si>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</si>
  <si>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</si>
  <si>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</si>
  <si>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</si>
  <si>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</si>
  <si>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</si>
  <si>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</si>
  <si>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</si>
  <si>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</si>
  <si>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</si>
  <si>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</si>
  <si>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</si>
  <si>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</si>
  <si>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</si>
  <si>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</si>
  <si>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</si>
  <si>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</si>
  <si>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</si>
  <si>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</si>
  <si>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</si>
  <si>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</si>
  <si>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</si>
  <si>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</si>
  <si>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</si>
  <si>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</si>
  <si>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</si>
  <si>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</si>
  <si>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</si>
  <si>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</si>
  <si>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</si>
  <si>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</si>
  <si>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</si>
  <si>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</si>
  <si>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</si>
  <si>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</si>
  <si>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</si>
  <si>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</si>
  <si>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</si>
  <si>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</si>
  <si>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</si>
  <si>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</si>
  <si>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</si>
  <si>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</si>
  <si>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</si>
  <si>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</si>
  <si>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</si>
  <si>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</si>
  <si>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</si>
  <si>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</si>
  <si>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</si>
  <si>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</si>
  <si>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</si>
  <si>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</si>
  <si>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</si>
  <si>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</si>
  <si>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</si>
  <si>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</si>
  <si>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</si>
  <si>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</si>
  <si>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</si>
  <si>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</si>
  <si>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</si>
  <si>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</si>
  <si>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</si>
  <si>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</si>
  <si>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</si>
  <si>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</si>
  <si>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</si>
  <si>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</si>
  <si>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</si>
  <si>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</si>
  <si>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</si>
  <si>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</si>
  <si>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</si>
  <si>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</si>
  <si>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</si>
  <si>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</si>
  <si>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</si>
  <si>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</si>
  <si>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</si>
  <si>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</si>
  <si>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</si>
  <si>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</si>
  <si>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</si>
  <si>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</si>
  <si>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</si>
  <si>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</si>
  <si>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</si>
  <si>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</si>
  <si>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</si>
  <si>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</si>
  <si>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</si>
  <si>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</si>
  <si>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</si>
  <si>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</si>
  <si>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</si>
  <si>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</si>
  <si>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</si>
  <si>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</si>
  <si>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</si>
  <si>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</si>
  <si>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</si>
  <si>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</si>
  <si>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</si>
  <si>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</si>
  <si>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</si>
  <si>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</si>
  <si>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</si>
  <si>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</si>
  <si>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</si>
  <si>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</si>
  <si>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</si>
  <si>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</si>
  <si>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</si>
  <si>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</si>
  <si>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</si>
  <si>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</si>
  <si>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</si>
  <si>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</si>
  <si>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</si>
  <si>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</si>
  <si>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</si>
  <si>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</si>
  <si>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</si>
  <si>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</si>
  <si>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</si>
  <si>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</si>
  <si>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</si>
  <si>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</si>
  <si>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</si>
  <si>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</si>
  <si>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</si>
  <si>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</si>
  <si>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</si>
  <si>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</si>
  <si>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</si>
  <si>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</si>
  <si>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</si>
  <si>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</si>
  <si>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</si>
  <si>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</si>
  <si>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</si>
  <si>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</si>
  <si>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</si>
  <si>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</si>
  <si>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</si>
  <si>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</si>
  <si>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</si>
  <si>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</si>
  <si>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</si>
  <si>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</si>
  <si>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</si>
  <si>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</si>
  <si>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</si>
  <si>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</si>
  <si>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</si>
  <si>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</si>
  <si>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</si>
  <si>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</si>
  <si>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</si>
  <si>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</si>
  <si>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</si>
  <si>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</si>
  <si>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</si>
  <si>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</si>
  <si>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</si>
  <si>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</si>
  <si>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</si>
  <si>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</si>
  <si>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</si>
  <si>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</si>
  <si>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</si>
  <si>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</si>
  <si>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</si>
  <si>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</si>
  <si>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</si>
  <si>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</si>
  <si>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</si>
  <si>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</si>
  <si>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</si>
  <si>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</si>
  <si>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</si>
  <si>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</si>
  <si>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</si>
  <si>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</si>
  <si>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</si>
  <si>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</si>
  <si>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</si>
  <si>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</si>
  <si>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</si>
  <si>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</si>
  <si>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</si>
  <si>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</si>
  <si>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</si>
  <si>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</si>
  <si>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</si>
  <si>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</si>
  <si>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</si>
  <si>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</si>
  <si>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</si>
  <si>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</si>
  <si>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</si>
  <si>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</si>
  <si>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</si>
  <si>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</si>
  <si>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</si>
  <si>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</si>
  <si>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</si>
  <si>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</si>
  <si>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</si>
  <si>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</si>
  <si>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</si>
  <si>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</si>
  <si>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</si>
  <si>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</si>
  <si>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</si>
  <si>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</si>
  <si>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</si>
  <si>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</si>
  <si>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</si>
  <si>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</si>
  <si>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</si>
  <si>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</si>
  <si>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</si>
  <si>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</si>
  <si>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</si>
  <si>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</si>
  <si>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</si>
  <si>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</si>
  <si>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</si>
  <si>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</si>
  <si>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</si>
  <si>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</si>
  <si>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</si>
  <si>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</si>
  <si>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</si>
  <si>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</si>
  <si>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</si>
  <si>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</si>
  <si>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</si>
  <si>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</si>
  <si>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</si>
  <si>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</si>
  <si>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</si>
  <si>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</si>
  <si>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</si>
  <si>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</si>
  <si>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</si>
  <si>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</si>
  <si>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</si>
  <si>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</si>
  <si>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</si>
  <si>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</si>
  <si>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</si>
  <si>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</si>
  <si>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</si>
  <si>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</si>
  <si>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</si>
  <si>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</si>
  <si>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</si>
  <si>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</si>
  <si>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</si>
  <si>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</si>
  <si>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</si>
  <si>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</si>
  <si>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</si>
  <si>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</si>
  <si>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</si>
  <si>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</si>
  <si>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</si>
  <si>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</si>
  <si>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</si>
  <si>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</si>
  <si>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</si>
  <si>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</si>
  <si>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</si>
  <si>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</si>
  <si>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</si>
  <si>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</si>
  <si>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</si>
  <si>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</si>
  <si>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</si>
  <si>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</si>
  <si>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</si>
  <si>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</si>
  <si>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</si>
  <si>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</si>
  <si>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</si>
  <si>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</si>
  <si>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</si>
  <si>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</si>
  <si>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</si>
  <si>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</si>
  <si>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</si>
  <si>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</si>
  <si>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</si>
  <si>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</si>
  <si>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</si>
  <si>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</si>
  <si>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</si>
  <si>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</si>
  <si>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</si>
  <si>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</si>
  <si>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</si>
  <si>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</si>
  <si>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</si>
  <si>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</si>
  <si>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</si>
  <si>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</si>
  <si>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</si>
  <si>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</si>
  <si>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</si>
  <si>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</si>
  <si>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</si>
  <si>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</si>
  <si>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</si>
  <si>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</si>
  <si>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</si>
  <si>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</si>
  <si>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</si>
  <si>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</si>
  <si>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</si>
  <si>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</si>
  <si>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</si>
  <si>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</si>
  <si>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</si>
  <si>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</si>
  <si>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</si>
  <si>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</si>
  <si>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</si>
  <si>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</si>
  <si>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</si>
  <si>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</si>
  <si>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</si>
  <si>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</si>
  <si>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</si>
  <si>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</si>
  <si>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</si>
  <si>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</si>
  <si>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</si>
  <si>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</si>
  <si>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</si>
  <si>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</si>
  <si>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</si>
  <si>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</si>
  <si>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</si>
  <si>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</si>
  <si>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</si>
  <si>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</si>
  <si>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</si>
  <si>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</si>
  <si>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</si>
  <si>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</si>
  <si>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</si>
  <si>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</si>
  <si>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</si>
  <si>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</si>
  <si>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</si>
  <si>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</si>
  <si>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</si>
  <si>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</si>
  <si>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</si>
  <si>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</si>
  <si>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</si>
  <si>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</si>
  <si>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</si>
  <si>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</si>
  <si>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</si>
  <si>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</si>
  <si>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</si>
  <si>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</si>
  <si>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</si>
  <si>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</si>
  <si>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</si>
  <si>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</si>
  <si>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</si>
  <si>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</si>
  <si>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</si>
  <si>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</si>
  <si>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</si>
  <si>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</si>
  <si>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</si>
  <si>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</si>
  <si>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</si>
  <si>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</si>
  <si>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</si>
  <si>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</si>
  <si>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</si>
  <si>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</si>
  <si>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</si>
  <si>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</si>
  <si>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</si>
  <si>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</si>
  <si>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</si>
  <si>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</si>
  <si>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</si>
  <si>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</si>
  <si>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</si>
  <si>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</si>
  <si>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</si>
  <si>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</si>
  <si>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</si>
  <si>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</si>
  <si>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</si>
  <si>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</si>
  <si>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</si>
  <si>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</si>
  <si>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</si>
  <si>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</si>
  <si>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</si>
  <si>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</si>
  <si>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</si>
  <si>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</si>
  <si>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</si>
  <si>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</si>
  <si>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</si>
  <si>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</si>
  <si>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</si>
  <si>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</si>
  <si>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</si>
  <si>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</si>
  <si>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</si>
  <si>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</si>
  <si>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</si>
  <si>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</si>
  <si>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</si>
  <si>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</si>
  <si>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</si>
  <si>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</si>
  <si>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</si>
  <si>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</si>
  <si>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</si>
  <si>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</si>
  <si>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</si>
  <si>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</si>
  <si>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</si>
  <si>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</si>
  <si>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</si>
  <si>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</si>
  <si>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</si>
  <si>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</si>
  <si>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</si>
  <si>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</si>
  <si>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</si>
  <si>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</si>
  <si>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</si>
  <si>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</si>
  <si>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</si>
  <si>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</si>
  <si>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</si>
  <si>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</si>
  <si>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</si>
  <si>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</si>
  <si>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</si>
  <si>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</si>
  <si>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GRAVETTE G1 6/20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</si>
  <si>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</si>
  <si>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</si>
  <si>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</si>
  <si>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</si>
  <si>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</si>
  <si>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</si>
  <si>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</si>
  <si>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</si>
  <si>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</si>
  <si>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</si>
  <si>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</si>
  <si>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</si>
  <si>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</si>
  <si>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</si>
  <si>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</si>
  <si>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</si>
  <si>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</si>
  <si>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</si>
  <si>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</si>
  <si>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</si>
  <si>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</si>
  <si>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</si>
  <si>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</si>
  <si>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</si>
  <si>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</si>
  <si>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</si>
  <si>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</si>
  <si>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</si>
  <si>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</si>
  <si>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</si>
  <si>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</si>
  <si>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</si>
  <si>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</si>
  <si>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</si>
  <si>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</si>
  <si>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</si>
  <si>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</si>
  <si>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</si>
  <si>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</si>
  <si>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</si>
  <si>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</si>
  <si>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</si>
  <si>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</si>
  <si>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</si>
  <si>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</si>
  <si>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</si>
  <si>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</si>
  <si>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</si>
  <si>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</si>
  <si>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</si>
  <si>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</si>
  <si>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</si>
  <si>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</si>
  <si>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</si>
  <si>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</si>
  <si>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</si>
  <si>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</si>
  <si>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</si>
  <si>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</si>
  <si>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</si>
  <si>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</si>
  <si>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</si>
  <si>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</si>
  <si>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</si>
  <si>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</si>
  <si>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</si>
  <si>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</si>
  <si>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</si>
  <si>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</si>
  <si>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</si>
  <si>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</si>
  <si>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</si>
  <si>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</si>
  <si>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</si>
  <si>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</si>
  <si>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</si>
  <si>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</si>
  <si>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</si>
  <si>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</si>
  <si>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</si>
  <si>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</si>
  <si>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</si>
  <si>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</si>
  <si>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</si>
  <si>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</si>
  <si>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</si>
  <si>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</si>
  <si>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</si>
  <si>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</si>
  <si>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</si>
  <si>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</si>
  <si>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</si>
  <si>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</si>
  <si>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</si>
  <si>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</si>
  <si>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</si>
  <si>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</si>
  <si>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</si>
  <si>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</si>
  <si>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</si>
  <si>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</si>
  <si>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</si>
  <si>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</si>
  <si>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</si>
  <si>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</si>
  <si>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</si>
  <si>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</si>
  <si>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</si>
  <si>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</si>
  <si>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</si>
  <si>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</si>
  <si>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</si>
  <si>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</si>
  <si>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</si>
  <si>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</si>
  <si>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</si>
  <si>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</si>
  <si>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SABLE CONCASSAGE 0-4</t>
  </si>
  <si>
    <t>SABLE CONCASSAGE 0-2</t>
  </si>
  <si>
    <t>TOUT VENANT 0-31.5</t>
  </si>
  <si>
    <t>TOUT VENANT 0-40</t>
  </si>
  <si>
    <t>TOUT VENANT 0-60</t>
  </si>
  <si>
    <t>TOUT VENANT 0-100</t>
  </si>
  <si>
    <t>STERILE</t>
  </si>
  <si>
    <t>STERILE FIN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</si>
  <si>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</si>
  <si>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</si>
  <si>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</si>
  <si>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</si>
  <si>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</si>
  <si>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</si>
  <si>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</si>
  <si>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</si>
  <si>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</si>
  <si>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</si>
  <si>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</si>
  <si>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</si>
  <si>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</si>
  <si>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</si>
  <si>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</si>
  <si>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</si>
  <si>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</si>
  <si>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</si>
  <si>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</si>
  <si>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</si>
  <si>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</si>
  <si>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</si>
  <si>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</si>
  <si>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</si>
  <si>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</si>
  <si>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</si>
  <si>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</si>
  <si>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</si>
  <si>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</si>
  <si>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</si>
  <si>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</si>
  <si>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</si>
  <si>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</si>
  <si>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</si>
  <si>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</si>
  <si>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</si>
  <si>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</si>
  <si>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</si>
  <si>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</si>
  <si>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</si>
  <si>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</si>
  <si>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</si>
  <si>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</si>
  <si>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</si>
  <si>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</si>
  <si>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90Jours</t>
  </si>
  <si>
    <t>120Jours</t>
  </si>
  <si>
    <t>60Jours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</si>
  <si>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</si>
  <si>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</si>
  <si>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</si>
  <si>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</si>
  <si>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</si>
  <si>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</si>
  <si>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</si>
  <si>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</si>
  <si>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</si>
  <si>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</si>
  <si>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</si>
  <si>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</si>
  <si>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</si>
  <si>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</si>
  <si>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</si>
  <si>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</si>
  <si>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</si>
  <si>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</si>
  <si>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</si>
  <si>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</si>
  <si>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</si>
  <si>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</si>
  <si>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</si>
  <si>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</si>
  <si>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</si>
  <si>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</si>
  <si>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</si>
  <si>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</si>
  <si>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</si>
  <si>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</si>
  <si>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</si>
  <si>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</si>
  <si>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</si>
  <si>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</si>
  <si>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</si>
  <si>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</si>
  <si>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</si>
  <si>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</si>
  <si>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</si>
  <si>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</si>
  <si>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</si>
  <si>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</si>
  <si>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</si>
  <si>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</si>
  <si>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</si>
  <si>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</si>
  <si>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</si>
  <si>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</si>
  <si>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</si>
  <si>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</si>
  <si>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</si>
  <si>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</si>
  <si>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</si>
  <si>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</si>
  <si>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</si>
  <si>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</si>
  <si>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</si>
  <si>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</si>
  <si>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</si>
  <si>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</si>
  <si>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</si>
  <si>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</si>
  <si>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</si>
  <si>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</si>
  <si>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</si>
  <si>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</si>
  <si>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</si>
  <si>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</si>
  <si>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</si>
  <si>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</si>
  <si>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</si>
  <si>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</si>
  <si>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</si>
  <si>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</si>
  <si>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</si>
  <si>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</si>
  <si>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</si>
  <si>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</si>
  <si>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</si>
  <si>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</si>
  <si>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</si>
  <si>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</si>
  <si>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</si>
  <si>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</si>
  <si>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</si>
  <si>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</si>
  <si>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</si>
  <si>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</si>
  <si>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</si>
  <si>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</si>
  <si>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</si>
  <si>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</si>
  <si>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</si>
  <si>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</si>
  <si>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</si>
  <si>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</si>
  <si>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</si>
  <si>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</si>
  <si>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</si>
  <si>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</si>
  <si>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</si>
  <si>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</si>
  <si>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</si>
  <si>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</si>
  <si>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</si>
  <si>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</si>
  <si>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</si>
  <si>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</si>
  <si>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</si>
  <si>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</si>
  <si>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</si>
  <si>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</si>
  <si>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</si>
  <si>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</si>
  <si>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</si>
  <si>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</si>
  <si>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</si>
  <si>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</si>
  <si>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</si>
  <si>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</si>
  <si>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</si>
  <si>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</si>
  <si>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</si>
  <si>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</si>
  <si>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</si>
  <si>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</si>
  <si>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</si>
  <si>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</si>
  <si>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</si>
  <si>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</si>
  <si>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</si>
  <si>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</si>
  <si>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</si>
  <si>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</si>
  <si>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</si>
  <si>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</si>
  <si>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</si>
  <si>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</si>
  <si>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</si>
  <si>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</si>
  <si>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</si>
  <si>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</si>
  <si>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</si>
  <si>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</si>
  <si>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</si>
  <si>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</si>
  <si>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</si>
  <si>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</si>
  <si>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</si>
  <si>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</si>
  <si>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</si>
  <si>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</si>
  <si>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</si>
  <si>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</si>
  <si>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</si>
  <si>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</si>
  <si>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</si>
  <si>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</si>
  <si>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</si>
  <si>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</si>
  <si>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</si>
  <si>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</si>
  <si>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</si>
  <si>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</si>
  <si>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</si>
  <si>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</si>
  <si>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</si>
  <si>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</si>
  <si>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</si>
  <si>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</si>
  <si>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</si>
  <si>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</si>
  <si>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</si>
  <si>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</si>
  <si>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</si>
  <si>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</si>
  <si>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</si>
  <si>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</si>
  <si>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</si>
  <si>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</si>
  <si>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</si>
  <si>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</si>
  <si>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</si>
  <si>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</si>
  <si>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</si>
  <si>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</si>
  <si>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</si>
  <si>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</si>
  <si>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</si>
  <si>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</si>
  <si>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FILTRE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</si>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</sst>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* #,##0.00\ _€_-;\-* #,##0.00\ _€_-;_-* &quot;-&quot;??\ _€_-;_-@_-"/>
    <numFmt numFmtId="165" formatCode="_ * #,##0.00_)_ ;_ * \(#,##0.00\)_ ;_ * &quot;-&quot;??_)_ ;_ @_ "/>
    <numFmt numFmtId="166" formatCode="_-* #,##0.00\ &quot;€&quot;_-;\-* #,##0.00\ &quot;€&quot;_-;_-* &quot;-&quot;??\ &quot;€&quot;_-;_-@_-"/>
    <numFmt numFmtId="167" formatCode="dd/mm/yy;@"/>
    <numFmt numFmtId="168" formatCode="[$-809]dd\ mmmm\ yyyy;@"/>
    <numFmt numFmtId="169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88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64" fontId="2" fillId="2" borderId="2" xfId="2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 wrapText="1"/>
    </xf>
    <xf numFmtId="164" fontId="2" fillId="2" borderId="3" xfId="2" applyNumberFormat="1" applyFont="1" applyFill="1" applyBorder="1" applyAlignment="1">
      <alignment horizontal="center" vertical="center" wrapText="1"/>
    </xf>
    <xf numFmtId="164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7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4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4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4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4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8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4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4" fontId="14" fillId="3" borderId="13" xfId="2" applyNumberFormat="1" applyFont="1" applyFill="1" applyBorder="1" applyAlignment="1">
      <alignment horizontal="center" vertical="center" wrapText="1"/>
    </xf>
    <xf numFmtId="164" fontId="14" fillId="3" borderId="4" xfId="4" applyNumberFormat="1" applyFont="1" applyFill="1" applyBorder="1" applyAlignment="1">
      <alignment horizontal="center" vertical="center" wrapText="1"/>
    </xf>
    <xf numFmtId="164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69" fontId="0" fillId="0" borderId="7" xfId="0" applyNumberFormat="1" applyBorder="1" applyAlignment="1">
      <alignment horizontal="center"/>
    </xf>
    <xf numFmtId="165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5" fontId="0" fillId="0" borderId="7" xfId="2" applyFont="1" applyFill="1" applyBorder="1" applyAlignment="1">
      <alignment horizontal="center"/>
    </xf>
    <xf numFmtId="165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43" fontId="0" fillId="0" borderId="7" xfId="1" applyFont="1" applyBorder="1" applyAlignment="1">
      <alignment horizontal="center"/>
    </xf>
    <xf numFmtId="43" fontId="0" fillId="0" borderId="7" xfId="1" applyFont="1" applyBorder="1" applyAlignment="1">
      <alignment horizontal="right"/>
    </xf>
    <xf numFmtId="43" fontId="3" fillId="0" borderId="7" xfId="1" applyFont="1" applyBorder="1" applyAlignment="1">
      <alignment horizontal="right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742"/>
  <sheetViews>
    <sheetView tabSelected="1" topLeftCell="A3505" workbookViewId="0">
      <selection activeCell="C3524" sqref="C3524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70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4544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7" t="s">
        <v>24</v>
      </c>
      <c r="AA1" s="9" t="s">
        <v>25</v>
      </c>
    </row>
    <row r="2" spans="1:27" x14ac:dyDescent="0.25">
      <c r="A2" s="10">
        <v>45658</v>
      </c>
      <c r="B2" s="11" t="s">
        <v>713</v>
      </c>
      <c r="C2" s="11" t="s">
        <v>1067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4439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85">
        <v>87</v>
      </c>
      <c r="P2" s="85" t="s">
        <v>30</v>
      </c>
      <c r="Q2" s="85">
        <v>0</v>
      </c>
      <c r="R2" s="29">
        <v>3660.96</v>
      </c>
      <c r="S2" s="86">
        <v>38</v>
      </c>
      <c r="T2" s="86">
        <v>1599.04</v>
      </c>
      <c r="U2" s="86">
        <v>2061.92</v>
      </c>
      <c r="V2" s="86">
        <v>2061.92</v>
      </c>
      <c r="W2" s="86">
        <v>0</v>
      </c>
      <c r="X2" s="86">
        <v>1514.8799999999999</v>
      </c>
      <c r="Y2" s="87">
        <v>84.160000000000082</v>
      </c>
      <c r="Z2" s="69" t="s">
        <v>141</v>
      </c>
      <c r="AA2" s="12" t="s">
        <v>78</v>
      </c>
    </row>
    <row r="3" spans="1:27" x14ac:dyDescent="0.25">
      <c r="A3" s="10">
        <v>45658</v>
      </c>
      <c r="B3" s="11" t="s">
        <v>1068</v>
      </c>
      <c r="C3" s="11" t="s">
        <v>1069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6345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85">
        <v>42.5</v>
      </c>
      <c r="P3" s="85"/>
      <c r="Q3" s="85">
        <v>0</v>
      </c>
      <c r="R3" s="29">
        <v>1682.1499999999999</v>
      </c>
      <c r="S3" s="86">
        <v>0</v>
      </c>
      <c r="T3" s="86">
        <v>0</v>
      </c>
      <c r="U3" s="86">
        <v>1682.1499999999999</v>
      </c>
      <c r="V3" s="86">
        <v>0</v>
      </c>
      <c r="W3" s="86">
        <v>1682.1499999999999</v>
      </c>
      <c r="X3" s="86">
        <v>0</v>
      </c>
      <c r="Y3" s="87">
        <v>0</v>
      </c>
      <c r="Z3" s="69" t="s">
        <v>26</v>
      </c>
      <c r="AA3" s="12" t="s">
        <v>31</v>
      </c>
    </row>
    <row r="4" spans="1:27" x14ac:dyDescent="0.25">
      <c r="A4" s="10">
        <v>45658</v>
      </c>
      <c r="B4" s="11" t="s">
        <v>1070</v>
      </c>
      <c r="C4" s="11" t="s">
        <v>1071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4441</v>
      </c>
      <c r="I4" s="12" t="s">
        <v>27</v>
      </c>
      <c r="J4" s="12" t="s">
        <v>33</v>
      </c>
      <c r="K4" s="12" t="s">
        <v>657</v>
      </c>
      <c r="L4" s="13">
        <v>35.56</v>
      </c>
      <c r="M4" s="13">
        <v>24</v>
      </c>
      <c r="N4" s="13">
        <v>1.4816666666666669</v>
      </c>
      <c r="O4" s="85">
        <v>88</v>
      </c>
      <c r="P4" s="85" t="s">
        <v>30</v>
      </c>
      <c r="Q4" s="85">
        <v>0</v>
      </c>
      <c r="R4" s="29">
        <v>3129.28</v>
      </c>
      <c r="S4" s="86">
        <v>41</v>
      </c>
      <c r="T4" s="86">
        <v>1457.96</v>
      </c>
      <c r="U4" s="86">
        <v>1671.3200000000002</v>
      </c>
      <c r="V4" s="86">
        <v>1671.3200000000002</v>
      </c>
      <c r="W4" s="86">
        <v>0</v>
      </c>
      <c r="X4" s="86">
        <v>1422.4</v>
      </c>
      <c r="Y4" s="87">
        <v>35.559999999999945</v>
      </c>
      <c r="Z4" s="69" t="s">
        <v>141</v>
      </c>
      <c r="AA4" s="12" t="s">
        <v>747</v>
      </c>
    </row>
    <row r="5" spans="1:27" x14ac:dyDescent="0.25">
      <c r="A5" s="10">
        <v>45658</v>
      </c>
      <c r="B5" s="11" t="s">
        <v>1072</v>
      </c>
      <c r="C5" s="11" t="s">
        <v>1073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4439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85">
        <v>87</v>
      </c>
      <c r="P5" s="85" t="s">
        <v>30</v>
      </c>
      <c r="Q5" s="85">
        <v>0</v>
      </c>
      <c r="R5" s="29">
        <v>3554.82</v>
      </c>
      <c r="S5" s="86">
        <v>38</v>
      </c>
      <c r="T5" s="86">
        <v>1552.68</v>
      </c>
      <c r="U5" s="86">
        <v>2002.14</v>
      </c>
      <c r="V5" s="86">
        <v>2002.14</v>
      </c>
      <c r="W5" s="86">
        <v>0</v>
      </c>
      <c r="X5" s="86">
        <v>1470.96</v>
      </c>
      <c r="Y5" s="87">
        <v>81.720000000000027</v>
      </c>
      <c r="Z5" s="69" t="s">
        <v>141</v>
      </c>
      <c r="AA5" s="12" t="s">
        <v>78</v>
      </c>
    </row>
    <row r="6" spans="1:27" x14ac:dyDescent="0.25">
      <c r="A6" s="10">
        <v>45658</v>
      </c>
      <c r="B6" s="11" t="s">
        <v>1074</v>
      </c>
      <c r="C6" s="11" t="s">
        <v>1075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4439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85">
        <v>85</v>
      </c>
      <c r="P6" s="85" t="s">
        <v>30</v>
      </c>
      <c r="Q6" s="85">
        <v>0</v>
      </c>
      <c r="R6" s="86">
        <v>3595.4999999999995</v>
      </c>
      <c r="S6" s="86">
        <v>38</v>
      </c>
      <c r="T6" s="86">
        <v>1607.3999999999999</v>
      </c>
      <c r="U6" s="86">
        <v>1988.0999999999997</v>
      </c>
      <c r="V6" s="86">
        <v>1988.0999999999997</v>
      </c>
      <c r="W6" s="86">
        <v>0</v>
      </c>
      <c r="X6" s="86">
        <v>1522.8</v>
      </c>
      <c r="Y6" s="87">
        <v>84.599999999999909</v>
      </c>
      <c r="Z6" s="69" t="s">
        <v>141</v>
      </c>
      <c r="AA6" s="12" t="s">
        <v>78</v>
      </c>
    </row>
    <row r="7" spans="1:27" x14ac:dyDescent="0.25">
      <c r="A7" s="10">
        <v>45658</v>
      </c>
      <c r="B7" s="11" t="s">
        <v>1076</v>
      </c>
      <c r="C7" s="11" t="s">
        <v>1077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4439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85">
        <v>85</v>
      </c>
      <c r="P7" s="85" t="s">
        <v>30</v>
      </c>
      <c r="Q7" s="85">
        <v>0</v>
      </c>
      <c r="R7" s="29">
        <v>3575.1000000000004</v>
      </c>
      <c r="S7" s="86">
        <v>38</v>
      </c>
      <c r="T7" s="86">
        <v>1598.2800000000002</v>
      </c>
      <c r="U7" s="86">
        <v>1976.8200000000002</v>
      </c>
      <c r="V7" s="86">
        <v>1976.8200000000002</v>
      </c>
      <c r="W7" s="86">
        <v>0</v>
      </c>
      <c r="X7" s="87">
        <v>1556.22</v>
      </c>
      <c r="Y7" s="87">
        <v>42.060000000000173</v>
      </c>
      <c r="Z7" s="69" t="s">
        <v>41</v>
      </c>
      <c r="AA7" s="12" t="s">
        <v>78</v>
      </c>
    </row>
    <row r="8" spans="1:27" x14ac:dyDescent="0.25">
      <c r="A8" s="10">
        <v>45658</v>
      </c>
      <c r="B8" s="11" t="s">
        <v>313</v>
      </c>
      <c r="C8" s="11" t="s">
        <v>1078</v>
      </c>
      <c r="D8" s="11" t="s">
        <v>26</v>
      </c>
      <c r="E8" s="11" t="s">
        <v>1079</v>
      </c>
      <c r="F8" s="11" t="s">
        <v>26</v>
      </c>
      <c r="G8" s="11">
        <v>111846</v>
      </c>
      <c r="H8" s="12" t="s">
        <v>4463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85">
        <v>44</v>
      </c>
      <c r="P8" s="85" t="s">
        <v>30</v>
      </c>
      <c r="Q8" s="85">
        <v>0</v>
      </c>
      <c r="R8" s="29">
        <v>1547.04</v>
      </c>
      <c r="S8" s="86">
        <v>0</v>
      </c>
      <c r="T8" s="86">
        <v>0</v>
      </c>
      <c r="U8" s="86">
        <v>1547.04</v>
      </c>
      <c r="V8" s="86">
        <v>1547.04</v>
      </c>
      <c r="W8" s="86">
        <v>0</v>
      </c>
      <c r="X8" s="87">
        <v>0</v>
      </c>
      <c r="Y8" s="87">
        <v>0</v>
      </c>
      <c r="Z8" s="69" t="s">
        <v>26</v>
      </c>
      <c r="AA8" s="12" t="s">
        <v>31</v>
      </c>
    </row>
    <row r="9" spans="1:27" x14ac:dyDescent="0.25">
      <c r="A9" s="10">
        <v>45658</v>
      </c>
      <c r="B9" s="11" t="s">
        <v>286</v>
      </c>
      <c r="C9" s="11" t="s">
        <v>1080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85">
        <v>40</v>
      </c>
      <c r="P9" s="85"/>
      <c r="Q9" s="85">
        <v>0</v>
      </c>
      <c r="R9" s="29">
        <v>1687.2</v>
      </c>
      <c r="S9" s="86">
        <v>0</v>
      </c>
      <c r="T9" s="86">
        <v>0</v>
      </c>
      <c r="U9" s="86">
        <v>1687.2</v>
      </c>
      <c r="V9" s="86">
        <v>0</v>
      </c>
      <c r="W9" s="86">
        <v>1687.2</v>
      </c>
      <c r="X9" s="86">
        <v>0</v>
      </c>
      <c r="Y9" s="87">
        <v>0</v>
      </c>
      <c r="Z9" s="69" t="s">
        <v>26</v>
      </c>
      <c r="AA9" s="12" t="s">
        <v>31</v>
      </c>
    </row>
    <row r="10" spans="1:27" x14ac:dyDescent="0.25">
      <c r="A10" s="10">
        <v>45658</v>
      </c>
      <c r="B10" s="11" t="s">
        <v>664</v>
      </c>
      <c r="C10" s="11" t="s">
        <v>1081</v>
      </c>
      <c r="D10" s="11" t="s">
        <v>26</v>
      </c>
      <c r="E10" s="11" t="s">
        <v>1082</v>
      </c>
      <c r="F10" s="11" t="s">
        <v>26</v>
      </c>
      <c r="G10" s="11">
        <v>111848</v>
      </c>
      <c r="H10" s="12" t="s">
        <v>4463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85">
        <v>42</v>
      </c>
      <c r="P10" s="85" t="s">
        <v>30</v>
      </c>
      <c r="Q10" s="85">
        <v>0</v>
      </c>
      <c r="R10" s="29">
        <v>1753.0800000000002</v>
      </c>
      <c r="S10" s="86">
        <v>0</v>
      </c>
      <c r="T10" s="86">
        <v>0</v>
      </c>
      <c r="U10" s="86">
        <v>1753.0800000000002</v>
      </c>
      <c r="V10" s="86">
        <v>1753.0800000000002</v>
      </c>
      <c r="W10" s="86">
        <v>0</v>
      </c>
      <c r="X10" s="87">
        <v>0</v>
      </c>
      <c r="Y10" s="87">
        <v>0</v>
      </c>
      <c r="Z10" s="69" t="s">
        <v>26</v>
      </c>
      <c r="AA10" s="12" t="s">
        <v>31</v>
      </c>
    </row>
    <row r="11" spans="1:27" x14ac:dyDescent="0.25">
      <c r="A11" s="10">
        <v>45658</v>
      </c>
      <c r="B11" s="11" t="s">
        <v>1083</v>
      </c>
      <c r="C11" s="11" t="s">
        <v>1084</v>
      </c>
      <c r="D11" s="11" t="s">
        <v>26</v>
      </c>
      <c r="E11" s="11" t="s">
        <v>1085</v>
      </c>
      <c r="F11" s="11" t="s">
        <v>26</v>
      </c>
      <c r="G11" s="11">
        <v>111847</v>
      </c>
      <c r="H11" s="12" t="s">
        <v>4463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85">
        <v>42</v>
      </c>
      <c r="P11" s="85" t="s">
        <v>30</v>
      </c>
      <c r="Q11" s="85">
        <v>0</v>
      </c>
      <c r="R11" s="86">
        <v>1677.48</v>
      </c>
      <c r="S11" s="86">
        <v>0</v>
      </c>
      <c r="T11" s="86">
        <v>0</v>
      </c>
      <c r="U11" s="86">
        <v>1677.48</v>
      </c>
      <c r="V11" s="86">
        <v>1677.48</v>
      </c>
      <c r="W11" s="86">
        <v>0</v>
      </c>
      <c r="X11" s="86">
        <v>0</v>
      </c>
      <c r="Y11" s="87">
        <v>0</v>
      </c>
      <c r="Z11" s="69" t="s">
        <v>26</v>
      </c>
      <c r="AA11" s="12" t="s">
        <v>31</v>
      </c>
    </row>
    <row r="12" spans="1:27" x14ac:dyDescent="0.25">
      <c r="A12" s="10">
        <v>45658</v>
      </c>
      <c r="B12" s="11" t="s">
        <v>1086</v>
      </c>
      <c r="C12" s="11" t="s">
        <v>1087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4439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85">
        <v>83</v>
      </c>
      <c r="P12" s="85" t="s">
        <v>30</v>
      </c>
      <c r="Q12" s="85">
        <v>0</v>
      </c>
      <c r="R12" s="29">
        <v>3539.12</v>
      </c>
      <c r="S12" s="86">
        <v>38</v>
      </c>
      <c r="T12" s="86">
        <v>1620.32</v>
      </c>
      <c r="U12" s="86">
        <v>1918.8</v>
      </c>
      <c r="V12" s="86">
        <v>1918.8</v>
      </c>
      <c r="W12" s="86">
        <v>0</v>
      </c>
      <c r="X12" s="86">
        <v>1577.68</v>
      </c>
      <c r="Y12" s="87">
        <v>42.639999999999873</v>
      </c>
      <c r="Z12" s="69" t="s">
        <v>41</v>
      </c>
      <c r="AA12" s="12" t="s">
        <v>78</v>
      </c>
    </row>
    <row r="13" spans="1:27" x14ac:dyDescent="0.25">
      <c r="A13" s="10">
        <v>45658</v>
      </c>
      <c r="B13" s="11" t="s">
        <v>1088</v>
      </c>
      <c r="C13" s="11" t="s">
        <v>1089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4465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85">
        <v>15</v>
      </c>
      <c r="P13" s="85" t="s">
        <v>30</v>
      </c>
      <c r="Q13" s="85">
        <v>0</v>
      </c>
      <c r="R13" s="29">
        <v>562.5</v>
      </c>
      <c r="S13" s="86">
        <v>0</v>
      </c>
      <c r="T13" s="86">
        <v>0</v>
      </c>
      <c r="U13" s="86">
        <v>562.5</v>
      </c>
      <c r="V13" s="86">
        <v>421.875</v>
      </c>
      <c r="W13" s="86">
        <v>140.625</v>
      </c>
      <c r="X13" s="86">
        <v>0</v>
      </c>
      <c r="Y13" s="87">
        <v>0</v>
      </c>
      <c r="Z13" s="69" t="s">
        <v>26</v>
      </c>
      <c r="AA13" s="12" t="s">
        <v>31</v>
      </c>
    </row>
    <row r="14" spans="1:27" x14ac:dyDescent="0.25">
      <c r="A14" s="10">
        <v>45658</v>
      </c>
      <c r="B14" s="11" t="s">
        <v>1090</v>
      </c>
      <c r="C14" s="11" t="s">
        <v>1091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4465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85">
        <v>15</v>
      </c>
      <c r="P14" s="85" t="s">
        <v>30</v>
      </c>
      <c r="Q14" s="85">
        <v>0</v>
      </c>
      <c r="R14" s="86">
        <v>561</v>
      </c>
      <c r="S14" s="86">
        <v>0</v>
      </c>
      <c r="T14" s="86">
        <v>0</v>
      </c>
      <c r="U14" s="86">
        <v>561</v>
      </c>
      <c r="V14" s="86">
        <v>420.75</v>
      </c>
      <c r="W14" s="86">
        <v>140.25</v>
      </c>
      <c r="X14" s="86">
        <v>0</v>
      </c>
      <c r="Y14" s="87">
        <v>0</v>
      </c>
      <c r="Z14" s="69" t="s">
        <v>26</v>
      </c>
      <c r="AA14" s="12" t="s">
        <v>31</v>
      </c>
    </row>
    <row r="15" spans="1:27" x14ac:dyDescent="0.25">
      <c r="A15" s="10">
        <v>45658</v>
      </c>
      <c r="B15" s="11" t="s">
        <v>641</v>
      </c>
      <c r="C15" s="11" t="s">
        <v>1092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4465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85">
        <v>15</v>
      </c>
      <c r="P15" s="85" t="s">
        <v>30</v>
      </c>
      <c r="Q15" s="85">
        <v>0</v>
      </c>
      <c r="R15" s="29">
        <v>573.9</v>
      </c>
      <c r="S15" s="86">
        <v>0</v>
      </c>
      <c r="T15" s="86">
        <v>0</v>
      </c>
      <c r="U15" s="86">
        <v>573.9</v>
      </c>
      <c r="V15" s="86">
        <v>430.42499999999995</v>
      </c>
      <c r="W15" s="86">
        <v>143.47500000000002</v>
      </c>
      <c r="X15" s="86">
        <v>0</v>
      </c>
      <c r="Y15" s="87">
        <v>0</v>
      </c>
      <c r="Z15" s="69" t="s">
        <v>26</v>
      </c>
      <c r="AA15" s="12" t="s">
        <v>31</v>
      </c>
    </row>
    <row r="16" spans="1:27" x14ac:dyDescent="0.25">
      <c r="A16" s="10">
        <v>45658</v>
      </c>
      <c r="B16" s="11" t="s">
        <v>1093</v>
      </c>
      <c r="C16" s="11" t="s">
        <v>1094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4463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85">
        <v>42</v>
      </c>
      <c r="P16" s="85" t="s">
        <v>30</v>
      </c>
      <c r="Q16" s="85">
        <v>0</v>
      </c>
      <c r="R16" s="86">
        <v>1656.48</v>
      </c>
      <c r="S16" s="86">
        <v>0</v>
      </c>
      <c r="T16" s="86">
        <v>0</v>
      </c>
      <c r="U16" s="86">
        <v>1656.48</v>
      </c>
      <c r="V16" s="86">
        <v>1656.48</v>
      </c>
      <c r="W16" s="86">
        <v>0</v>
      </c>
      <c r="X16" s="86">
        <v>0</v>
      </c>
      <c r="Y16" s="87">
        <v>0</v>
      </c>
      <c r="Z16" s="69" t="s">
        <v>26</v>
      </c>
      <c r="AA16" s="12" t="s">
        <v>31</v>
      </c>
    </row>
    <row r="17" spans="1:27" x14ac:dyDescent="0.25">
      <c r="A17" s="10">
        <v>45658</v>
      </c>
      <c r="B17" s="11" t="s">
        <v>1095</v>
      </c>
      <c r="C17" s="11" t="s">
        <v>1096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85" t="s">
        <v>30</v>
      </c>
      <c r="P17" s="85">
        <v>62</v>
      </c>
      <c r="Q17" s="85">
        <v>0</v>
      </c>
      <c r="R17" s="29">
        <v>1550</v>
      </c>
      <c r="S17" s="86">
        <v>0</v>
      </c>
      <c r="T17" s="86">
        <v>0</v>
      </c>
      <c r="U17" s="86">
        <v>1550</v>
      </c>
      <c r="V17" s="86">
        <v>0</v>
      </c>
      <c r="W17" s="86">
        <v>1550</v>
      </c>
      <c r="X17" s="86">
        <v>0</v>
      </c>
      <c r="Y17" s="87">
        <v>0</v>
      </c>
      <c r="Z17" s="69" t="s">
        <v>26</v>
      </c>
      <c r="AA17" s="12" t="s">
        <v>31</v>
      </c>
    </row>
    <row r="18" spans="1:27" x14ac:dyDescent="0.25">
      <c r="A18" s="10">
        <v>45658</v>
      </c>
      <c r="B18" s="11" t="s">
        <v>1097</v>
      </c>
      <c r="C18" s="11" t="s">
        <v>1098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85" t="s">
        <v>30</v>
      </c>
      <c r="P18" s="85">
        <v>24</v>
      </c>
      <c r="Q18" s="85">
        <v>0</v>
      </c>
      <c r="R18" s="29">
        <v>456</v>
      </c>
      <c r="S18" s="86">
        <v>0</v>
      </c>
      <c r="T18" s="86">
        <v>0</v>
      </c>
      <c r="U18" s="86">
        <v>456</v>
      </c>
      <c r="V18" s="86">
        <v>0</v>
      </c>
      <c r="W18" s="86">
        <v>456</v>
      </c>
      <c r="X18" s="86">
        <v>0</v>
      </c>
      <c r="Y18" s="87">
        <v>0</v>
      </c>
      <c r="Z18" s="69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1099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85" t="s">
        <v>30</v>
      </c>
      <c r="P19" s="85">
        <v>62</v>
      </c>
      <c r="Q19" s="85">
        <v>0</v>
      </c>
      <c r="R19" s="29">
        <v>1550</v>
      </c>
      <c r="S19" s="86">
        <v>0</v>
      </c>
      <c r="T19" s="86">
        <v>0</v>
      </c>
      <c r="U19" s="86">
        <v>1550</v>
      </c>
      <c r="V19" s="86">
        <v>0</v>
      </c>
      <c r="W19" s="86">
        <v>1550</v>
      </c>
      <c r="X19" s="86">
        <v>0</v>
      </c>
      <c r="Y19" s="87">
        <v>0</v>
      </c>
      <c r="Z19" s="69" t="s">
        <v>26</v>
      </c>
      <c r="AA19" s="12" t="s">
        <v>31</v>
      </c>
    </row>
    <row r="20" spans="1:27" x14ac:dyDescent="0.25">
      <c r="A20" s="10">
        <v>45658</v>
      </c>
      <c r="B20" s="11" t="s">
        <v>1100</v>
      </c>
      <c r="C20" s="11" t="s">
        <v>1101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85">
        <v>15</v>
      </c>
      <c r="P20" s="85" t="s">
        <v>30</v>
      </c>
      <c r="Q20" s="85">
        <v>0</v>
      </c>
      <c r="R20" s="86">
        <v>567.29999999999995</v>
      </c>
      <c r="S20" s="86">
        <v>0</v>
      </c>
      <c r="T20" s="86">
        <v>0</v>
      </c>
      <c r="U20" s="86">
        <v>567.29999999999995</v>
      </c>
      <c r="V20" s="86">
        <v>0</v>
      </c>
      <c r="W20" s="86">
        <v>567.29999999999995</v>
      </c>
      <c r="X20" s="86">
        <v>0</v>
      </c>
      <c r="Y20" s="87">
        <v>0</v>
      </c>
      <c r="Z20" s="69" t="s">
        <v>26</v>
      </c>
      <c r="AA20" s="12" t="s">
        <v>31</v>
      </c>
    </row>
    <row r="21" spans="1:27" x14ac:dyDescent="0.25">
      <c r="A21" s="10">
        <v>45658</v>
      </c>
      <c r="B21" s="11" t="s">
        <v>1102</v>
      </c>
      <c r="C21" s="11" t="s">
        <v>1103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4439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85">
        <v>83</v>
      </c>
      <c r="P21" s="85" t="s">
        <v>30</v>
      </c>
      <c r="Q21" s="85">
        <v>0</v>
      </c>
      <c r="R21" s="29">
        <v>3542.44</v>
      </c>
      <c r="S21" s="86">
        <v>38</v>
      </c>
      <c r="T21" s="86">
        <v>1621.84</v>
      </c>
      <c r="U21" s="86">
        <v>1920.6000000000001</v>
      </c>
      <c r="V21" s="86">
        <v>1920.6000000000001</v>
      </c>
      <c r="W21" s="86">
        <v>0</v>
      </c>
      <c r="X21" s="86">
        <v>1536.48</v>
      </c>
      <c r="Y21" s="87">
        <v>85.3599999999999</v>
      </c>
      <c r="Z21" s="69" t="s">
        <v>141</v>
      </c>
      <c r="AA21" s="12" t="s">
        <v>78</v>
      </c>
    </row>
    <row r="22" spans="1:27" x14ac:dyDescent="0.25">
      <c r="A22" s="10">
        <v>45658</v>
      </c>
      <c r="B22" s="11" t="s">
        <v>1104</v>
      </c>
      <c r="C22" s="11" t="s">
        <v>1105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85" t="s">
        <v>30</v>
      </c>
      <c r="P22" s="85">
        <v>24</v>
      </c>
      <c r="Q22" s="85">
        <v>0</v>
      </c>
      <c r="R22" s="29">
        <v>456</v>
      </c>
      <c r="S22" s="86">
        <v>0</v>
      </c>
      <c r="T22" s="86">
        <v>0</v>
      </c>
      <c r="U22" s="86">
        <v>456</v>
      </c>
      <c r="V22" s="86">
        <v>0</v>
      </c>
      <c r="W22" s="86">
        <v>456</v>
      </c>
      <c r="X22" s="86">
        <v>0</v>
      </c>
      <c r="Y22" s="87">
        <v>0</v>
      </c>
      <c r="Z22" s="69" t="s">
        <v>26</v>
      </c>
      <c r="AA22" s="12" t="s">
        <v>31</v>
      </c>
    </row>
    <row r="23" spans="1:27" x14ac:dyDescent="0.25">
      <c r="A23" s="10">
        <v>45658</v>
      </c>
      <c r="B23" s="11" t="s">
        <v>352</v>
      </c>
      <c r="C23" s="11" t="s">
        <v>1106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85">
        <v>15</v>
      </c>
      <c r="P23" s="85" t="s">
        <v>30</v>
      </c>
      <c r="Q23" s="85">
        <v>0</v>
      </c>
      <c r="R23" s="29">
        <v>572.4</v>
      </c>
      <c r="S23" s="86">
        <v>0</v>
      </c>
      <c r="T23" s="86">
        <v>0</v>
      </c>
      <c r="U23" s="86">
        <v>572.4</v>
      </c>
      <c r="V23" s="86">
        <v>0</v>
      </c>
      <c r="W23" s="86">
        <v>572.4</v>
      </c>
      <c r="X23" s="86">
        <v>0</v>
      </c>
      <c r="Y23" s="87">
        <v>0</v>
      </c>
      <c r="Z23" s="69" t="s">
        <v>26</v>
      </c>
      <c r="AA23" s="12" t="s">
        <v>31</v>
      </c>
    </row>
    <row r="24" spans="1:27" x14ac:dyDescent="0.25">
      <c r="A24" s="10">
        <v>45658</v>
      </c>
      <c r="B24" s="11" t="s">
        <v>1107</v>
      </c>
      <c r="C24" s="11" t="s">
        <v>1108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4439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85">
        <v>83</v>
      </c>
      <c r="P24" s="85" t="s">
        <v>30</v>
      </c>
      <c r="Q24" s="85">
        <v>0</v>
      </c>
      <c r="R24" s="29">
        <v>3710.1000000000004</v>
      </c>
      <c r="S24" s="86">
        <v>38</v>
      </c>
      <c r="T24" s="86">
        <v>1698.6000000000001</v>
      </c>
      <c r="U24" s="86">
        <v>2011.5000000000002</v>
      </c>
      <c r="V24" s="86">
        <v>2011.5000000000002</v>
      </c>
      <c r="W24" s="86">
        <v>0</v>
      </c>
      <c r="X24" s="86">
        <v>1653.9</v>
      </c>
      <c r="Y24" s="87">
        <v>44.700000000000045</v>
      </c>
      <c r="Z24" s="69" t="s">
        <v>41</v>
      </c>
      <c r="AA24" s="12" t="s">
        <v>78</v>
      </c>
    </row>
    <row r="25" spans="1:27" x14ac:dyDescent="0.25">
      <c r="A25" s="10">
        <v>45658</v>
      </c>
      <c r="B25" s="11" t="s">
        <v>671</v>
      </c>
      <c r="C25" s="11" t="s">
        <v>1109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85">
        <v>15</v>
      </c>
      <c r="P25" s="85" t="s">
        <v>30</v>
      </c>
      <c r="Q25" s="85">
        <v>0</v>
      </c>
      <c r="R25" s="29">
        <v>573.9</v>
      </c>
      <c r="S25" s="86">
        <v>0</v>
      </c>
      <c r="T25" s="86">
        <v>0</v>
      </c>
      <c r="U25" s="86">
        <v>573.9</v>
      </c>
      <c r="V25" s="86">
        <v>0</v>
      </c>
      <c r="W25" s="86">
        <v>573.9</v>
      </c>
      <c r="X25" s="86">
        <v>0</v>
      </c>
      <c r="Y25" s="87">
        <v>0</v>
      </c>
      <c r="Z25" s="69" t="s">
        <v>26</v>
      </c>
      <c r="AA25" s="12" t="s">
        <v>31</v>
      </c>
    </row>
    <row r="26" spans="1:27" x14ac:dyDescent="0.25">
      <c r="A26" s="10">
        <v>45658</v>
      </c>
      <c r="B26" s="11" t="s">
        <v>1110</v>
      </c>
      <c r="C26" s="11" t="s">
        <v>1111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4439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85">
        <v>83</v>
      </c>
      <c r="P26" s="85" t="s">
        <v>30</v>
      </c>
      <c r="Q26" s="85">
        <v>0</v>
      </c>
      <c r="R26" s="86">
        <v>3666.94</v>
      </c>
      <c r="S26" s="86">
        <v>38</v>
      </c>
      <c r="T26" s="86">
        <v>1678.84</v>
      </c>
      <c r="U26" s="86">
        <v>1988.1000000000001</v>
      </c>
      <c r="V26" s="86">
        <v>1988.1000000000001</v>
      </c>
      <c r="W26" s="86">
        <v>0</v>
      </c>
      <c r="X26" s="86">
        <v>1634.66</v>
      </c>
      <c r="Y26" s="87">
        <v>44.179999999999836</v>
      </c>
      <c r="Z26" s="69" t="s">
        <v>41</v>
      </c>
      <c r="AA26" s="12" t="s">
        <v>78</v>
      </c>
    </row>
    <row r="27" spans="1:27" x14ac:dyDescent="0.25">
      <c r="A27" s="10">
        <v>45658</v>
      </c>
      <c r="B27" s="11" t="s">
        <v>256</v>
      </c>
      <c r="C27" s="11" t="s">
        <v>1112</v>
      </c>
      <c r="D27" s="11" t="s">
        <v>26</v>
      </c>
      <c r="E27" s="11" t="s">
        <v>1113</v>
      </c>
      <c r="F27" s="11" t="s">
        <v>26</v>
      </c>
      <c r="G27" s="11">
        <v>111845</v>
      </c>
      <c r="H27" s="12" t="s">
        <v>4463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85">
        <v>42</v>
      </c>
      <c r="P27" s="85" t="s">
        <v>30</v>
      </c>
      <c r="Q27" s="85">
        <v>0</v>
      </c>
      <c r="R27" s="86">
        <v>1665.7199999999998</v>
      </c>
      <c r="S27" s="86">
        <v>0</v>
      </c>
      <c r="T27" s="86">
        <v>0</v>
      </c>
      <c r="U27" s="86">
        <v>1665.7199999999998</v>
      </c>
      <c r="V27" s="86">
        <v>1665.7199999999998</v>
      </c>
      <c r="W27" s="86">
        <v>0</v>
      </c>
      <c r="X27" s="86">
        <v>0</v>
      </c>
      <c r="Y27" s="87">
        <v>0</v>
      </c>
      <c r="Z27" s="69" t="s">
        <v>26</v>
      </c>
      <c r="AA27" s="12" t="s">
        <v>31</v>
      </c>
    </row>
    <row r="28" spans="1:27" x14ac:dyDescent="0.25">
      <c r="A28" s="10">
        <v>45658</v>
      </c>
      <c r="B28" s="11" t="s">
        <v>1114</v>
      </c>
      <c r="C28" s="11" t="s">
        <v>1115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85" t="s">
        <v>30</v>
      </c>
      <c r="P28" s="85">
        <v>62</v>
      </c>
      <c r="Q28" s="85">
        <v>0</v>
      </c>
      <c r="R28" s="29">
        <v>1550</v>
      </c>
      <c r="S28" s="86">
        <v>0</v>
      </c>
      <c r="T28" s="86">
        <v>0</v>
      </c>
      <c r="U28" s="86">
        <v>1550</v>
      </c>
      <c r="V28" s="86">
        <v>0</v>
      </c>
      <c r="W28" s="86">
        <v>1550</v>
      </c>
      <c r="X28" s="86">
        <v>0</v>
      </c>
      <c r="Y28" s="87">
        <v>0</v>
      </c>
      <c r="Z28" s="69" t="s">
        <v>26</v>
      </c>
      <c r="AA28" s="12" t="s">
        <v>31</v>
      </c>
    </row>
    <row r="29" spans="1:27" x14ac:dyDescent="0.25">
      <c r="A29" s="10">
        <v>45658</v>
      </c>
      <c r="B29" s="11" t="s">
        <v>1116</v>
      </c>
      <c r="C29" s="11" t="s">
        <v>1117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4463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85">
        <v>42</v>
      </c>
      <c r="P29" s="85" t="s">
        <v>30</v>
      </c>
      <c r="Q29" s="85">
        <v>0</v>
      </c>
      <c r="R29" s="29">
        <v>1609.44</v>
      </c>
      <c r="S29" s="86">
        <v>0</v>
      </c>
      <c r="T29" s="86">
        <v>0</v>
      </c>
      <c r="U29" s="86">
        <v>1609.44</v>
      </c>
      <c r="V29" s="86">
        <v>1609.44</v>
      </c>
      <c r="W29" s="86">
        <v>0</v>
      </c>
      <c r="X29" s="86">
        <v>0</v>
      </c>
      <c r="Y29" s="87">
        <v>0</v>
      </c>
      <c r="Z29" s="69" t="s">
        <v>26</v>
      </c>
      <c r="AA29" s="12" t="s">
        <v>31</v>
      </c>
    </row>
    <row r="30" spans="1:27" x14ac:dyDescent="0.25">
      <c r="A30" s="10">
        <v>45658</v>
      </c>
      <c r="B30" s="11" t="s">
        <v>1118</v>
      </c>
      <c r="C30" s="11" t="s">
        <v>1119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4463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85">
        <v>42</v>
      </c>
      <c r="P30" s="85" t="s">
        <v>30</v>
      </c>
      <c r="Q30" s="85">
        <v>0</v>
      </c>
      <c r="R30" s="29">
        <v>1682.52</v>
      </c>
      <c r="S30" s="86">
        <v>0</v>
      </c>
      <c r="T30" s="86">
        <v>0</v>
      </c>
      <c r="U30" s="86">
        <v>1682.52</v>
      </c>
      <c r="V30" s="86">
        <v>1682.52</v>
      </c>
      <c r="W30" s="86">
        <v>0</v>
      </c>
      <c r="X30" s="86">
        <v>0</v>
      </c>
      <c r="Y30" s="87">
        <v>0</v>
      </c>
      <c r="Z30" s="69" t="s">
        <v>26</v>
      </c>
      <c r="AA30" s="12" t="s">
        <v>31</v>
      </c>
    </row>
    <row r="31" spans="1:27" x14ac:dyDescent="0.25">
      <c r="A31" s="10">
        <v>45658</v>
      </c>
      <c r="B31" s="11" t="s">
        <v>335</v>
      </c>
      <c r="C31" s="11" t="s">
        <v>1120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4463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85">
        <v>42</v>
      </c>
      <c r="P31" s="85" t="s">
        <v>30</v>
      </c>
      <c r="Q31" s="85">
        <v>0</v>
      </c>
      <c r="R31" s="29">
        <v>1687.56</v>
      </c>
      <c r="S31" s="86">
        <v>0</v>
      </c>
      <c r="T31" s="86">
        <v>0</v>
      </c>
      <c r="U31" s="86">
        <v>1687.56</v>
      </c>
      <c r="V31" s="86">
        <v>1687.56</v>
      </c>
      <c r="W31" s="86">
        <v>0</v>
      </c>
      <c r="X31" s="86">
        <v>0</v>
      </c>
      <c r="Y31" s="87">
        <v>0</v>
      </c>
      <c r="Z31" s="69" t="s">
        <v>26</v>
      </c>
      <c r="AA31" s="12" t="s">
        <v>31</v>
      </c>
    </row>
    <row r="32" spans="1:27" x14ac:dyDescent="0.25">
      <c r="A32" s="10">
        <v>45658</v>
      </c>
      <c r="B32" s="11" t="s">
        <v>335</v>
      </c>
      <c r="C32" s="11" t="s">
        <v>1121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85" t="s">
        <v>30</v>
      </c>
      <c r="P32" s="85">
        <v>24</v>
      </c>
      <c r="Q32" s="85">
        <v>0</v>
      </c>
      <c r="R32" s="86">
        <v>600</v>
      </c>
      <c r="S32" s="86">
        <v>0</v>
      </c>
      <c r="T32" s="86">
        <v>0</v>
      </c>
      <c r="U32" s="86">
        <v>600</v>
      </c>
      <c r="V32" s="86">
        <v>0</v>
      </c>
      <c r="W32" s="86">
        <v>600</v>
      </c>
      <c r="X32" s="86">
        <v>0</v>
      </c>
      <c r="Y32" s="87">
        <v>0</v>
      </c>
      <c r="Z32" s="69" t="s">
        <v>26</v>
      </c>
      <c r="AA32" s="12" t="s">
        <v>31</v>
      </c>
    </row>
    <row r="33" spans="1:27" x14ac:dyDescent="0.25">
      <c r="A33" s="10">
        <v>45658</v>
      </c>
      <c r="B33" s="11" t="s">
        <v>1122</v>
      </c>
      <c r="C33" s="11" t="s">
        <v>1123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85">
        <v>37</v>
      </c>
      <c r="P33" s="85" t="s">
        <v>30</v>
      </c>
      <c r="Q33" s="29">
        <v>0</v>
      </c>
      <c r="R33" s="86">
        <v>1443</v>
      </c>
      <c r="S33" s="86">
        <v>0</v>
      </c>
      <c r="T33" s="86">
        <v>0</v>
      </c>
      <c r="U33" s="86">
        <v>1443</v>
      </c>
      <c r="V33" s="86">
        <v>0</v>
      </c>
      <c r="W33" s="86">
        <v>1443</v>
      </c>
      <c r="X33" s="86">
        <v>0</v>
      </c>
      <c r="Y33" s="87">
        <v>0</v>
      </c>
      <c r="Z33" s="69" t="s">
        <v>26</v>
      </c>
      <c r="AA33" s="12" t="s">
        <v>31</v>
      </c>
    </row>
    <row r="34" spans="1:27" x14ac:dyDescent="0.25">
      <c r="A34" s="10">
        <v>45658</v>
      </c>
      <c r="B34" s="11" t="s">
        <v>1124</v>
      </c>
      <c r="C34" s="11" t="s">
        <v>1125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85" t="s">
        <v>30</v>
      </c>
      <c r="P34" s="85">
        <v>58</v>
      </c>
      <c r="Q34" s="85">
        <v>0</v>
      </c>
      <c r="R34" s="29">
        <v>1450</v>
      </c>
      <c r="S34" s="86">
        <v>0</v>
      </c>
      <c r="T34" s="86">
        <v>0</v>
      </c>
      <c r="U34" s="86">
        <v>1450</v>
      </c>
      <c r="V34" s="86">
        <v>0</v>
      </c>
      <c r="W34" s="86">
        <v>1450</v>
      </c>
      <c r="X34" s="87">
        <v>0</v>
      </c>
      <c r="Y34" s="87">
        <v>0</v>
      </c>
      <c r="Z34" s="69" t="s">
        <v>26</v>
      </c>
      <c r="AA34" s="12" t="s">
        <v>31</v>
      </c>
    </row>
    <row r="35" spans="1:27" x14ac:dyDescent="0.25">
      <c r="A35" s="10">
        <v>45658</v>
      </c>
      <c r="B35" s="11" t="s">
        <v>1126</v>
      </c>
      <c r="C35" s="11" t="s">
        <v>1127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4439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85">
        <v>87</v>
      </c>
      <c r="P35" s="85" t="s">
        <v>30</v>
      </c>
      <c r="Q35" s="29">
        <v>0</v>
      </c>
      <c r="R35" s="86">
        <v>3786.2400000000002</v>
      </c>
      <c r="S35" s="86">
        <v>38</v>
      </c>
      <c r="T35" s="86">
        <v>1653.7600000000002</v>
      </c>
      <c r="U35" s="86">
        <v>2132.48</v>
      </c>
      <c r="V35" s="86">
        <v>2132.48</v>
      </c>
      <c r="W35" s="86">
        <v>0</v>
      </c>
      <c r="X35" s="86">
        <v>1610.24</v>
      </c>
      <c r="Y35" s="87">
        <v>43.520000000000209</v>
      </c>
      <c r="Z35" s="69" t="s">
        <v>41</v>
      </c>
      <c r="AA35" s="12" t="s">
        <v>78</v>
      </c>
    </row>
    <row r="36" spans="1:27" x14ac:dyDescent="0.25">
      <c r="A36" s="10">
        <v>45658</v>
      </c>
      <c r="B36" s="11" t="s">
        <v>1128</v>
      </c>
      <c r="C36" s="11" t="s">
        <v>1129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4463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85">
        <v>42</v>
      </c>
      <c r="P36" s="85" t="s">
        <v>30</v>
      </c>
      <c r="Q36" s="85">
        <v>0</v>
      </c>
      <c r="R36" s="29">
        <v>1767.36</v>
      </c>
      <c r="S36" s="86">
        <v>0</v>
      </c>
      <c r="T36" s="86">
        <v>0</v>
      </c>
      <c r="U36" s="86">
        <v>1767.36</v>
      </c>
      <c r="V36" s="86">
        <v>1767.36</v>
      </c>
      <c r="W36" s="86">
        <v>0</v>
      </c>
      <c r="X36" s="86">
        <v>0</v>
      </c>
      <c r="Y36" s="87">
        <v>0</v>
      </c>
      <c r="Z36" s="69" t="s">
        <v>26</v>
      </c>
      <c r="AA36" s="12" t="s">
        <v>31</v>
      </c>
    </row>
    <row r="37" spans="1:27" x14ac:dyDescent="0.25">
      <c r="A37" s="10">
        <v>45658</v>
      </c>
      <c r="B37" s="11" t="s">
        <v>647</v>
      </c>
      <c r="C37" s="11" t="s">
        <v>1130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4465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85">
        <v>15</v>
      </c>
      <c r="P37" s="85" t="s">
        <v>30</v>
      </c>
      <c r="Q37" s="29">
        <v>0</v>
      </c>
      <c r="R37" s="86">
        <v>553.80000000000007</v>
      </c>
      <c r="S37" s="86">
        <v>0</v>
      </c>
      <c r="T37" s="86">
        <v>0</v>
      </c>
      <c r="U37" s="86">
        <v>553.80000000000007</v>
      </c>
      <c r="V37" s="86">
        <v>415.35</v>
      </c>
      <c r="W37" s="86">
        <v>138.45000000000005</v>
      </c>
      <c r="X37" s="86">
        <v>0</v>
      </c>
      <c r="Y37" s="87">
        <v>0</v>
      </c>
      <c r="Z37" s="69" t="s">
        <v>26</v>
      </c>
      <c r="AA37" s="12" t="s">
        <v>31</v>
      </c>
    </row>
    <row r="38" spans="1:27" x14ac:dyDescent="0.25">
      <c r="A38" s="10">
        <v>45658</v>
      </c>
      <c r="B38" s="11" t="s">
        <v>329</v>
      </c>
      <c r="C38" s="11" t="s">
        <v>1131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4465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85">
        <v>15</v>
      </c>
      <c r="P38" s="85" t="s">
        <v>30</v>
      </c>
      <c r="Q38" s="85">
        <v>0</v>
      </c>
      <c r="R38" s="29">
        <v>553.20000000000005</v>
      </c>
      <c r="S38" s="86">
        <v>0</v>
      </c>
      <c r="T38" s="86">
        <v>0</v>
      </c>
      <c r="U38" s="86">
        <v>553.20000000000005</v>
      </c>
      <c r="V38" s="86">
        <v>414.90000000000003</v>
      </c>
      <c r="W38" s="86">
        <v>138.30000000000001</v>
      </c>
      <c r="X38" s="86">
        <v>0</v>
      </c>
      <c r="Y38" s="87">
        <v>0</v>
      </c>
      <c r="Z38" s="69" t="s">
        <v>26</v>
      </c>
      <c r="AA38" s="12" t="s">
        <v>31</v>
      </c>
    </row>
    <row r="39" spans="1:27" x14ac:dyDescent="0.25">
      <c r="A39" s="10">
        <v>45658</v>
      </c>
      <c r="B39" s="11" t="s">
        <v>356</v>
      </c>
      <c r="C39" s="11" t="s">
        <v>1132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4465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85">
        <v>15</v>
      </c>
      <c r="P39" s="85" t="s">
        <v>30</v>
      </c>
      <c r="Q39" s="85">
        <v>0</v>
      </c>
      <c r="R39" s="29">
        <v>574.20000000000005</v>
      </c>
      <c r="S39" s="86">
        <v>0</v>
      </c>
      <c r="T39" s="86">
        <v>0</v>
      </c>
      <c r="U39" s="86">
        <v>574.20000000000005</v>
      </c>
      <c r="V39" s="86">
        <v>430.65000000000003</v>
      </c>
      <c r="W39" s="86">
        <v>143.55000000000001</v>
      </c>
      <c r="X39" s="86">
        <v>0</v>
      </c>
      <c r="Y39" s="87">
        <v>0</v>
      </c>
      <c r="Z39" s="69" t="s">
        <v>26</v>
      </c>
      <c r="AA39" s="12" t="s">
        <v>31</v>
      </c>
    </row>
    <row r="40" spans="1:27" x14ac:dyDescent="0.25">
      <c r="A40" s="10">
        <v>45658</v>
      </c>
      <c r="B40" s="11" t="s">
        <v>1133</v>
      </c>
      <c r="C40" s="11" t="s">
        <v>1134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85">
        <v>15</v>
      </c>
      <c r="P40" s="85" t="s">
        <v>30</v>
      </c>
      <c r="Q40" s="85">
        <v>0</v>
      </c>
      <c r="R40" s="29">
        <v>524.09999999999991</v>
      </c>
      <c r="S40" s="86">
        <v>0</v>
      </c>
      <c r="T40" s="86">
        <v>0</v>
      </c>
      <c r="U40" s="86">
        <v>524.09999999999991</v>
      </c>
      <c r="V40" s="86">
        <v>0</v>
      </c>
      <c r="W40" s="86">
        <v>524.09999999999991</v>
      </c>
      <c r="X40" s="86">
        <v>0</v>
      </c>
      <c r="Y40" s="87">
        <v>0</v>
      </c>
      <c r="Z40" s="69" t="s">
        <v>26</v>
      </c>
      <c r="AA40" s="12" t="s">
        <v>31</v>
      </c>
    </row>
    <row r="41" spans="1:27" x14ac:dyDescent="0.25">
      <c r="A41" s="10">
        <v>45658</v>
      </c>
      <c r="B41" s="11" t="s">
        <v>1135</v>
      </c>
      <c r="C41" s="11" t="s">
        <v>1136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4463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85">
        <v>42</v>
      </c>
      <c r="P41" s="85" t="s">
        <v>30</v>
      </c>
      <c r="Q41" s="85">
        <v>0</v>
      </c>
      <c r="R41" s="29">
        <v>1723.68</v>
      </c>
      <c r="S41" s="86">
        <v>0</v>
      </c>
      <c r="T41" s="86">
        <v>0</v>
      </c>
      <c r="U41" s="86">
        <v>1723.68</v>
      </c>
      <c r="V41" s="86">
        <v>1723.68</v>
      </c>
      <c r="W41" s="86">
        <v>0</v>
      </c>
      <c r="X41" s="86">
        <v>0</v>
      </c>
      <c r="Y41" s="87">
        <v>0</v>
      </c>
      <c r="Z41" s="69" t="s">
        <v>26</v>
      </c>
      <c r="AA41" s="12" t="s">
        <v>31</v>
      </c>
    </row>
    <row r="42" spans="1:27" x14ac:dyDescent="0.25">
      <c r="A42" s="10">
        <v>45658</v>
      </c>
      <c r="B42" s="11" t="s">
        <v>1137</v>
      </c>
      <c r="C42" s="11" t="s">
        <v>1138</v>
      </c>
      <c r="D42" s="11" t="s">
        <v>26</v>
      </c>
      <c r="E42" s="11" t="s">
        <v>1079</v>
      </c>
      <c r="F42" s="11" t="s">
        <v>26</v>
      </c>
      <c r="G42" s="11">
        <v>111853</v>
      </c>
      <c r="H42" s="12" t="s">
        <v>4463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85">
        <v>42</v>
      </c>
      <c r="P42" s="85" t="s">
        <v>30</v>
      </c>
      <c r="Q42" s="85">
        <v>0</v>
      </c>
      <c r="R42" s="29">
        <v>1689.24</v>
      </c>
      <c r="S42" s="86">
        <v>0</v>
      </c>
      <c r="T42" s="86">
        <v>0</v>
      </c>
      <c r="U42" s="86">
        <v>1689.24</v>
      </c>
      <c r="V42" s="86">
        <v>1689.24</v>
      </c>
      <c r="W42" s="86">
        <v>0</v>
      </c>
      <c r="X42" s="86">
        <v>0</v>
      </c>
      <c r="Y42" s="87">
        <v>0</v>
      </c>
      <c r="Z42" s="69" t="s">
        <v>26</v>
      </c>
      <c r="AA42" s="12" t="s">
        <v>31</v>
      </c>
    </row>
    <row r="43" spans="1:27" x14ac:dyDescent="0.25">
      <c r="A43" s="10">
        <v>45658</v>
      </c>
      <c r="B43" s="11" t="s">
        <v>1139</v>
      </c>
      <c r="C43" s="11" t="s">
        <v>1140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85" t="s">
        <v>30</v>
      </c>
      <c r="P43" s="85">
        <v>70</v>
      </c>
      <c r="Q43" s="85">
        <v>0</v>
      </c>
      <c r="R43" s="29">
        <v>1750</v>
      </c>
      <c r="S43" s="86">
        <v>0</v>
      </c>
      <c r="T43" s="86">
        <v>0</v>
      </c>
      <c r="U43" s="86">
        <v>1750</v>
      </c>
      <c r="V43" s="86">
        <v>1750</v>
      </c>
      <c r="W43" s="86">
        <v>0</v>
      </c>
      <c r="X43" s="86">
        <v>0</v>
      </c>
      <c r="Y43" s="87">
        <v>0</v>
      </c>
      <c r="Z43" s="69" t="s">
        <v>26</v>
      </c>
      <c r="AA43" s="12" t="s">
        <v>31</v>
      </c>
    </row>
    <row r="44" spans="1:27" x14ac:dyDescent="0.25">
      <c r="A44" s="10">
        <v>45658</v>
      </c>
      <c r="B44" s="11" t="s">
        <v>1141</v>
      </c>
      <c r="C44" s="11" t="s">
        <v>1142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85" t="s">
        <v>30</v>
      </c>
      <c r="P44" s="85">
        <v>60</v>
      </c>
      <c r="Q44" s="85">
        <v>0</v>
      </c>
      <c r="R44" s="86">
        <v>1500</v>
      </c>
      <c r="S44" s="86">
        <v>0</v>
      </c>
      <c r="T44" s="86">
        <v>0</v>
      </c>
      <c r="U44" s="86">
        <v>1500</v>
      </c>
      <c r="V44" s="86">
        <v>0</v>
      </c>
      <c r="W44" s="86">
        <v>1500</v>
      </c>
      <c r="X44" s="86">
        <v>0</v>
      </c>
      <c r="Y44" s="87">
        <v>0</v>
      </c>
      <c r="Z44" s="69" t="s">
        <v>26</v>
      </c>
      <c r="AA44" s="12" t="s">
        <v>31</v>
      </c>
    </row>
    <row r="45" spans="1:27" x14ac:dyDescent="0.25">
      <c r="A45" s="10">
        <v>45658</v>
      </c>
      <c r="B45" s="11" t="s">
        <v>693</v>
      </c>
      <c r="C45" s="11" t="s">
        <v>1143</v>
      </c>
      <c r="D45" s="11" t="s">
        <v>26</v>
      </c>
      <c r="E45" s="11" t="s">
        <v>1082</v>
      </c>
      <c r="F45" s="11" t="s">
        <v>26</v>
      </c>
      <c r="G45" s="11">
        <v>111855</v>
      </c>
      <c r="H45" s="12" t="s">
        <v>4463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85">
        <v>42</v>
      </c>
      <c r="P45" s="85" t="s">
        <v>30</v>
      </c>
      <c r="Q45" s="85">
        <v>0</v>
      </c>
      <c r="R45" s="86">
        <v>1550.64</v>
      </c>
      <c r="S45" s="86">
        <v>0</v>
      </c>
      <c r="T45" s="86">
        <v>0</v>
      </c>
      <c r="U45" s="86">
        <v>1550.64</v>
      </c>
      <c r="V45" s="86">
        <v>1550.64</v>
      </c>
      <c r="W45" s="86">
        <v>0</v>
      </c>
      <c r="X45" s="86">
        <v>0</v>
      </c>
      <c r="Y45" s="87">
        <v>0</v>
      </c>
      <c r="Z45" s="69" t="s">
        <v>26</v>
      </c>
      <c r="AA45" s="12" t="s">
        <v>31</v>
      </c>
    </row>
    <row r="46" spans="1:27" x14ac:dyDescent="0.25">
      <c r="A46" s="10">
        <v>45658</v>
      </c>
      <c r="B46" s="11" t="s">
        <v>1144</v>
      </c>
      <c r="C46" s="11" t="s">
        <v>1145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85" t="s">
        <v>30</v>
      </c>
      <c r="P46" s="85">
        <v>64</v>
      </c>
      <c r="Q46" s="85">
        <v>0</v>
      </c>
      <c r="R46" s="29">
        <v>1600</v>
      </c>
      <c r="S46" s="86">
        <v>0</v>
      </c>
      <c r="T46" s="86">
        <v>0</v>
      </c>
      <c r="U46" s="86">
        <v>1600</v>
      </c>
      <c r="V46" s="86">
        <v>0</v>
      </c>
      <c r="W46" s="86">
        <v>1600</v>
      </c>
      <c r="X46" s="86">
        <v>0</v>
      </c>
      <c r="Y46" s="87">
        <v>0</v>
      </c>
      <c r="Z46" s="69" t="s">
        <v>26</v>
      </c>
      <c r="AA46" s="12" t="s">
        <v>31</v>
      </c>
    </row>
    <row r="47" spans="1:27" x14ac:dyDescent="0.25">
      <c r="A47" s="10">
        <v>45658</v>
      </c>
      <c r="B47" s="11" t="s">
        <v>1146</v>
      </c>
      <c r="C47" s="11" t="s">
        <v>1147</v>
      </c>
      <c r="D47" s="11" t="s">
        <v>26</v>
      </c>
      <c r="E47" s="11" t="s">
        <v>1085</v>
      </c>
      <c r="F47" s="11" t="s">
        <v>26</v>
      </c>
      <c r="G47" s="11">
        <v>111854</v>
      </c>
      <c r="H47" s="12" t="s">
        <v>4463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85">
        <v>42</v>
      </c>
      <c r="P47" s="85" t="s">
        <v>30</v>
      </c>
      <c r="Q47" s="85">
        <v>0</v>
      </c>
      <c r="R47" s="29">
        <v>1607.76</v>
      </c>
      <c r="S47" s="86">
        <v>0</v>
      </c>
      <c r="T47" s="86">
        <v>0</v>
      </c>
      <c r="U47" s="86">
        <v>1607.76</v>
      </c>
      <c r="V47" s="86">
        <v>1607.76</v>
      </c>
      <c r="W47" s="86">
        <v>0</v>
      </c>
      <c r="X47" s="86">
        <v>0</v>
      </c>
      <c r="Y47" s="87">
        <v>0</v>
      </c>
      <c r="Z47" s="69" t="s">
        <v>26</v>
      </c>
      <c r="AA47" s="12" t="s">
        <v>31</v>
      </c>
    </row>
    <row r="48" spans="1:27" x14ac:dyDescent="0.25">
      <c r="A48" s="10">
        <v>45658</v>
      </c>
      <c r="B48" s="11" t="s">
        <v>1148</v>
      </c>
      <c r="C48" s="11" t="s">
        <v>1149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85">
        <v>65</v>
      </c>
      <c r="P48" s="85" t="s">
        <v>30</v>
      </c>
      <c r="Q48" s="85">
        <v>30</v>
      </c>
      <c r="R48" s="29">
        <v>2061.6999999999998</v>
      </c>
      <c r="S48" s="86">
        <v>0</v>
      </c>
      <c r="T48" s="86">
        <v>0</v>
      </c>
      <c r="U48" s="86">
        <v>2061.6999999999998</v>
      </c>
      <c r="V48" s="86">
        <v>0</v>
      </c>
      <c r="W48" s="86">
        <v>2061.6999999999998</v>
      </c>
      <c r="X48" s="86">
        <v>0</v>
      </c>
      <c r="Y48" s="87">
        <v>0</v>
      </c>
      <c r="Z48" s="69" t="s">
        <v>26</v>
      </c>
      <c r="AA48" s="12" t="s">
        <v>31</v>
      </c>
    </row>
    <row r="49" spans="1:27" x14ac:dyDescent="0.25">
      <c r="A49" s="10">
        <v>45658</v>
      </c>
      <c r="B49" s="11" t="s">
        <v>1150</v>
      </c>
      <c r="C49" s="11" t="s">
        <v>1151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4464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85" t="s">
        <v>30</v>
      </c>
      <c r="P49" s="85">
        <v>40.5</v>
      </c>
      <c r="Q49" s="85">
        <v>0</v>
      </c>
      <c r="R49" s="86">
        <v>486</v>
      </c>
      <c r="S49" s="86">
        <v>0</v>
      </c>
      <c r="T49" s="86">
        <v>0</v>
      </c>
      <c r="U49" s="86">
        <v>486</v>
      </c>
      <c r="V49" s="86">
        <v>486</v>
      </c>
      <c r="W49" s="86">
        <v>0</v>
      </c>
      <c r="X49" s="86">
        <v>0</v>
      </c>
      <c r="Y49" s="87">
        <v>0</v>
      </c>
      <c r="Z49" s="69" t="s">
        <v>26</v>
      </c>
      <c r="AA49" s="12" t="s">
        <v>31</v>
      </c>
    </row>
    <row r="50" spans="1:27" x14ac:dyDescent="0.25">
      <c r="A50" s="10">
        <v>45658</v>
      </c>
      <c r="B50" s="11" t="s">
        <v>753</v>
      </c>
      <c r="C50" s="11" t="s">
        <v>1152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4463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85">
        <v>42</v>
      </c>
      <c r="P50" s="85" t="s">
        <v>30</v>
      </c>
      <c r="Q50" s="85">
        <v>0</v>
      </c>
      <c r="R50" s="29">
        <v>1701.8400000000001</v>
      </c>
      <c r="S50" s="86">
        <v>0</v>
      </c>
      <c r="T50" s="86">
        <v>0</v>
      </c>
      <c r="U50" s="86">
        <v>1701.8400000000001</v>
      </c>
      <c r="V50" s="86">
        <v>1701.8400000000001</v>
      </c>
      <c r="W50" s="86">
        <v>0</v>
      </c>
      <c r="X50" s="86">
        <v>0</v>
      </c>
      <c r="Y50" s="87">
        <v>0</v>
      </c>
      <c r="Z50" s="69" t="s">
        <v>26</v>
      </c>
      <c r="AA50" s="12" t="s">
        <v>31</v>
      </c>
    </row>
    <row r="51" spans="1:27" x14ac:dyDescent="0.25">
      <c r="A51" s="10">
        <v>45658</v>
      </c>
      <c r="B51" s="11" t="s">
        <v>1153</v>
      </c>
      <c r="C51" s="11" t="s">
        <v>1154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85">
        <v>15</v>
      </c>
      <c r="P51" s="85" t="s">
        <v>30</v>
      </c>
      <c r="Q51" s="85">
        <v>0</v>
      </c>
      <c r="R51" s="29">
        <v>550.79999999999995</v>
      </c>
      <c r="S51" s="86">
        <v>0</v>
      </c>
      <c r="T51" s="86">
        <v>0</v>
      </c>
      <c r="U51" s="86">
        <v>550.79999999999995</v>
      </c>
      <c r="V51" s="86">
        <v>0</v>
      </c>
      <c r="W51" s="86">
        <v>550.79999999999995</v>
      </c>
      <c r="X51" s="86">
        <v>0</v>
      </c>
      <c r="Y51" s="87">
        <v>0</v>
      </c>
      <c r="Z51" s="69" t="s">
        <v>26</v>
      </c>
      <c r="AA51" s="12" t="s">
        <v>31</v>
      </c>
    </row>
    <row r="52" spans="1:27" x14ac:dyDescent="0.25">
      <c r="A52" s="10">
        <v>45658</v>
      </c>
      <c r="B52" s="11" t="s">
        <v>338</v>
      </c>
      <c r="C52" s="11" t="s">
        <v>1155</v>
      </c>
      <c r="D52" s="11" t="s">
        <v>26</v>
      </c>
      <c r="E52" s="11" t="s">
        <v>1113</v>
      </c>
      <c r="F52" s="11" t="s">
        <v>26</v>
      </c>
      <c r="G52" s="11">
        <v>111857</v>
      </c>
      <c r="H52" s="12" t="s">
        <v>4463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85">
        <v>42</v>
      </c>
      <c r="P52" s="85" t="s">
        <v>30</v>
      </c>
      <c r="Q52" s="85">
        <v>0</v>
      </c>
      <c r="R52" s="86">
        <v>1638.8400000000001</v>
      </c>
      <c r="S52" s="86">
        <v>0</v>
      </c>
      <c r="T52" s="86">
        <v>0</v>
      </c>
      <c r="U52" s="86">
        <v>1638.8400000000001</v>
      </c>
      <c r="V52" s="86">
        <v>1638.8400000000001</v>
      </c>
      <c r="W52" s="86">
        <v>0</v>
      </c>
      <c r="X52" s="86">
        <v>0</v>
      </c>
      <c r="Y52" s="87">
        <v>0</v>
      </c>
      <c r="Z52" s="69" t="s">
        <v>26</v>
      </c>
      <c r="AA52" s="12" t="s">
        <v>31</v>
      </c>
    </row>
    <row r="53" spans="1:27" x14ac:dyDescent="0.25">
      <c r="A53" s="10">
        <v>45658</v>
      </c>
      <c r="B53" s="11" t="s">
        <v>1156</v>
      </c>
      <c r="C53" s="11" t="s">
        <v>1157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85">
        <v>15</v>
      </c>
      <c r="P53" s="85" t="s">
        <v>30</v>
      </c>
      <c r="Q53" s="85">
        <v>0</v>
      </c>
      <c r="R53" s="86">
        <v>555.30000000000007</v>
      </c>
      <c r="S53" s="86">
        <v>0</v>
      </c>
      <c r="T53" s="86">
        <v>0</v>
      </c>
      <c r="U53" s="86">
        <v>555.30000000000007</v>
      </c>
      <c r="V53" s="86">
        <v>0</v>
      </c>
      <c r="W53" s="86">
        <v>555.30000000000007</v>
      </c>
      <c r="X53" s="86">
        <v>0</v>
      </c>
      <c r="Y53" s="87">
        <v>0</v>
      </c>
      <c r="Z53" s="69" t="s">
        <v>26</v>
      </c>
      <c r="AA53" s="12" t="s">
        <v>31</v>
      </c>
    </row>
    <row r="54" spans="1:27" x14ac:dyDescent="0.25">
      <c r="A54" s="10">
        <v>45658</v>
      </c>
      <c r="B54" s="11" t="s">
        <v>1158</v>
      </c>
      <c r="C54" s="11" t="s">
        <v>1159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4439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85">
        <v>85</v>
      </c>
      <c r="P54" s="85" t="s">
        <v>30</v>
      </c>
      <c r="Q54" s="85">
        <v>0</v>
      </c>
      <c r="R54" s="86">
        <v>3451</v>
      </c>
      <c r="S54" s="86">
        <v>38</v>
      </c>
      <c r="T54" s="86">
        <v>1542.8</v>
      </c>
      <c r="U54" s="86">
        <v>1908.2</v>
      </c>
      <c r="V54" s="86">
        <v>1908.2</v>
      </c>
      <c r="W54" s="86">
        <v>0</v>
      </c>
      <c r="X54" s="86">
        <v>1461.6000000000001</v>
      </c>
      <c r="Y54" s="87">
        <v>81.199999999999818</v>
      </c>
      <c r="Z54" s="69" t="s">
        <v>141</v>
      </c>
      <c r="AA54" s="12" t="s">
        <v>78</v>
      </c>
    </row>
    <row r="55" spans="1:27" x14ac:dyDescent="0.25">
      <c r="A55" s="10">
        <v>45658</v>
      </c>
      <c r="B55" s="11" t="s">
        <v>1160</v>
      </c>
      <c r="C55" s="11" t="s">
        <v>1161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85" t="s">
        <v>30</v>
      </c>
      <c r="P55" s="85">
        <v>56</v>
      </c>
      <c r="Q55" s="85">
        <v>0</v>
      </c>
      <c r="R55" s="86">
        <v>1400</v>
      </c>
      <c r="S55" s="86">
        <v>0</v>
      </c>
      <c r="T55" s="86">
        <v>0</v>
      </c>
      <c r="U55" s="86">
        <v>1400</v>
      </c>
      <c r="V55" s="86">
        <v>0</v>
      </c>
      <c r="W55" s="86">
        <v>1400</v>
      </c>
      <c r="X55" s="86">
        <v>0</v>
      </c>
      <c r="Y55" s="87">
        <v>0</v>
      </c>
      <c r="Z55" s="69" t="s">
        <v>26</v>
      </c>
      <c r="AA55" s="12" t="s">
        <v>31</v>
      </c>
    </row>
    <row r="56" spans="1:27" x14ac:dyDescent="0.25">
      <c r="A56" s="10">
        <v>45658</v>
      </c>
      <c r="B56" s="11" t="s">
        <v>1162</v>
      </c>
      <c r="C56" s="11" t="s">
        <v>1163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4439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85">
        <v>85</v>
      </c>
      <c r="P56" s="85" t="s">
        <v>30</v>
      </c>
      <c r="Q56" s="85">
        <v>0</v>
      </c>
      <c r="R56" s="86">
        <v>3420.4</v>
      </c>
      <c r="S56" s="86">
        <v>38</v>
      </c>
      <c r="T56" s="86">
        <v>1529.1200000000001</v>
      </c>
      <c r="U56" s="86">
        <v>1891.28</v>
      </c>
      <c r="V56" s="86">
        <v>1891.28</v>
      </c>
      <c r="W56" s="86">
        <v>0</v>
      </c>
      <c r="X56" s="86">
        <v>1448.64</v>
      </c>
      <c r="Y56" s="87">
        <v>80.480000000000018</v>
      </c>
      <c r="Z56" s="69" t="s">
        <v>141</v>
      </c>
      <c r="AA56" s="12" t="s">
        <v>78</v>
      </c>
    </row>
    <row r="57" spans="1:27" x14ac:dyDescent="0.25">
      <c r="A57" s="10">
        <v>45658</v>
      </c>
      <c r="B57" s="11" t="s">
        <v>1164</v>
      </c>
      <c r="C57" s="11" t="s">
        <v>1165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85" t="s">
        <v>30</v>
      </c>
      <c r="P57" s="85">
        <v>64</v>
      </c>
      <c r="Q57" s="85">
        <v>0</v>
      </c>
      <c r="R57" s="86">
        <v>1600</v>
      </c>
      <c r="S57" s="86">
        <v>0</v>
      </c>
      <c r="T57" s="86">
        <v>0</v>
      </c>
      <c r="U57" s="86">
        <v>1600</v>
      </c>
      <c r="V57" s="86">
        <v>0</v>
      </c>
      <c r="W57" s="86">
        <v>1600</v>
      </c>
      <c r="X57" s="86">
        <v>0</v>
      </c>
      <c r="Y57" s="87">
        <v>0</v>
      </c>
      <c r="Z57" s="69" t="s">
        <v>26</v>
      </c>
      <c r="AA57" s="12" t="s">
        <v>31</v>
      </c>
    </row>
    <row r="58" spans="1:27" x14ac:dyDescent="0.25">
      <c r="A58" s="10">
        <v>45658</v>
      </c>
      <c r="B58" s="11" t="s">
        <v>624</v>
      </c>
      <c r="C58" s="11" t="s">
        <v>1166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6345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85">
        <v>42.5</v>
      </c>
      <c r="P58" s="85"/>
      <c r="Q58" s="85">
        <v>0</v>
      </c>
      <c r="R58" s="86">
        <v>1674.5</v>
      </c>
      <c r="S58" s="86">
        <v>0</v>
      </c>
      <c r="T58" s="86">
        <v>0</v>
      </c>
      <c r="U58" s="86">
        <v>1674.5</v>
      </c>
      <c r="V58" s="86">
        <v>0</v>
      </c>
      <c r="W58" s="86">
        <v>1674.5</v>
      </c>
      <c r="X58" s="86">
        <v>0</v>
      </c>
      <c r="Y58" s="87">
        <v>0</v>
      </c>
      <c r="Z58" s="69" t="s">
        <v>26</v>
      </c>
      <c r="AA58" s="12" t="s">
        <v>31</v>
      </c>
    </row>
    <row r="59" spans="1:27" x14ac:dyDescent="0.25">
      <c r="A59" s="10">
        <v>45658</v>
      </c>
      <c r="B59" s="11" t="s">
        <v>1167</v>
      </c>
      <c r="C59" s="11" t="s">
        <v>1168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4463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85">
        <v>42</v>
      </c>
      <c r="P59" s="85" t="s">
        <v>30</v>
      </c>
      <c r="Q59" s="85">
        <v>0</v>
      </c>
      <c r="R59" s="86">
        <v>1735.44</v>
      </c>
      <c r="S59" s="86">
        <v>0</v>
      </c>
      <c r="T59" s="86">
        <v>0</v>
      </c>
      <c r="U59" s="86">
        <v>1735.44</v>
      </c>
      <c r="V59" s="86">
        <v>1735.44</v>
      </c>
      <c r="W59" s="86">
        <v>0</v>
      </c>
      <c r="X59" s="86">
        <v>0</v>
      </c>
      <c r="Y59" s="87">
        <v>0</v>
      </c>
      <c r="Z59" s="69" t="s">
        <v>26</v>
      </c>
      <c r="AA59" s="12" t="s">
        <v>31</v>
      </c>
    </row>
    <row r="60" spans="1:27" x14ac:dyDescent="0.25">
      <c r="A60" s="10">
        <v>45658</v>
      </c>
      <c r="B60" s="11" t="s">
        <v>1169</v>
      </c>
      <c r="C60" s="11" t="s">
        <v>1170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4463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85">
        <v>42</v>
      </c>
      <c r="P60" s="85" t="s">
        <v>30</v>
      </c>
      <c r="Q60" s="29">
        <v>0</v>
      </c>
      <c r="R60" s="86">
        <v>1577.52</v>
      </c>
      <c r="S60" s="86">
        <v>0</v>
      </c>
      <c r="T60" s="86">
        <v>0</v>
      </c>
      <c r="U60" s="86">
        <v>1577.52</v>
      </c>
      <c r="V60" s="86">
        <v>1577.52</v>
      </c>
      <c r="W60" s="86">
        <v>0</v>
      </c>
      <c r="X60" s="86">
        <v>0</v>
      </c>
      <c r="Y60" s="87">
        <v>0</v>
      </c>
      <c r="Z60" s="69" t="s">
        <v>26</v>
      </c>
      <c r="AA60" s="12" t="s">
        <v>31</v>
      </c>
    </row>
    <row r="61" spans="1:27" x14ac:dyDescent="0.25">
      <c r="A61" s="10">
        <v>45658</v>
      </c>
      <c r="B61" s="11" t="s">
        <v>429</v>
      </c>
      <c r="C61" s="11" t="s">
        <v>1171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4465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85">
        <v>42.5</v>
      </c>
      <c r="P61" s="85"/>
      <c r="Q61" s="29">
        <v>0</v>
      </c>
      <c r="R61" s="86">
        <v>1754.4</v>
      </c>
      <c r="S61" s="86">
        <v>0</v>
      </c>
      <c r="T61" s="86">
        <v>0</v>
      </c>
      <c r="U61" s="86">
        <v>1754.4</v>
      </c>
      <c r="V61" s="86">
        <v>1315.8000000000002</v>
      </c>
      <c r="W61" s="86">
        <v>438.59999999999991</v>
      </c>
      <c r="X61" s="86">
        <v>0</v>
      </c>
      <c r="Y61" s="87">
        <v>0</v>
      </c>
      <c r="Z61" s="69" t="s">
        <v>26</v>
      </c>
      <c r="AA61" s="12" t="s">
        <v>31</v>
      </c>
    </row>
    <row r="62" spans="1:27" x14ac:dyDescent="0.25">
      <c r="A62" s="10">
        <v>45658</v>
      </c>
      <c r="B62" s="11" t="s">
        <v>1172</v>
      </c>
      <c r="C62" s="11" t="s">
        <v>1173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4465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85">
        <v>42.5</v>
      </c>
      <c r="P62" s="85"/>
      <c r="Q62" s="85">
        <v>0</v>
      </c>
      <c r="R62" s="29">
        <v>1824.1000000000001</v>
      </c>
      <c r="S62" s="86">
        <v>0</v>
      </c>
      <c r="T62" s="86">
        <v>0</v>
      </c>
      <c r="U62" s="86">
        <v>1824.1000000000001</v>
      </c>
      <c r="V62" s="86">
        <v>1368.075</v>
      </c>
      <c r="W62" s="86">
        <v>456.02500000000009</v>
      </c>
      <c r="X62" s="86">
        <v>0</v>
      </c>
      <c r="Y62" s="87">
        <v>0</v>
      </c>
      <c r="Z62" s="69" t="s">
        <v>26</v>
      </c>
      <c r="AA62" s="12" t="s">
        <v>31</v>
      </c>
    </row>
    <row r="63" spans="1:27" x14ac:dyDescent="0.25">
      <c r="A63" s="10">
        <v>45658</v>
      </c>
      <c r="B63" s="11" t="s">
        <v>1174</v>
      </c>
      <c r="C63" s="11" t="s">
        <v>1175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85">
        <v>29</v>
      </c>
      <c r="P63" s="85" t="s">
        <v>30</v>
      </c>
      <c r="Q63" s="85">
        <v>0</v>
      </c>
      <c r="R63" s="29">
        <v>1033.56</v>
      </c>
      <c r="S63" s="86">
        <v>0</v>
      </c>
      <c r="T63" s="86">
        <v>0</v>
      </c>
      <c r="U63" s="86">
        <v>1033.56</v>
      </c>
      <c r="V63" s="86">
        <v>0</v>
      </c>
      <c r="W63" s="86">
        <v>1033.56</v>
      </c>
      <c r="X63" s="86">
        <v>0</v>
      </c>
      <c r="Y63" s="87">
        <v>0</v>
      </c>
      <c r="Z63" s="69" t="s">
        <v>26</v>
      </c>
      <c r="AA63" s="12" t="s">
        <v>31</v>
      </c>
    </row>
    <row r="64" spans="1:27" x14ac:dyDescent="0.25">
      <c r="A64" s="10">
        <v>45658</v>
      </c>
      <c r="B64" s="11" t="s">
        <v>1176</v>
      </c>
      <c r="C64" s="11" t="s">
        <v>1177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4465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85">
        <v>42.5</v>
      </c>
      <c r="P64" s="85"/>
      <c r="Q64" s="29">
        <v>0</v>
      </c>
      <c r="R64" s="86">
        <v>1781.6000000000001</v>
      </c>
      <c r="S64" s="86">
        <v>0</v>
      </c>
      <c r="T64" s="86">
        <v>0</v>
      </c>
      <c r="U64" s="86">
        <v>1781.6000000000001</v>
      </c>
      <c r="V64" s="86">
        <v>1336.2</v>
      </c>
      <c r="W64" s="86">
        <v>445.40000000000009</v>
      </c>
      <c r="X64" s="86">
        <v>0</v>
      </c>
      <c r="Y64" s="87">
        <v>0</v>
      </c>
      <c r="Z64" s="69" t="s">
        <v>26</v>
      </c>
      <c r="AA64" s="12" t="s">
        <v>31</v>
      </c>
    </row>
    <row r="65" spans="1:27" x14ac:dyDescent="0.25">
      <c r="A65" s="10">
        <v>45658</v>
      </c>
      <c r="B65" s="11" t="s">
        <v>1178</v>
      </c>
      <c r="C65" s="11" t="s">
        <v>1179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85">
        <v>40</v>
      </c>
      <c r="P65" s="85" t="s">
        <v>30</v>
      </c>
      <c r="Q65" s="85">
        <v>0</v>
      </c>
      <c r="R65" s="86">
        <v>1626.3999999999999</v>
      </c>
      <c r="S65" s="86">
        <v>0</v>
      </c>
      <c r="T65" s="86">
        <v>0</v>
      </c>
      <c r="U65" s="86">
        <v>1626.3999999999999</v>
      </c>
      <c r="V65" s="86">
        <v>0</v>
      </c>
      <c r="W65" s="86">
        <v>1626.3999999999999</v>
      </c>
      <c r="X65" s="86">
        <v>0</v>
      </c>
      <c r="Y65" s="87">
        <v>0</v>
      </c>
      <c r="Z65" s="69" t="s">
        <v>26</v>
      </c>
      <c r="AA65" s="12" t="s">
        <v>31</v>
      </c>
    </row>
    <row r="66" spans="1:27" x14ac:dyDescent="0.25">
      <c r="A66" s="10">
        <v>45658</v>
      </c>
      <c r="B66" s="11" t="s">
        <v>421</v>
      </c>
      <c r="C66" s="11" t="s">
        <v>1180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4463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85">
        <v>42</v>
      </c>
      <c r="P66" s="85" t="s">
        <v>30</v>
      </c>
      <c r="Q66" s="85">
        <v>0</v>
      </c>
      <c r="R66" s="29">
        <v>1730.4</v>
      </c>
      <c r="S66" s="86">
        <v>0</v>
      </c>
      <c r="T66" s="86">
        <v>0</v>
      </c>
      <c r="U66" s="86">
        <v>1730.4</v>
      </c>
      <c r="V66" s="86">
        <v>1730.4</v>
      </c>
      <c r="W66" s="86">
        <v>0</v>
      </c>
      <c r="X66" s="86">
        <v>0</v>
      </c>
      <c r="Y66" s="87">
        <v>0</v>
      </c>
      <c r="Z66" s="69" t="s">
        <v>26</v>
      </c>
      <c r="AA66" s="12" t="s">
        <v>31</v>
      </c>
    </row>
    <row r="67" spans="1:27" x14ac:dyDescent="0.25">
      <c r="A67" s="10">
        <v>45658</v>
      </c>
      <c r="B67" s="11" t="s">
        <v>1181</v>
      </c>
      <c r="C67" s="11" t="s">
        <v>1182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85">
        <v>45</v>
      </c>
      <c r="P67" s="85" t="s">
        <v>30</v>
      </c>
      <c r="Q67" s="85">
        <v>15</v>
      </c>
      <c r="R67" s="29">
        <v>448.50000000000006</v>
      </c>
      <c r="S67" s="86">
        <v>0</v>
      </c>
      <c r="T67" s="86">
        <v>0</v>
      </c>
      <c r="U67" s="86">
        <v>448.50000000000006</v>
      </c>
      <c r="V67" s="86">
        <v>0</v>
      </c>
      <c r="W67" s="86">
        <v>448.50000000000006</v>
      </c>
      <c r="X67" s="86">
        <v>0</v>
      </c>
      <c r="Y67" s="87">
        <v>0</v>
      </c>
      <c r="Z67" s="69" t="s">
        <v>26</v>
      </c>
      <c r="AA67" s="12" t="s">
        <v>31</v>
      </c>
    </row>
    <row r="68" spans="1:27" x14ac:dyDescent="0.25">
      <c r="A68" s="10">
        <v>45658</v>
      </c>
      <c r="B68" s="11" t="s">
        <v>1183</v>
      </c>
      <c r="C68" s="11" t="s">
        <v>1184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85">
        <v>15</v>
      </c>
      <c r="P68" s="85" t="s">
        <v>30</v>
      </c>
      <c r="Q68" s="85">
        <v>0</v>
      </c>
      <c r="R68" s="29">
        <v>557.4</v>
      </c>
      <c r="S68" s="86">
        <v>0</v>
      </c>
      <c r="T68" s="86">
        <v>0</v>
      </c>
      <c r="U68" s="86">
        <v>557.4</v>
      </c>
      <c r="V68" s="86">
        <v>0</v>
      </c>
      <c r="W68" s="86">
        <v>557.4</v>
      </c>
      <c r="X68" s="86">
        <v>0</v>
      </c>
      <c r="Y68" s="87">
        <v>0</v>
      </c>
      <c r="Z68" s="69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1185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4463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85">
        <v>42</v>
      </c>
      <c r="P69" s="85" t="s">
        <v>30</v>
      </c>
      <c r="Q69" s="85">
        <v>0</v>
      </c>
      <c r="R69" s="29">
        <v>1795.9199999999998</v>
      </c>
      <c r="S69" s="86">
        <v>0</v>
      </c>
      <c r="T69" s="86">
        <v>0</v>
      </c>
      <c r="U69" s="86">
        <v>1795.9199999999998</v>
      </c>
      <c r="V69" s="86">
        <v>1795.9199999999998</v>
      </c>
      <c r="W69" s="86">
        <v>0</v>
      </c>
      <c r="X69" s="86">
        <v>0</v>
      </c>
      <c r="Y69" s="87">
        <v>0</v>
      </c>
      <c r="Z69" s="69" t="s">
        <v>26</v>
      </c>
      <c r="AA69" s="12" t="s">
        <v>31</v>
      </c>
    </row>
    <row r="70" spans="1:27" x14ac:dyDescent="0.25">
      <c r="A70" s="10">
        <v>45658</v>
      </c>
      <c r="B70" s="11" t="s">
        <v>195</v>
      </c>
      <c r="C70" s="11" t="s">
        <v>1186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4463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85">
        <v>42</v>
      </c>
      <c r="P70" s="85" t="s">
        <v>30</v>
      </c>
      <c r="Q70" s="85">
        <v>0</v>
      </c>
      <c r="R70" s="86">
        <v>1767.36</v>
      </c>
      <c r="S70" s="86">
        <v>0</v>
      </c>
      <c r="T70" s="86">
        <v>0</v>
      </c>
      <c r="U70" s="86">
        <v>1767.36</v>
      </c>
      <c r="V70" s="86">
        <v>1767.36</v>
      </c>
      <c r="W70" s="86">
        <v>0</v>
      </c>
      <c r="X70" s="86">
        <v>0</v>
      </c>
      <c r="Y70" s="87">
        <v>0</v>
      </c>
      <c r="Z70" s="69" t="s">
        <v>26</v>
      </c>
      <c r="AA70" s="12" t="s">
        <v>31</v>
      </c>
    </row>
    <row r="71" spans="1:27" x14ac:dyDescent="0.25">
      <c r="A71" s="10">
        <v>45658</v>
      </c>
      <c r="B71" s="11" t="s">
        <v>275</v>
      </c>
      <c r="C71" s="11" t="s">
        <v>1187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85">
        <v>45</v>
      </c>
      <c r="P71" s="85" t="s">
        <v>30</v>
      </c>
      <c r="Q71" s="85">
        <v>0</v>
      </c>
      <c r="R71" s="29">
        <v>440.09999999999997</v>
      </c>
      <c r="S71" s="86">
        <v>0</v>
      </c>
      <c r="T71" s="86">
        <v>0</v>
      </c>
      <c r="U71" s="86">
        <v>440.09999999999997</v>
      </c>
      <c r="V71" s="86">
        <v>0</v>
      </c>
      <c r="W71" s="86">
        <v>440.09999999999997</v>
      </c>
      <c r="X71" s="86">
        <v>0</v>
      </c>
      <c r="Y71" s="87">
        <v>0</v>
      </c>
      <c r="Z71" s="69" t="s">
        <v>26</v>
      </c>
      <c r="AA71" s="12" t="s">
        <v>31</v>
      </c>
    </row>
    <row r="72" spans="1:27" x14ac:dyDescent="0.25">
      <c r="A72" s="10">
        <v>45658</v>
      </c>
      <c r="B72" s="11" t="s">
        <v>1188</v>
      </c>
      <c r="C72" s="11" t="s">
        <v>1189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4463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85">
        <v>42</v>
      </c>
      <c r="P72" s="85" t="s">
        <v>30</v>
      </c>
      <c r="Q72" s="85">
        <v>0</v>
      </c>
      <c r="R72" s="86">
        <v>1664.04</v>
      </c>
      <c r="S72" s="86">
        <v>0</v>
      </c>
      <c r="T72" s="86">
        <v>0</v>
      </c>
      <c r="U72" s="86">
        <v>1664.04</v>
      </c>
      <c r="V72" s="86">
        <v>1664.04</v>
      </c>
      <c r="W72" s="86">
        <v>0</v>
      </c>
      <c r="X72" s="86">
        <v>0</v>
      </c>
      <c r="Y72" s="87">
        <v>0</v>
      </c>
      <c r="Z72" s="69" t="s">
        <v>26</v>
      </c>
      <c r="AA72" s="12" t="s">
        <v>31</v>
      </c>
    </row>
    <row r="73" spans="1:27" x14ac:dyDescent="0.25">
      <c r="A73" s="10">
        <v>45658</v>
      </c>
      <c r="B73" s="11" t="s">
        <v>1190</v>
      </c>
      <c r="C73" s="11" t="s">
        <v>1191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85">
        <v>40</v>
      </c>
      <c r="P73" s="85" t="s">
        <v>30</v>
      </c>
      <c r="Q73" s="85">
        <v>0</v>
      </c>
      <c r="R73" s="86">
        <v>1756</v>
      </c>
      <c r="S73" s="86">
        <v>0</v>
      </c>
      <c r="T73" s="86">
        <v>0</v>
      </c>
      <c r="U73" s="86">
        <v>1756</v>
      </c>
      <c r="V73" s="86">
        <v>0</v>
      </c>
      <c r="W73" s="86">
        <v>1756</v>
      </c>
      <c r="X73" s="86">
        <v>0</v>
      </c>
      <c r="Y73" s="87">
        <v>0</v>
      </c>
      <c r="Z73" s="69" t="s">
        <v>26</v>
      </c>
      <c r="AA73" s="12" t="s">
        <v>31</v>
      </c>
    </row>
    <row r="74" spans="1:27" x14ac:dyDescent="0.25">
      <c r="A74" s="10">
        <v>45658</v>
      </c>
      <c r="B74" s="11" t="s">
        <v>1192</v>
      </c>
      <c r="C74" s="11" t="s">
        <v>1193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85" t="s">
        <v>30</v>
      </c>
      <c r="P74" s="85">
        <v>56</v>
      </c>
      <c r="Q74" s="85">
        <v>0</v>
      </c>
      <c r="R74" s="86">
        <v>1400</v>
      </c>
      <c r="S74" s="86">
        <v>0</v>
      </c>
      <c r="T74" s="86">
        <v>0</v>
      </c>
      <c r="U74" s="86">
        <v>1400</v>
      </c>
      <c r="V74" s="86">
        <v>0</v>
      </c>
      <c r="W74" s="86">
        <v>1400</v>
      </c>
      <c r="X74" s="86">
        <v>0</v>
      </c>
      <c r="Y74" s="87">
        <v>0</v>
      </c>
      <c r="Z74" s="69" t="s">
        <v>26</v>
      </c>
      <c r="AA74" s="12" t="s">
        <v>31</v>
      </c>
    </row>
    <row r="75" spans="1:27" x14ac:dyDescent="0.25">
      <c r="A75" s="10">
        <v>45658</v>
      </c>
      <c r="B75" s="11" t="s">
        <v>1194</v>
      </c>
      <c r="C75" s="11" t="s">
        <v>1195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85">
        <v>37</v>
      </c>
      <c r="P75" s="85" t="s">
        <v>30</v>
      </c>
      <c r="Q75" s="85">
        <v>0</v>
      </c>
      <c r="R75" s="86">
        <v>1259.48</v>
      </c>
      <c r="S75" s="86">
        <v>0</v>
      </c>
      <c r="T75" s="86">
        <v>0</v>
      </c>
      <c r="U75" s="86">
        <v>1259.48</v>
      </c>
      <c r="V75" s="86">
        <v>0</v>
      </c>
      <c r="W75" s="86">
        <v>1259.48</v>
      </c>
      <c r="X75" s="86">
        <v>0</v>
      </c>
      <c r="Y75" s="87">
        <v>0</v>
      </c>
      <c r="Z75" s="69" t="s">
        <v>26</v>
      </c>
      <c r="AA75" s="12" t="s">
        <v>31</v>
      </c>
    </row>
    <row r="76" spans="1:27" x14ac:dyDescent="0.25">
      <c r="A76" s="10">
        <v>45658</v>
      </c>
      <c r="B76" s="11" t="s">
        <v>1196</v>
      </c>
      <c r="C76" s="11" t="s">
        <v>1197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85">
        <v>25</v>
      </c>
      <c r="P76" s="85"/>
      <c r="Q76" s="85">
        <v>0</v>
      </c>
      <c r="R76" s="86">
        <v>1102.5</v>
      </c>
      <c r="S76" s="86">
        <v>0</v>
      </c>
      <c r="T76" s="86">
        <v>0</v>
      </c>
      <c r="U76" s="86">
        <v>1102.5</v>
      </c>
      <c r="V76" s="86">
        <v>0</v>
      </c>
      <c r="W76" s="86">
        <v>1102.5</v>
      </c>
      <c r="X76" s="86">
        <v>0</v>
      </c>
      <c r="Y76" s="87">
        <v>0</v>
      </c>
      <c r="Z76" s="69" t="s">
        <v>26</v>
      </c>
      <c r="AA76" s="12" t="s">
        <v>31</v>
      </c>
    </row>
    <row r="77" spans="1:27" x14ac:dyDescent="0.25">
      <c r="A77" s="10">
        <v>45658</v>
      </c>
      <c r="B77" s="11" t="s">
        <v>1198</v>
      </c>
      <c r="C77" s="11" t="s">
        <v>1199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85">
        <v>35</v>
      </c>
      <c r="P77" s="85"/>
      <c r="Q77" s="85">
        <v>0</v>
      </c>
      <c r="R77" s="86">
        <v>1433.6000000000001</v>
      </c>
      <c r="S77" s="86">
        <v>0</v>
      </c>
      <c r="T77" s="86">
        <v>0</v>
      </c>
      <c r="U77" s="86">
        <v>1433.6000000000001</v>
      </c>
      <c r="V77" s="86">
        <v>0</v>
      </c>
      <c r="W77" s="86">
        <v>1433.6000000000001</v>
      </c>
      <c r="X77" s="86">
        <v>0</v>
      </c>
      <c r="Y77" s="87">
        <v>0</v>
      </c>
      <c r="Z77" s="69" t="s">
        <v>26</v>
      </c>
      <c r="AA77" s="12" t="s">
        <v>31</v>
      </c>
    </row>
    <row r="78" spans="1:27" x14ac:dyDescent="0.25">
      <c r="A78" s="10">
        <v>45658</v>
      </c>
      <c r="B78" s="11" t="s">
        <v>1200</v>
      </c>
      <c r="C78" s="11" t="s">
        <v>1201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85">
        <v>25</v>
      </c>
      <c r="P78" s="85"/>
      <c r="Q78" s="85">
        <v>0</v>
      </c>
      <c r="R78" s="29">
        <v>1115.5</v>
      </c>
      <c r="S78" s="86">
        <v>0</v>
      </c>
      <c r="T78" s="86">
        <v>0</v>
      </c>
      <c r="U78" s="86">
        <v>1115.5</v>
      </c>
      <c r="V78" s="86">
        <v>0</v>
      </c>
      <c r="W78" s="86">
        <v>1115.5</v>
      </c>
      <c r="X78" s="86">
        <v>0</v>
      </c>
      <c r="Y78" s="87">
        <v>0</v>
      </c>
      <c r="Z78" s="69" t="s">
        <v>26</v>
      </c>
      <c r="AA78" s="12" t="s">
        <v>31</v>
      </c>
    </row>
    <row r="79" spans="1:27" x14ac:dyDescent="0.25">
      <c r="A79" s="10">
        <v>45658</v>
      </c>
      <c r="B79" s="11" t="s">
        <v>577</v>
      </c>
      <c r="C79" s="11" t="s">
        <v>1202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85">
        <v>35</v>
      </c>
      <c r="P79" s="85"/>
      <c r="Q79" s="85">
        <v>0</v>
      </c>
      <c r="R79" s="29">
        <v>1449.7</v>
      </c>
      <c r="S79" s="86">
        <v>0</v>
      </c>
      <c r="T79" s="86">
        <v>0</v>
      </c>
      <c r="U79" s="86">
        <v>1449.7</v>
      </c>
      <c r="V79" s="86">
        <v>0</v>
      </c>
      <c r="W79" s="86">
        <v>1449.7</v>
      </c>
      <c r="X79" s="86">
        <v>0</v>
      </c>
      <c r="Y79" s="87">
        <v>0</v>
      </c>
      <c r="Z79" s="69" t="s">
        <v>26</v>
      </c>
      <c r="AA79" s="12" t="s">
        <v>31</v>
      </c>
    </row>
    <row r="80" spans="1:27" x14ac:dyDescent="0.25">
      <c r="A80" s="10">
        <v>45658</v>
      </c>
      <c r="B80" s="11" t="s">
        <v>1203</v>
      </c>
      <c r="C80" s="11" t="s">
        <v>1204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85">
        <v>25</v>
      </c>
      <c r="P80" s="85"/>
      <c r="Q80" s="85">
        <v>0</v>
      </c>
      <c r="R80" s="29">
        <v>1094.5</v>
      </c>
      <c r="S80" s="86">
        <v>0</v>
      </c>
      <c r="T80" s="86">
        <v>0</v>
      </c>
      <c r="U80" s="86">
        <v>1094.5</v>
      </c>
      <c r="V80" s="86">
        <v>0</v>
      </c>
      <c r="W80" s="86">
        <v>1094.5</v>
      </c>
      <c r="X80" s="86">
        <v>0</v>
      </c>
      <c r="Y80" s="87">
        <v>0</v>
      </c>
      <c r="Z80" s="69" t="s">
        <v>26</v>
      </c>
      <c r="AA80" s="12" t="s">
        <v>31</v>
      </c>
    </row>
    <row r="81" spans="1:27" x14ac:dyDescent="0.25">
      <c r="A81" s="10">
        <v>45658</v>
      </c>
      <c r="B81" s="11" t="s">
        <v>628</v>
      </c>
      <c r="C81" s="11" t="s">
        <v>1205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85" t="s">
        <v>30</v>
      </c>
      <c r="P81" s="85">
        <v>56</v>
      </c>
      <c r="Q81" s="85">
        <v>0</v>
      </c>
      <c r="R81" s="86">
        <v>1400</v>
      </c>
      <c r="S81" s="86">
        <v>0</v>
      </c>
      <c r="T81" s="86">
        <v>0</v>
      </c>
      <c r="U81" s="86">
        <v>1400</v>
      </c>
      <c r="V81" s="86">
        <v>0</v>
      </c>
      <c r="W81" s="86">
        <v>1400</v>
      </c>
      <c r="X81" s="86">
        <v>0</v>
      </c>
      <c r="Y81" s="87">
        <v>0</v>
      </c>
      <c r="Z81" s="69" t="s">
        <v>26</v>
      </c>
      <c r="AA81" s="12" t="s">
        <v>31</v>
      </c>
    </row>
    <row r="82" spans="1:27" x14ac:dyDescent="0.25">
      <c r="A82" s="10">
        <v>45658</v>
      </c>
      <c r="B82" s="11" t="s">
        <v>357</v>
      </c>
      <c r="C82" s="11" t="s">
        <v>1206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85">
        <v>20</v>
      </c>
      <c r="P82" s="85" t="s">
        <v>30</v>
      </c>
      <c r="Q82" s="85">
        <v>0</v>
      </c>
      <c r="R82" s="86">
        <v>682.8</v>
      </c>
      <c r="S82" s="86">
        <v>0</v>
      </c>
      <c r="T82" s="86">
        <v>0</v>
      </c>
      <c r="U82" s="86">
        <v>682.8</v>
      </c>
      <c r="V82" s="86">
        <v>0</v>
      </c>
      <c r="W82" s="86">
        <v>682.8</v>
      </c>
      <c r="X82" s="86">
        <v>0</v>
      </c>
      <c r="Y82" s="87">
        <v>0</v>
      </c>
      <c r="Z82" s="69" t="s">
        <v>26</v>
      </c>
      <c r="AA82" s="12" t="s">
        <v>31</v>
      </c>
    </row>
    <row r="83" spans="1:27" x14ac:dyDescent="0.25">
      <c r="A83" s="10">
        <v>45658</v>
      </c>
      <c r="B83" s="11" t="s">
        <v>1207</v>
      </c>
      <c r="C83" s="11" t="s">
        <v>1208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85" t="s">
        <v>30</v>
      </c>
      <c r="P83" s="85">
        <v>58</v>
      </c>
      <c r="Q83" s="85">
        <v>0</v>
      </c>
      <c r="R83" s="29">
        <v>1450</v>
      </c>
      <c r="S83" s="86">
        <v>0</v>
      </c>
      <c r="T83" s="86">
        <v>0</v>
      </c>
      <c r="U83" s="86">
        <v>1450</v>
      </c>
      <c r="V83" s="86">
        <v>0</v>
      </c>
      <c r="W83" s="86">
        <v>1450</v>
      </c>
      <c r="X83" s="87">
        <v>0</v>
      </c>
      <c r="Y83" s="87">
        <v>0</v>
      </c>
      <c r="Z83" s="69" t="s">
        <v>26</v>
      </c>
      <c r="AA83" s="12" t="s">
        <v>31</v>
      </c>
    </row>
    <row r="84" spans="1:27" x14ac:dyDescent="0.25">
      <c r="A84" s="10">
        <v>45658</v>
      </c>
      <c r="B84" s="11" t="s">
        <v>1209</v>
      </c>
      <c r="C84" s="11" t="s">
        <v>1210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4463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85">
        <v>42</v>
      </c>
      <c r="P84" s="85" t="s">
        <v>30</v>
      </c>
      <c r="Q84" s="85">
        <v>0</v>
      </c>
      <c r="R84" s="86">
        <v>1680</v>
      </c>
      <c r="S84" s="86">
        <v>0</v>
      </c>
      <c r="T84" s="86">
        <v>0</v>
      </c>
      <c r="U84" s="86">
        <v>1680</v>
      </c>
      <c r="V84" s="86">
        <v>1680</v>
      </c>
      <c r="W84" s="86">
        <v>0</v>
      </c>
      <c r="X84" s="86">
        <v>0</v>
      </c>
      <c r="Y84" s="87">
        <v>0</v>
      </c>
      <c r="Z84" s="69" t="s">
        <v>26</v>
      </c>
      <c r="AA84" s="12" t="s">
        <v>31</v>
      </c>
    </row>
    <row r="85" spans="1:27" x14ac:dyDescent="0.25">
      <c r="A85" s="10">
        <v>45659</v>
      </c>
      <c r="B85" s="11" t="s">
        <v>1211</v>
      </c>
      <c r="C85" s="11" t="s">
        <v>1212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4465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85">
        <v>45.33</v>
      </c>
      <c r="P85" s="85" t="s">
        <v>30</v>
      </c>
      <c r="Q85" s="29">
        <v>0</v>
      </c>
      <c r="R85" s="86">
        <v>1836.7716</v>
      </c>
      <c r="S85" s="86">
        <v>0</v>
      </c>
      <c r="T85" s="86">
        <v>0</v>
      </c>
      <c r="U85" s="86">
        <v>1836.7716</v>
      </c>
      <c r="V85" s="86">
        <v>1377.5787</v>
      </c>
      <c r="W85" s="86">
        <v>459.19290000000001</v>
      </c>
      <c r="X85" s="86">
        <v>0</v>
      </c>
      <c r="Y85" s="87">
        <v>0</v>
      </c>
      <c r="Z85" s="69" t="s">
        <v>26</v>
      </c>
      <c r="AA85" s="12" t="s">
        <v>31</v>
      </c>
    </row>
    <row r="86" spans="1:27" x14ac:dyDescent="0.25">
      <c r="A86" s="10">
        <v>45659</v>
      </c>
      <c r="B86" s="11" t="s">
        <v>1213</v>
      </c>
      <c r="C86" s="11" t="s">
        <v>1214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85">
        <v>20</v>
      </c>
      <c r="P86" s="85" t="s">
        <v>30</v>
      </c>
      <c r="Q86" s="85">
        <v>0</v>
      </c>
      <c r="R86" s="86">
        <v>691.2</v>
      </c>
      <c r="S86" s="86">
        <v>0</v>
      </c>
      <c r="T86" s="86">
        <v>0</v>
      </c>
      <c r="U86" s="86">
        <v>691.2</v>
      </c>
      <c r="V86" s="86">
        <v>0</v>
      </c>
      <c r="W86" s="86">
        <v>691.2</v>
      </c>
      <c r="X86" s="86">
        <v>0</v>
      </c>
      <c r="Y86" s="87">
        <v>0</v>
      </c>
      <c r="Z86" s="69" t="s">
        <v>26</v>
      </c>
      <c r="AA86" s="12" t="s">
        <v>31</v>
      </c>
    </row>
    <row r="87" spans="1:27" x14ac:dyDescent="0.25">
      <c r="A87" s="10">
        <v>45659</v>
      </c>
      <c r="B87" s="11" t="s">
        <v>1215</v>
      </c>
      <c r="C87" s="11" t="s">
        <v>1216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4439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85">
        <v>87</v>
      </c>
      <c r="P87" s="85" t="s">
        <v>30</v>
      </c>
      <c r="Q87" s="85">
        <v>0</v>
      </c>
      <c r="R87" s="86">
        <v>3676.62</v>
      </c>
      <c r="S87" s="86">
        <v>38</v>
      </c>
      <c r="T87" s="86">
        <v>1605.8799999999999</v>
      </c>
      <c r="U87" s="86">
        <v>2070.7399999999998</v>
      </c>
      <c r="V87" s="86">
        <v>2070.7399999999998</v>
      </c>
      <c r="W87" s="86">
        <v>0</v>
      </c>
      <c r="X87" s="86">
        <v>1521.36</v>
      </c>
      <c r="Y87" s="87">
        <v>84.519999999999982</v>
      </c>
      <c r="Z87" s="69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4439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85">
        <v>87</v>
      </c>
      <c r="P88" s="85" t="s">
        <v>30</v>
      </c>
      <c r="Q88" s="85">
        <v>0</v>
      </c>
      <c r="R88" s="29">
        <v>3612.2400000000002</v>
      </c>
      <c r="S88" s="86">
        <v>38</v>
      </c>
      <c r="T88" s="86">
        <v>1577.7600000000002</v>
      </c>
      <c r="U88" s="86">
        <v>2034.48</v>
      </c>
      <c r="V88" s="86">
        <v>2034.48</v>
      </c>
      <c r="W88" s="86">
        <v>0</v>
      </c>
      <c r="X88" s="87">
        <v>1494.72</v>
      </c>
      <c r="Y88" s="87">
        <v>83.040000000000191</v>
      </c>
      <c r="Z88" s="69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4439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85">
        <v>87</v>
      </c>
      <c r="P89" s="85" t="s">
        <v>30</v>
      </c>
      <c r="Q89" s="85">
        <v>0</v>
      </c>
      <c r="R89" s="86">
        <v>3523.5</v>
      </c>
      <c r="S89" s="86">
        <v>38</v>
      </c>
      <c r="T89" s="86">
        <v>1539</v>
      </c>
      <c r="U89" s="86">
        <v>1984.5</v>
      </c>
      <c r="V89" s="86">
        <v>1984.5</v>
      </c>
      <c r="W89" s="86">
        <v>0</v>
      </c>
      <c r="X89" s="86">
        <v>1458</v>
      </c>
      <c r="Y89" s="87">
        <v>81</v>
      </c>
      <c r="Z89" s="69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85">
        <v>40</v>
      </c>
      <c r="P90" s="85"/>
      <c r="Q90" s="85">
        <v>0</v>
      </c>
      <c r="R90" s="29">
        <v>1740</v>
      </c>
      <c r="S90" s="86">
        <v>0</v>
      </c>
      <c r="T90" s="86">
        <v>0</v>
      </c>
      <c r="U90" s="86">
        <v>1740</v>
      </c>
      <c r="V90" s="86">
        <v>0</v>
      </c>
      <c r="W90" s="86">
        <v>1740</v>
      </c>
      <c r="X90" s="86">
        <v>0</v>
      </c>
      <c r="Y90" s="87">
        <v>0</v>
      </c>
      <c r="Z90" s="69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4439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85">
        <v>85</v>
      </c>
      <c r="P91" s="85" t="s">
        <v>30</v>
      </c>
      <c r="Q91" s="85">
        <v>0</v>
      </c>
      <c r="R91" s="29">
        <v>3665.2</v>
      </c>
      <c r="S91" s="86">
        <v>38</v>
      </c>
      <c r="T91" s="86">
        <v>1638.56</v>
      </c>
      <c r="U91" s="86">
        <v>2026.6399999999999</v>
      </c>
      <c r="V91" s="86">
        <v>2026.6399999999999</v>
      </c>
      <c r="W91" s="86">
        <v>0</v>
      </c>
      <c r="X91" s="86">
        <v>1595.4399999999998</v>
      </c>
      <c r="Y91" s="87">
        <v>43.120000000000118</v>
      </c>
      <c r="Z91" s="69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85">
        <v>40</v>
      </c>
      <c r="P92" s="85"/>
      <c r="Q92" s="85">
        <v>0</v>
      </c>
      <c r="R92" s="29">
        <v>1740</v>
      </c>
      <c r="S92" s="86">
        <v>0</v>
      </c>
      <c r="T92" s="86">
        <v>0</v>
      </c>
      <c r="U92" s="86">
        <v>1740</v>
      </c>
      <c r="V92" s="86">
        <v>0</v>
      </c>
      <c r="W92" s="86">
        <v>1740</v>
      </c>
      <c r="X92" s="86">
        <v>0</v>
      </c>
      <c r="Y92" s="87">
        <v>0</v>
      </c>
      <c r="Z92" s="69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85">
        <v>91</v>
      </c>
      <c r="P93" s="85" t="s">
        <v>30</v>
      </c>
      <c r="Q93" s="85">
        <v>0</v>
      </c>
      <c r="R93" s="29">
        <v>3992.1699999999996</v>
      </c>
      <c r="S93" s="86">
        <v>40</v>
      </c>
      <c r="T93" s="86">
        <v>1754.8</v>
      </c>
      <c r="U93" s="86">
        <v>2237.37</v>
      </c>
      <c r="V93" s="86">
        <v>2237.37</v>
      </c>
      <c r="W93" s="86">
        <v>0</v>
      </c>
      <c r="X93" s="86">
        <v>1623.1899999999998</v>
      </c>
      <c r="Y93" s="87">
        <v>131.61000000000013</v>
      </c>
      <c r="Z93" s="69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85">
        <v>91</v>
      </c>
      <c r="P94" s="85" t="s">
        <v>30</v>
      </c>
      <c r="Q94" s="85">
        <v>0</v>
      </c>
      <c r="R94" s="86">
        <v>3932.11</v>
      </c>
      <c r="S94" s="86">
        <v>40</v>
      </c>
      <c r="T94" s="86">
        <v>1728.4</v>
      </c>
      <c r="U94" s="86">
        <v>2203.71</v>
      </c>
      <c r="V94" s="86">
        <v>2203.71</v>
      </c>
      <c r="W94" s="86">
        <v>0</v>
      </c>
      <c r="X94" s="86">
        <v>1598.77</v>
      </c>
      <c r="Y94" s="87">
        <v>129.63000000000011</v>
      </c>
      <c r="Z94" s="69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85">
        <v>91</v>
      </c>
      <c r="P95" s="85" t="s">
        <v>30</v>
      </c>
      <c r="Q95" s="85">
        <v>0</v>
      </c>
      <c r="R95" s="86">
        <v>3937.57</v>
      </c>
      <c r="S95" s="86">
        <v>40</v>
      </c>
      <c r="T95" s="86">
        <v>1730.8000000000002</v>
      </c>
      <c r="U95" s="86">
        <v>2206.77</v>
      </c>
      <c r="V95" s="86">
        <v>2206.77</v>
      </c>
      <c r="W95" s="86">
        <v>0</v>
      </c>
      <c r="X95" s="86">
        <v>1600.99</v>
      </c>
      <c r="Y95" s="87">
        <v>129.81000000000017</v>
      </c>
      <c r="Z95" s="69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4439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85">
        <v>83</v>
      </c>
      <c r="P96" s="85" t="s">
        <v>30</v>
      </c>
      <c r="Q96" s="85">
        <v>0</v>
      </c>
      <c r="R96" s="29">
        <v>3710.1000000000004</v>
      </c>
      <c r="S96" s="86">
        <v>38</v>
      </c>
      <c r="T96" s="86">
        <v>1698.6000000000001</v>
      </c>
      <c r="U96" s="86">
        <v>2011.5000000000002</v>
      </c>
      <c r="V96" s="86">
        <v>2011.5000000000002</v>
      </c>
      <c r="W96" s="86">
        <v>0</v>
      </c>
      <c r="X96" s="86">
        <v>1609.2</v>
      </c>
      <c r="Y96" s="87">
        <v>89.400000000000091</v>
      </c>
      <c r="Z96" s="69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85">
        <v>25</v>
      </c>
      <c r="P97" s="85"/>
      <c r="Q97" s="85">
        <v>0</v>
      </c>
      <c r="R97" s="29">
        <v>1000</v>
      </c>
      <c r="S97" s="86">
        <v>0</v>
      </c>
      <c r="T97" s="86">
        <v>0</v>
      </c>
      <c r="U97" s="86">
        <v>1000</v>
      </c>
      <c r="V97" s="86">
        <v>0</v>
      </c>
      <c r="W97" s="86">
        <v>1000</v>
      </c>
      <c r="X97" s="86">
        <v>0</v>
      </c>
      <c r="Y97" s="87">
        <v>0</v>
      </c>
      <c r="Z97" s="69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1217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85" t="s">
        <v>30</v>
      </c>
      <c r="P98" s="85">
        <v>58</v>
      </c>
      <c r="Q98" s="85">
        <v>0</v>
      </c>
      <c r="R98" s="86">
        <v>1450</v>
      </c>
      <c r="S98" s="86">
        <v>0</v>
      </c>
      <c r="T98" s="86">
        <v>0</v>
      </c>
      <c r="U98" s="86">
        <v>1450</v>
      </c>
      <c r="V98" s="86">
        <v>0</v>
      </c>
      <c r="W98" s="86">
        <v>1450</v>
      </c>
      <c r="X98" s="86">
        <v>0</v>
      </c>
      <c r="Y98" s="87">
        <v>0</v>
      </c>
      <c r="Z98" s="69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4462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85" t="s">
        <v>30</v>
      </c>
      <c r="P99" s="85">
        <v>62</v>
      </c>
      <c r="Q99" s="85">
        <v>0</v>
      </c>
      <c r="R99" s="86">
        <v>1364</v>
      </c>
      <c r="S99" s="86">
        <v>37</v>
      </c>
      <c r="T99" s="86">
        <v>814</v>
      </c>
      <c r="U99" s="86">
        <v>550</v>
      </c>
      <c r="V99" s="86">
        <v>550</v>
      </c>
      <c r="W99" s="86">
        <v>0</v>
      </c>
      <c r="X99" s="86">
        <v>858</v>
      </c>
      <c r="Y99" s="87">
        <v>-44</v>
      </c>
      <c r="Z99" s="69" t="s">
        <v>141</v>
      </c>
      <c r="AA99" s="12" t="s">
        <v>445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4463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85">
        <v>42</v>
      </c>
      <c r="P100" s="85" t="s">
        <v>30</v>
      </c>
      <c r="Q100" s="85">
        <v>0</v>
      </c>
      <c r="R100" s="29">
        <v>1680</v>
      </c>
      <c r="S100" s="86">
        <v>0</v>
      </c>
      <c r="T100" s="86">
        <v>0</v>
      </c>
      <c r="U100" s="86">
        <v>1680</v>
      </c>
      <c r="V100" s="86">
        <v>1680</v>
      </c>
      <c r="W100" s="86">
        <v>0</v>
      </c>
      <c r="X100" s="86">
        <v>0</v>
      </c>
      <c r="Y100" s="87">
        <v>0</v>
      </c>
      <c r="Z100" s="69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1218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85">
        <v>15</v>
      </c>
      <c r="P101" s="85" t="s">
        <v>30</v>
      </c>
      <c r="Q101" s="85">
        <v>0</v>
      </c>
      <c r="R101" s="29">
        <v>600</v>
      </c>
      <c r="S101" s="86">
        <v>0</v>
      </c>
      <c r="T101" s="86">
        <v>0</v>
      </c>
      <c r="U101" s="86">
        <v>600</v>
      </c>
      <c r="V101" s="86">
        <v>0</v>
      </c>
      <c r="W101" s="86">
        <v>600</v>
      </c>
      <c r="X101" s="86">
        <v>0</v>
      </c>
      <c r="Y101" s="87">
        <v>0</v>
      </c>
      <c r="Z101" s="69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4439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85">
        <v>85</v>
      </c>
      <c r="P102" s="85" t="s">
        <v>30</v>
      </c>
      <c r="Q102" s="29">
        <v>0</v>
      </c>
      <c r="R102" s="86">
        <v>3408.5</v>
      </c>
      <c r="S102" s="86">
        <v>38</v>
      </c>
      <c r="T102" s="86">
        <v>1523.8</v>
      </c>
      <c r="U102" s="86">
        <v>1884.7</v>
      </c>
      <c r="V102" s="86">
        <v>1884.7</v>
      </c>
      <c r="W102" s="86">
        <v>0</v>
      </c>
      <c r="X102" s="86">
        <v>1443.6000000000001</v>
      </c>
      <c r="Y102" s="87">
        <v>80.199999999999818</v>
      </c>
      <c r="Z102" s="69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4463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85">
        <v>44</v>
      </c>
      <c r="P103" s="85" t="s">
        <v>30</v>
      </c>
      <c r="Q103" s="85">
        <v>0</v>
      </c>
      <c r="R103" s="29">
        <v>1650</v>
      </c>
      <c r="S103" s="86">
        <v>0</v>
      </c>
      <c r="T103" s="86">
        <v>0</v>
      </c>
      <c r="U103" s="86">
        <v>1650</v>
      </c>
      <c r="V103" s="86">
        <v>1650</v>
      </c>
      <c r="W103" s="86">
        <v>0</v>
      </c>
      <c r="X103" s="86">
        <v>0</v>
      </c>
      <c r="Y103" s="87">
        <v>0</v>
      </c>
      <c r="Z103" s="69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85">
        <v>35</v>
      </c>
      <c r="P104" s="85"/>
      <c r="Q104" s="29">
        <v>0</v>
      </c>
      <c r="R104" s="86">
        <v>1400</v>
      </c>
      <c r="S104" s="86">
        <v>0</v>
      </c>
      <c r="T104" s="86">
        <v>0</v>
      </c>
      <c r="U104" s="86">
        <v>1400</v>
      </c>
      <c r="V104" s="86">
        <v>0</v>
      </c>
      <c r="W104" s="86">
        <v>1400</v>
      </c>
      <c r="X104" s="86">
        <v>0</v>
      </c>
      <c r="Y104" s="87">
        <v>0</v>
      </c>
      <c r="Z104" s="69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4439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85">
        <v>85</v>
      </c>
      <c r="P105" s="85" t="s">
        <v>30</v>
      </c>
      <c r="Q105" s="85">
        <v>0</v>
      </c>
      <c r="R105" s="29">
        <v>3637.9999999999995</v>
      </c>
      <c r="S105" s="86">
        <v>38</v>
      </c>
      <c r="T105" s="86">
        <v>1626.3999999999999</v>
      </c>
      <c r="U105" s="86">
        <v>2011.5999999999997</v>
      </c>
      <c r="V105" s="86">
        <v>2011.5999999999997</v>
      </c>
      <c r="W105" s="86">
        <v>0</v>
      </c>
      <c r="X105" s="86">
        <v>1540.8</v>
      </c>
      <c r="Y105" s="87">
        <v>85.599999999999909</v>
      </c>
      <c r="Z105" s="69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85" t="s">
        <v>30</v>
      </c>
      <c r="P106" s="85">
        <v>62</v>
      </c>
      <c r="Q106" s="29">
        <v>0</v>
      </c>
      <c r="R106" s="86">
        <v>1550</v>
      </c>
      <c r="S106" s="86">
        <v>0</v>
      </c>
      <c r="T106" s="86">
        <v>0</v>
      </c>
      <c r="U106" s="86">
        <v>1550</v>
      </c>
      <c r="V106" s="86">
        <v>0</v>
      </c>
      <c r="W106" s="86">
        <v>1550</v>
      </c>
      <c r="X106" s="86">
        <v>0</v>
      </c>
      <c r="Y106" s="87">
        <v>0</v>
      </c>
      <c r="Z106" s="69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9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4463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9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9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4463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9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9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9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9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9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4462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9" t="s">
        <v>141</v>
      </c>
      <c r="AA115" s="12" t="s">
        <v>445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4439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9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4463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9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4439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9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9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4439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9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4439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9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4440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9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4439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9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4462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9" t="s">
        <v>141</v>
      </c>
      <c r="AA124" s="12" t="s">
        <v>445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9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4440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9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9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4440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9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4439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9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4465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9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9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9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4465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9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4465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9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4463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9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1217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9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4464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9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4463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9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4463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9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4465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9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9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9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9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9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9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9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9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9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9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9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4440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9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9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9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9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9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9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9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9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9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1217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9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6345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9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4439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9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4439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9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9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4465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9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4439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9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4439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9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4439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9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4439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9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9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9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9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9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9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4440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9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9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9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6345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9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1219</v>
      </c>
      <c r="F179" s="11" t="s">
        <v>26</v>
      </c>
      <c r="G179" s="11" t="s">
        <v>26</v>
      </c>
      <c r="H179" s="12" t="s">
        <v>4439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9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4439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9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9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4440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9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4439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9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4440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9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4463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9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659</v>
      </c>
      <c r="F186" s="11" t="s">
        <v>26</v>
      </c>
      <c r="G186" s="11" t="s">
        <v>26</v>
      </c>
      <c r="H186" s="12" t="s">
        <v>4439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9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9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9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4439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9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4439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9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4439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9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9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9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9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9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4440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9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9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4439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9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4439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9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9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6345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9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9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9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9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9" t="s">
        <v>26</v>
      </c>
      <c r="AA205" s="12" t="s">
        <v>31</v>
      </c>
    </row>
    <row r="206" spans="1:27" x14ac:dyDescent="0.25">
      <c r="A206" s="10">
        <v>45660</v>
      </c>
      <c r="B206" s="11" t="s">
        <v>1220</v>
      </c>
      <c r="C206" s="11" t="s">
        <v>1221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9" t="s">
        <v>26</v>
      </c>
      <c r="AA206" s="12" t="s">
        <v>31</v>
      </c>
    </row>
    <row r="207" spans="1:27" x14ac:dyDescent="0.25">
      <c r="A207" s="10">
        <v>45660</v>
      </c>
      <c r="B207" s="11" t="s">
        <v>281</v>
      </c>
      <c r="C207" s="11" t="s">
        <v>1222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4463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9" t="s">
        <v>26</v>
      </c>
      <c r="AA207" s="12" t="s">
        <v>31</v>
      </c>
    </row>
    <row r="208" spans="1:27" x14ac:dyDescent="0.25">
      <c r="A208" s="10">
        <v>45660</v>
      </c>
      <c r="B208" s="11" t="s">
        <v>416</v>
      </c>
      <c r="C208" s="11" t="s">
        <v>1223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4463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9" t="s">
        <v>26</v>
      </c>
      <c r="AA208" s="12" t="s">
        <v>31</v>
      </c>
    </row>
    <row r="209" spans="1:27" x14ac:dyDescent="0.25">
      <c r="A209" s="10">
        <v>45660</v>
      </c>
      <c r="B209" s="11" t="s">
        <v>720</v>
      </c>
      <c r="C209" s="11" t="s">
        <v>1224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4463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9" t="s">
        <v>26</v>
      </c>
      <c r="AA209" s="12" t="s">
        <v>31</v>
      </c>
    </row>
    <row r="210" spans="1:27" x14ac:dyDescent="0.25">
      <c r="A210" s="10">
        <v>45660</v>
      </c>
      <c r="B210" s="11" t="s">
        <v>1225</v>
      </c>
      <c r="C210" s="11" t="s">
        <v>1226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4440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9" t="s">
        <v>26</v>
      </c>
      <c r="AA210" s="12" t="s">
        <v>31</v>
      </c>
    </row>
    <row r="211" spans="1:27" x14ac:dyDescent="0.25">
      <c r="A211" s="10">
        <v>45660</v>
      </c>
      <c r="B211" s="11" t="s">
        <v>516</v>
      </c>
      <c r="C211" s="11" t="s">
        <v>1227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9" t="s">
        <v>26</v>
      </c>
      <c r="AA211" s="12" t="s">
        <v>31</v>
      </c>
    </row>
    <row r="212" spans="1:27" x14ac:dyDescent="0.25">
      <c r="A212" s="10">
        <v>45660</v>
      </c>
      <c r="B212" s="11" t="s">
        <v>1228</v>
      </c>
      <c r="C212" s="11" t="s">
        <v>1229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4440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9" t="s">
        <v>26</v>
      </c>
      <c r="AA212" s="12" t="s">
        <v>31</v>
      </c>
    </row>
    <row r="213" spans="1:27" x14ac:dyDescent="0.25">
      <c r="A213" s="10">
        <v>45660</v>
      </c>
      <c r="B213" s="11" t="s">
        <v>251</v>
      </c>
      <c r="C213" s="11" t="s">
        <v>1230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9" t="s">
        <v>26</v>
      </c>
      <c r="AA213" s="12" t="s">
        <v>31</v>
      </c>
    </row>
    <row r="214" spans="1:27" x14ac:dyDescent="0.25">
      <c r="A214" s="10">
        <v>45660</v>
      </c>
      <c r="B214" s="11" t="s">
        <v>592</v>
      </c>
      <c r="C214" s="11" t="s">
        <v>1231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9" t="s">
        <v>26</v>
      </c>
      <c r="AA214" s="12" t="s">
        <v>31</v>
      </c>
    </row>
    <row r="215" spans="1:27" x14ac:dyDescent="0.25">
      <c r="A215" s="10">
        <v>45660</v>
      </c>
      <c r="B215" s="11" t="s">
        <v>1232</v>
      </c>
      <c r="C215" s="11" t="s">
        <v>1233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9" t="s">
        <v>26</v>
      </c>
      <c r="AA215" s="12" t="s">
        <v>31</v>
      </c>
    </row>
    <row r="216" spans="1:27" x14ac:dyDescent="0.25">
      <c r="A216" s="10">
        <v>45660</v>
      </c>
      <c r="B216" s="11" t="s">
        <v>1234</v>
      </c>
      <c r="C216" s="11" t="s">
        <v>1235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9" t="s">
        <v>26</v>
      </c>
      <c r="AA216" s="12" t="s">
        <v>31</v>
      </c>
    </row>
    <row r="217" spans="1:27" x14ac:dyDescent="0.25">
      <c r="A217" s="10">
        <v>45660</v>
      </c>
      <c r="B217" s="11" t="s">
        <v>1236</v>
      </c>
      <c r="C217" s="11" t="s">
        <v>1237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4463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9" t="s">
        <v>26</v>
      </c>
      <c r="AA217" s="12" t="s">
        <v>31</v>
      </c>
    </row>
    <row r="218" spans="1:27" x14ac:dyDescent="0.25">
      <c r="A218" s="10">
        <v>45660</v>
      </c>
      <c r="B218" s="11" t="s">
        <v>1238</v>
      </c>
      <c r="C218" s="11" t="s">
        <v>1239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4465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9" t="s">
        <v>26</v>
      </c>
      <c r="AA218" s="12" t="s">
        <v>31</v>
      </c>
    </row>
    <row r="219" spans="1:27" x14ac:dyDescent="0.25">
      <c r="A219" s="10">
        <v>45660</v>
      </c>
      <c r="B219" s="11" t="s">
        <v>1240</v>
      </c>
      <c r="C219" s="11" t="s">
        <v>1241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9" t="s">
        <v>26</v>
      </c>
      <c r="AA219" s="12" t="s">
        <v>31</v>
      </c>
    </row>
    <row r="220" spans="1:27" x14ac:dyDescent="0.25">
      <c r="A220" s="10">
        <v>45660</v>
      </c>
      <c r="B220" s="11" t="s">
        <v>1242</v>
      </c>
      <c r="C220" s="11" t="s">
        <v>1243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4440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9" t="s">
        <v>26</v>
      </c>
      <c r="AA220" s="12" t="s">
        <v>31</v>
      </c>
    </row>
    <row r="221" spans="1:27" x14ac:dyDescent="0.25">
      <c r="A221" s="10">
        <v>45660</v>
      </c>
      <c r="B221" s="11" t="s">
        <v>1244</v>
      </c>
      <c r="C221" s="11" t="s">
        <v>1245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9" t="s">
        <v>26</v>
      </c>
      <c r="AA221" s="12" t="s">
        <v>31</v>
      </c>
    </row>
    <row r="222" spans="1:27" x14ac:dyDescent="0.25">
      <c r="A222" s="10">
        <v>45660</v>
      </c>
      <c r="B222" s="11" t="s">
        <v>1246</v>
      </c>
      <c r="C222" s="11" t="s">
        <v>1247</v>
      </c>
      <c r="D222" s="11" t="s">
        <v>26</v>
      </c>
      <c r="E222" s="11" t="s">
        <v>659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9" t="s">
        <v>26</v>
      </c>
      <c r="AA222" s="12" t="s">
        <v>31</v>
      </c>
    </row>
    <row r="223" spans="1:27" x14ac:dyDescent="0.25">
      <c r="A223" s="10">
        <v>45660</v>
      </c>
      <c r="B223" s="11" t="s">
        <v>1248</v>
      </c>
      <c r="C223" s="11" t="s">
        <v>1249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4440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9" t="s">
        <v>26</v>
      </c>
      <c r="AA223" s="12" t="s">
        <v>31</v>
      </c>
    </row>
    <row r="224" spans="1:27" x14ac:dyDescent="0.25">
      <c r="A224" s="10">
        <v>45660</v>
      </c>
      <c r="B224" s="11" t="s">
        <v>1250</v>
      </c>
      <c r="C224" s="11" t="s">
        <v>1251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4465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9" t="s">
        <v>26</v>
      </c>
      <c r="AA224" s="12" t="s">
        <v>31</v>
      </c>
    </row>
    <row r="225" spans="1:27" x14ac:dyDescent="0.25">
      <c r="A225" s="10">
        <v>45660</v>
      </c>
      <c r="B225" s="11" t="s">
        <v>1252</v>
      </c>
      <c r="C225" s="11" t="s">
        <v>1253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9" t="s">
        <v>26</v>
      </c>
      <c r="AA225" s="12" t="s">
        <v>31</v>
      </c>
    </row>
    <row r="226" spans="1:27" x14ac:dyDescent="0.25">
      <c r="A226" s="10">
        <v>45660</v>
      </c>
      <c r="B226" s="11" t="s">
        <v>1254</v>
      </c>
      <c r="C226" s="11" t="s">
        <v>1255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4440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9" t="s">
        <v>26</v>
      </c>
      <c r="AA226" s="12" t="s">
        <v>31</v>
      </c>
    </row>
    <row r="227" spans="1:27" x14ac:dyDescent="0.25">
      <c r="A227" s="10">
        <v>45660</v>
      </c>
      <c r="B227" s="11" t="s">
        <v>1256</v>
      </c>
      <c r="C227" s="11" t="s">
        <v>1257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9" t="s">
        <v>26</v>
      </c>
      <c r="AA227" s="12" t="s">
        <v>31</v>
      </c>
    </row>
    <row r="228" spans="1:27" x14ac:dyDescent="0.25">
      <c r="A228" s="10">
        <v>45660</v>
      </c>
      <c r="B228" s="11" t="s">
        <v>698</v>
      </c>
      <c r="C228" s="11" t="s">
        <v>1258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4440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9" t="s">
        <v>26</v>
      </c>
      <c r="AA228" s="12" t="s">
        <v>31</v>
      </c>
    </row>
    <row r="229" spans="1:27" x14ac:dyDescent="0.25">
      <c r="A229" s="10">
        <v>45660</v>
      </c>
      <c r="B229" s="11" t="s">
        <v>1259</v>
      </c>
      <c r="C229" s="11" t="s">
        <v>1260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4439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9" t="s">
        <v>41</v>
      </c>
      <c r="AA229" s="12" t="s">
        <v>78</v>
      </c>
    </row>
    <row r="230" spans="1:27" x14ac:dyDescent="0.25">
      <c r="A230" s="10">
        <v>45660</v>
      </c>
      <c r="B230" s="11" t="s">
        <v>1261</v>
      </c>
      <c r="C230" s="11" t="s">
        <v>1262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4440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9" t="s">
        <v>26</v>
      </c>
      <c r="AA230" s="12" t="s">
        <v>31</v>
      </c>
    </row>
    <row r="231" spans="1:27" x14ac:dyDescent="0.25">
      <c r="A231" s="10">
        <v>45660</v>
      </c>
      <c r="B231" s="11" t="s">
        <v>1263</v>
      </c>
      <c r="C231" s="11" t="s">
        <v>1264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9" t="s">
        <v>26</v>
      </c>
      <c r="AA231" s="12" t="s">
        <v>31</v>
      </c>
    </row>
    <row r="232" spans="1:27" x14ac:dyDescent="0.25">
      <c r="A232" s="10">
        <v>45660</v>
      </c>
      <c r="B232" s="11" t="s">
        <v>712</v>
      </c>
      <c r="C232" s="11" t="s">
        <v>1265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9" t="s">
        <v>26</v>
      </c>
      <c r="AA232" s="12" t="s">
        <v>31</v>
      </c>
    </row>
    <row r="233" spans="1:27" x14ac:dyDescent="0.25">
      <c r="A233" s="10">
        <v>45660</v>
      </c>
      <c r="B233" s="11" t="s">
        <v>1266</v>
      </c>
      <c r="C233" s="11" t="s">
        <v>1267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9" t="s">
        <v>26</v>
      </c>
      <c r="AA233" s="12" t="s">
        <v>31</v>
      </c>
    </row>
    <row r="234" spans="1:27" x14ac:dyDescent="0.25">
      <c r="A234" s="10">
        <v>45660</v>
      </c>
      <c r="B234" s="11" t="s">
        <v>1268</v>
      </c>
      <c r="C234" s="11" t="s">
        <v>1269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9" t="s">
        <v>26</v>
      </c>
      <c r="AA234" s="12" t="s">
        <v>31</v>
      </c>
    </row>
    <row r="235" spans="1:27" x14ac:dyDescent="0.25">
      <c r="A235" s="10">
        <v>45660</v>
      </c>
      <c r="B235" s="11" t="s">
        <v>1270</v>
      </c>
      <c r="C235" s="11" t="s">
        <v>1271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4463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9" t="s">
        <v>26</v>
      </c>
      <c r="AA235" s="12" t="s">
        <v>31</v>
      </c>
    </row>
    <row r="236" spans="1:27" x14ac:dyDescent="0.25">
      <c r="A236" s="10">
        <v>45660</v>
      </c>
      <c r="B236" s="11" t="s">
        <v>1272</v>
      </c>
      <c r="C236" s="11" t="s">
        <v>1273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9" t="s">
        <v>26</v>
      </c>
      <c r="AA236" s="12" t="s">
        <v>31</v>
      </c>
    </row>
    <row r="237" spans="1:27" x14ac:dyDescent="0.25">
      <c r="A237" s="10">
        <v>45660</v>
      </c>
      <c r="B237" s="11" t="s">
        <v>1274</v>
      </c>
      <c r="C237" s="11" t="s">
        <v>1275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9" t="s">
        <v>26</v>
      </c>
      <c r="AA237" s="12" t="s">
        <v>31</v>
      </c>
    </row>
    <row r="238" spans="1:27" x14ac:dyDescent="0.25">
      <c r="A238" s="10">
        <v>45660</v>
      </c>
      <c r="B238" s="11" t="s">
        <v>1276</v>
      </c>
      <c r="C238" s="11" t="s">
        <v>1277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9" t="s">
        <v>26</v>
      </c>
      <c r="AA238" s="12" t="s">
        <v>31</v>
      </c>
    </row>
    <row r="239" spans="1:27" x14ac:dyDescent="0.25">
      <c r="A239" s="10">
        <v>45660</v>
      </c>
      <c r="B239" s="11" t="s">
        <v>1278</v>
      </c>
      <c r="C239" s="11" t="s">
        <v>1279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4463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9" t="s">
        <v>26</v>
      </c>
      <c r="AA239" s="12" t="s">
        <v>31</v>
      </c>
    </row>
    <row r="240" spans="1:27" x14ac:dyDescent="0.25">
      <c r="A240" s="10">
        <v>45660</v>
      </c>
      <c r="B240" s="11" t="s">
        <v>1280</v>
      </c>
      <c r="C240" s="11" t="s">
        <v>1281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4465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9" t="s">
        <v>26</v>
      </c>
      <c r="AA240" s="12" t="s">
        <v>31</v>
      </c>
    </row>
    <row r="241" spans="1:27" x14ac:dyDescent="0.25">
      <c r="A241" s="10">
        <v>45661</v>
      </c>
      <c r="B241" s="11" t="s">
        <v>726</v>
      </c>
      <c r="C241" s="11" t="s">
        <v>1282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4439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9" t="s">
        <v>6345</v>
      </c>
      <c r="AA241" s="12" t="s">
        <v>78</v>
      </c>
    </row>
    <row r="242" spans="1:27" x14ac:dyDescent="0.25">
      <c r="A242" s="10">
        <v>45661</v>
      </c>
      <c r="B242" s="11" t="s">
        <v>695</v>
      </c>
      <c r="C242" s="11" t="s">
        <v>1283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4439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9" t="s">
        <v>141</v>
      </c>
      <c r="AA242" s="12" t="s">
        <v>78</v>
      </c>
    </row>
    <row r="243" spans="1:27" x14ac:dyDescent="0.25">
      <c r="A243" s="10">
        <v>45661</v>
      </c>
      <c r="B243" s="11" t="s">
        <v>1284</v>
      </c>
      <c r="C243" s="11" t="s">
        <v>1285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4439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9" t="s">
        <v>141</v>
      </c>
      <c r="AA243" s="12" t="s">
        <v>78</v>
      </c>
    </row>
    <row r="244" spans="1:27" x14ac:dyDescent="0.25">
      <c r="A244" s="10">
        <v>45661</v>
      </c>
      <c r="B244" s="11" t="s">
        <v>1286</v>
      </c>
      <c r="C244" s="11" t="s">
        <v>1287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9" t="s">
        <v>26</v>
      </c>
      <c r="AA244" s="12" t="s">
        <v>31</v>
      </c>
    </row>
    <row r="245" spans="1:27" x14ac:dyDescent="0.25">
      <c r="A245" s="10">
        <v>45661</v>
      </c>
      <c r="B245" s="11" t="s">
        <v>1288</v>
      </c>
      <c r="C245" s="11" t="s">
        <v>1289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4439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9" t="s">
        <v>141</v>
      </c>
      <c r="AA245" s="12" t="s">
        <v>78</v>
      </c>
    </row>
    <row r="246" spans="1:27" x14ac:dyDescent="0.25">
      <c r="A246" s="10">
        <v>45661</v>
      </c>
      <c r="B246" s="11" t="s">
        <v>717</v>
      </c>
      <c r="C246" s="11" t="s">
        <v>1290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9" t="s">
        <v>26</v>
      </c>
      <c r="AA246" s="12" t="s">
        <v>31</v>
      </c>
    </row>
    <row r="247" spans="1:27" x14ac:dyDescent="0.25">
      <c r="A247" s="10">
        <v>45661</v>
      </c>
      <c r="B247" s="11" t="s">
        <v>650</v>
      </c>
      <c r="C247" s="11" t="s">
        <v>1291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4465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9" t="s">
        <v>26</v>
      </c>
      <c r="AA247" s="12" t="s">
        <v>31</v>
      </c>
    </row>
    <row r="248" spans="1:27" x14ac:dyDescent="0.25">
      <c r="A248" s="10">
        <v>45661</v>
      </c>
      <c r="B248" s="11" t="s">
        <v>1292</v>
      </c>
      <c r="C248" s="11" t="s">
        <v>1293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4439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9" t="s">
        <v>41</v>
      </c>
      <c r="AA248" s="12" t="s">
        <v>78</v>
      </c>
    </row>
    <row r="249" spans="1:27" x14ac:dyDescent="0.25">
      <c r="A249" s="10">
        <v>45661</v>
      </c>
      <c r="B249" s="11" t="s">
        <v>1294</v>
      </c>
      <c r="C249" s="11" t="s">
        <v>1295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4440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9" t="s">
        <v>26</v>
      </c>
      <c r="AA249" s="12" t="s">
        <v>31</v>
      </c>
    </row>
    <row r="250" spans="1:27" x14ac:dyDescent="0.25">
      <c r="A250" s="10">
        <v>45661</v>
      </c>
      <c r="B250" s="11" t="s">
        <v>1296</v>
      </c>
      <c r="C250" s="11" t="s">
        <v>1297</v>
      </c>
      <c r="D250" s="11" t="s">
        <v>26</v>
      </c>
      <c r="E250" s="11" t="s">
        <v>1298</v>
      </c>
      <c r="F250" s="11" t="s">
        <v>26</v>
      </c>
      <c r="G250" s="11" t="s">
        <v>26</v>
      </c>
      <c r="H250" s="12" t="s">
        <v>4439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9" t="s">
        <v>141</v>
      </c>
      <c r="AA250" s="12" t="s">
        <v>78</v>
      </c>
    </row>
    <row r="251" spans="1:27" x14ac:dyDescent="0.25">
      <c r="A251" s="10">
        <v>45661</v>
      </c>
      <c r="B251" s="11" t="s">
        <v>1299</v>
      </c>
      <c r="C251" s="11" t="s">
        <v>1300</v>
      </c>
      <c r="D251" s="11" t="s">
        <v>26</v>
      </c>
      <c r="E251" s="11" t="s">
        <v>1217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9" t="s">
        <v>26</v>
      </c>
      <c r="AA251" s="12" t="s">
        <v>31</v>
      </c>
    </row>
    <row r="252" spans="1:27" x14ac:dyDescent="0.25">
      <c r="A252" s="10">
        <v>45661</v>
      </c>
      <c r="B252" s="11" t="s">
        <v>1301</v>
      </c>
      <c r="C252" s="11" t="s">
        <v>1302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4439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9" t="s">
        <v>41</v>
      </c>
      <c r="AA252" s="12" t="s">
        <v>78</v>
      </c>
    </row>
    <row r="253" spans="1:27" x14ac:dyDescent="0.25">
      <c r="A253" s="10">
        <v>45661</v>
      </c>
      <c r="B253" s="11" t="s">
        <v>1303</v>
      </c>
      <c r="C253" s="11" t="s">
        <v>1304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4439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9" t="s">
        <v>141</v>
      </c>
      <c r="AA253" s="12" t="s">
        <v>78</v>
      </c>
    </row>
    <row r="254" spans="1:27" x14ac:dyDescent="0.25">
      <c r="A254" s="10">
        <v>45661</v>
      </c>
      <c r="B254" s="11" t="s">
        <v>1305</v>
      </c>
      <c r="C254" s="11" t="s">
        <v>1306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9" t="s">
        <v>26</v>
      </c>
      <c r="AA254" s="12" t="s">
        <v>31</v>
      </c>
    </row>
    <row r="255" spans="1:27" x14ac:dyDescent="0.25">
      <c r="A255" s="10">
        <v>45661</v>
      </c>
      <c r="B255" s="11" t="s">
        <v>1307</v>
      </c>
      <c r="C255" s="11" t="s">
        <v>1308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9" t="s">
        <v>26</v>
      </c>
      <c r="AA255" s="12" t="s">
        <v>31</v>
      </c>
    </row>
    <row r="256" spans="1:27" x14ac:dyDescent="0.25">
      <c r="A256" s="10">
        <v>45661</v>
      </c>
      <c r="B256" s="11" t="s">
        <v>1309</v>
      </c>
      <c r="C256" s="11" t="s">
        <v>1310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9" t="s">
        <v>26</v>
      </c>
      <c r="AA256" s="12" t="s">
        <v>31</v>
      </c>
    </row>
    <row r="257" spans="1:27" x14ac:dyDescent="0.25">
      <c r="A257" s="10">
        <v>45661</v>
      </c>
      <c r="B257" s="11" t="s">
        <v>1311</v>
      </c>
      <c r="C257" s="11" t="s">
        <v>1312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4439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9" t="s">
        <v>141</v>
      </c>
      <c r="AA257" s="12" t="s">
        <v>78</v>
      </c>
    </row>
    <row r="258" spans="1:27" x14ac:dyDescent="0.25">
      <c r="A258" s="10">
        <v>45661</v>
      </c>
      <c r="B258" s="11" t="s">
        <v>1313</v>
      </c>
      <c r="C258" s="11" t="s">
        <v>1314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4439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9" t="s">
        <v>41</v>
      </c>
      <c r="AA258" s="12" t="s">
        <v>78</v>
      </c>
    </row>
    <row r="259" spans="1:27" x14ac:dyDescent="0.25">
      <c r="A259" s="10">
        <v>45661</v>
      </c>
      <c r="B259" s="11" t="s">
        <v>752</v>
      </c>
      <c r="C259" s="11" t="s">
        <v>1315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4439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9" t="s">
        <v>41</v>
      </c>
      <c r="AA259" s="12" t="s">
        <v>78</v>
      </c>
    </row>
    <row r="260" spans="1:27" x14ac:dyDescent="0.25">
      <c r="A260" s="10">
        <v>45661</v>
      </c>
      <c r="B260" s="11" t="s">
        <v>1316</v>
      </c>
      <c r="C260" s="11" t="s">
        <v>1317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9" t="s">
        <v>26</v>
      </c>
      <c r="AA260" s="12" t="s">
        <v>31</v>
      </c>
    </row>
    <row r="261" spans="1:27" x14ac:dyDescent="0.25">
      <c r="A261" s="10">
        <v>45661</v>
      </c>
      <c r="B261" s="11" t="s">
        <v>1318</v>
      </c>
      <c r="C261" s="11" t="s">
        <v>1319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4439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9" t="s">
        <v>141</v>
      </c>
      <c r="AA261" s="12" t="s">
        <v>78</v>
      </c>
    </row>
    <row r="262" spans="1:27" x14ac:dyDescent="0.25">
      <c r="A262" s="10">
        <v>45661</v>
      </c>
      <c r="B262" s="11" t="s">
        <v>1320</v>
      </c>
      <c r="C262" s="11" t="s">
        <v>1321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4463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9" t="s">
        <v>26</v>
      </c>
      <c r="AA262" s="12" t="s">
        <v>31</v>
      </c>
    </row>
    <row r="263" spans="1:27" x14ac:dyDescent="0.25">
      <c r="A263" s="10">
        <v>45661</v>
      </c>
      <c r="B263" s="11" t="s">
        <v>701</v>
      </c>
      <c r="C263" s="11" t="s">
        <v>1322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4463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9" t="s">
        <v>26</v>
      </c>
      <c r="AA263" s="12" t="s">
        <v>31</v>
      </c>
    </row>
    <row r="264" spans="1:27" x14ac:dyDescent="0.25">
      <c r="A264" s="10">
        <v>45661</v>
      </c>
      <c r="B264" s="11" t="s">
        <v>1323</v>
      </c>
      <c r="C264" s="11" t="s">
        <v>1324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4465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9" t="s">
        <v>26</v>
      </c>
      <c r="AA264" s="12" t="s">
        <v>31</v>
      </c>
    </row>
    <row r="265" spans="1:27" x14ac:dyDescent="0.25">
      <c r="A265" s="10">
        <v>45661</v>
      </c>
      <c r="B265" s="11" t="s">
        <v>1325</v>
      </c>
      <c r="C265" s="11" t="s">
        <v>1326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4465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9" t="s">
        <v>26</v>
      </c>
      <c r="AA265" s="12" t="s">
        <v>31</v>
      </c>
    </row>
    <row r="266" spans="1:27" x14ac:dyDescent="0.25">
      <c r="A266" s="10">
        <v>45661</v>
      </c>
      <c r="B266" s="11" t="s">
        <v>670</v>
      </c>
      <c r="C266" s="11" t="s">
        <v>1327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4465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9" t="s">
        <v>26</v>
      </c>
      <c r="AA266" s="12" t="s">
        <v>31</v>
      </c>
    </row>
    <row r="267" spans="1:27" x14ac:dyDescent="0.25">
      <c r="A267" s="10">
        <v>45661</v>
      </c>
      <c r="B267" s="11" t="s">
        <v>1328</v>
      </c>
      <c r="C267" s="11" t="s">
        <v>1329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4465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9" t="s">
        <v>26</v>
      </c>
      <c r="AA267" s="12" t="s">
        <v>31</v>
      </c>
    </row>
    <row r="268" spans="1:27" x14ac:dyDescent="0.25">
      <c r="A268" s="10">
        <v>45661</v>
      </c>
      <c r="B268" s="11" t="s">
        <v>1330</v>
      </c>
      <c r="C268" s="11" t="s">
        <v>1331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9" t="s">
        <v>26</v>
      </c>
      <c r="AA268" s="12" t="s">
        <v>31</v>
      </c>
    </row>
    <row r="269" spans="1:27" x14ac:dyDescent="0.25">
      <c r="A269" s="10">
        <v>45661</v>
      </c>
      <c r="B269" s="11" t="s">
        <v>1332</v>
      </c>
      <c r="C269" s="11" t="s">
        <v>1333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4465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9" t="s">
        <v>26</v>
      </c>
      <c r="AA269" s="12" t="s">
        <v>31</v>
      </c>
    </row>
    <row r="270" spans="1:27" x14ac:dyDescent="0.25">
      <c r="A270" s="10">
        <v>45661</v>
      </c>
      <c r="B270" s="11" t="s">
        <v>1334</v>
      </c>
      <c r="C270" s="11" t="s">
        <v>1335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9" t="s">
        <v>26</v>
      </c>
      <c r="AA270" s="12" t="s">
        <v>31</v>
      </c>
    </row>
    <row r="271" spans="1:27" x14ac:dyDescent="0.25">
      <c r="A271" s="10">
        <v>45661</v>
      </c>
      <c r="B271" s="11" t="s">
        <v>1336</v>
      </c>
      <c r="C271" s="11" t="s">
        <v>1337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4440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9" t="s">
        <v>26</v>
      </c>
      <c r="AA271" s="12" t="s">
        <v>31</v>
      </c>
    </row>
    <row r="272" spans="1:27" x14ac:dyDescent="0.25">
      <c r="A272" s="10">
        <v>45661</v>
      </c>
      <c r="B272" s="11" t="s">
        <v>680</v>
      </c>
      <c r="C272" s="11" t="s">
        <v>1338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9" t="s">
        <v>26</v>
      </c>
      <c r="AA272" s="12" t="s">
        <v>31</v>
      </c>
    </row>
    <row r="273" spans="1:27" x14ac:dyDescent="0.25">
      <c r="A273" s="10">
        <v>45661</v>
      </c>
      <c r="B273" s="11" t="s">
        <v>677</v>
      </c>
      <c r="C273" s="11" t="s">
        <v>1339</v>
      </c>
      <c r="D273" s="11" t="s">
        <v>26</v>
      </c>
      <c r="E273" s="11" t="s">
        <v>1217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9" t="s">
        <v>26</v>
      </c>
      <c r="AA273" s="12" t="s">
        <v>31</v>
      </c>
    </row>
    <row r="274" spans="1:27" x14ac:dyDescent="0.25">
      <c r="A274" s="10">
        <v>45661</v>
      </c>
      <c r="B274" s="11" t="s">
        <v>1340</v>
      </c>
      <c r="C274" s="11" t="s">
        <v>1341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9" t="s">
        <v>26</v>
      </c>
      <c r="AA274" s="12" t="s">
        <v>31</v>
      </c>
    </row>
    <row r="275" spans="1:27" x14ac:dyDescent="0.25">
      <c r="A275" s="10">
        <v>45661</v>
      </c>
      <c r="B275" s="11" t="s">
        <v>1342</v>
      </c>
      <c r="C275" s="11" t="s">
        <v>1343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4439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9" t="s">
        <v>6345</v>
      </c>
      <c r="AA275" s="12" t="s">
        <v>78</v>
      </c>
    </row>
    <row r="276" spans="1:27" x14ac:dyDescent="0.25">
      <c r="A276" s="10">
        <v>45661</v>
      </c>
      <c r="B276" s="11" t="s">
        <v>1344</v>
      </c>
      <c r="C276" s="11" t="s">
        <v>1345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9" t="s">
        <v>26</v>
      </c>
      <c r="AA276" s="12" t="s">
        <v>31</v>
      </c>
    </row>
    <row r="277" spans="1:27" x14ac:dyDescent="0.25">
      <c r="A277" s="10">
        <v>45661</v>
      </c>
      <c r="B277" s="11" t="s">
        <v>1346</v>
      </c>
      <c r="C277" s="11" t="s">
        <v>1347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9" t="s">
        <v>26</v>
      </c>
      <c r="AA277" s="12" t="s">
        <v>31</v>
      </c>
    </row>
    <row r="278" spans="1:27" x14ac:dyDescent="0.25">
      <c r="A278" s="10">
        <v>45661</v>
      </c>
      <c r="B278" s="11" t="s">
        <v>1348</v>
      </c>
      <c r="C278" s="11" t="s">
        <v>1349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9" t="s">
        <v>26</v>
      </c>
      <c r="AA278" s="12" t="s">
        <v>31</v>
      </c>
    </row>
    <row r="279" spans="1:27" x14ac:dyDescent="0.25">
      <c r="A279" s="10">
        <v>45661</v>
      </c>
      <c r="B279" s="11" t="s">
        <v>1350</v>
      </c>
      <c r="C279" s="11" t="s">
        <v>1351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4439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9" t="s">
        <v>41</v>
      </c>
      <c r="AA279" s="12" t="s">
        <v>78</v>
      </c>
    </row>
    <row r="280" spans="1:27" x14ac:dyDescent="0.25">
      <c r="A280" s="10">
        <v>45661</v>
      </c>
      <c r="B280" s="11" t="s">
        <v>1352</v>
      </c>
      <c r="C280" s="11" t="s">
        <v>1353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9" t="s">
        <v>26</v>
      </c>
      <c r="AA280" s="12" t="s">
        <v>31</v>
      </c>
    </row>
    <row r="281" spans="1:27" x14ac:dyDescent="0.25">
      <c r="A281" s="10">
        <v>45661</v>
      </c>
      <c r="B281" s="11" t="s">
        <v>1354</v>
      </c>
      <c r="C281" s="11" t="s">
        <v>1355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4463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9" t="s">
        <v>26</v>
      </c>
      <c r="AA281" s="12" t="s">
        <v>31</v>
      </c>
    </row>
    <row r="282" spans="1:27" x14ac:dyDescent="0.25">
      <c r="A282" s="10">
        <v>45661</v>
      </c>
      <c r="B282" s="11" t="s">
        <v>1356</v>
      </c>
      <c r="C282" s="11" t="s">
        <v>1357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9" t="s">
        <v>26</v>
      </c>
      <c r="AA282" s="12" t="s">
        <v>31</v>
      </c>
    </row>
    <row r="283" spans="1:27" x14ac:dyDescent="0.25">
      <c r="A283" s="10">
        <v>45661</v>
      </c>
      <c r="B283" s="11" t="s">
        <v>448</v>
      </c>
      <c r="C283" s="11" t="s">
        <v>1358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6345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9" t="s">
        <v>26</v>
      </c>
      <c r="AA283" s="12" t="s">
        <v>31</v>
      </c>
    </row>
    <row r="284" spans="1:27" x14ac:dyDescent="0.25">
      <c r="A284" s="10">
        <v>45661</v>
      </c>
      <c r="B284" s="11" t="s">
        <v>1359</v>
      </c>
      <c r="C284" s="11" t="s">
        <v>1360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9" t="s">
        <v>26</v>
      </c>
      <c r="AA284" s="12" t="s">
        <v>31</v>
      </c>
    </row>
    <row r="285" spans="1:27" x14ac:dyDescent="0.25">
      <c r="A285" s="10">
        <v>45661</v>
      </c>
      <c r="B285" s="11" t="s">
        <v>475</v>
      </c>
      <c r="C285" s="11" t="s">
        <v>1361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4463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9" t="s">
        <v>26</v>
      </c>
      <c r="AA285" s="12" t="s">
        <v>31</v>
      </c>
    </row>
    <row r="286" spans="1:27" x14ac:dyDescent="0.25">
      <c r="A286" s="10">
        <v>45661</v>
      </c>
      <c r="B286" s="11" t="s">
        <v>253</v>
      </c>
      <c r="C286" s="11" t="s">
        <v>1362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4440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9" t="s">
        <v>26</v>
      </c>
      <c r="AA286" s="12" t="s">
        <v>31</v>
      </c>
    </row>
    <row r="287" spans="1:27" x14ac:dyDescent="0.25">
      <c r="A287" s="10">
        <v>45661</v>
      </c>
      <c r="B287" s="11" t="s">
        <v>1363</v>
      </c>
      <c r="C287" s="11" t="s">
        <v>1364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4440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9" t="s">
        <v>26</v>
      </c>
      <c r="AA287" s="12" t="s">
        <v>31</v>
      </c>
    </row>
    <row r="288" spans="1:27" x14ac:dyDescent="0.25">
      <c r="A288" s="10">
        <v>45661</v>
      </c>
      <c r="B288" s="11" t="s">
        <v>1365</v>
      </c>
      <c r="C288" s="11" t="s">
        <v>1366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4440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9" t="s">
        <v>26</v>
      </c>
      <c r="AA288" s="12" t="s">
        <v>31</v>
      </c>
    </row>
    <row r="289" spans="1:27" x14ac:dyDescent="0.25">
      <c r="A289" s="10">
        <v>45661</v>
      </c>
      <c r="B289" s="11" t="s">
        <v>729</v>
      </c>
      <c r="C289" s="11" t="s">
        <v>1367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9" t="s">
        <v>26</v>
      </c>
      <c r="AA289" s="12" t="s">
        <v>31</v>
      </c>
    </row>
    <row r="290" spans="1:27" x14ac:dyDescent="0.25">
      <c r="A290" s="10">
        <v>45661</v>
      </c>
      <c r="B290" s="11" t="s">
        <v>306</v>
      </c>
      <c r="C290" s="11" t="s">
        <v>1368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9" t="s">
        <v>26</v>
      </c>
      <c r="AA290" s="12" t="s">
        <v>31</v>
      </c>
    </row>
    <row r="291" spans="1:27" x14ac:dyDescent="0.25">
      <c r="A291" s="10">
        <v>45661</v>
      </c>
      <c r="B291" s="11" t="s">
        <v>410</v>
      </c>
      <c r="C291" s="11" t="s">
        <v>1369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9" t="s">
        <v>26</v>
      </c>
      <c r="AA291" s="12" t="s">
        <v>31</v>
      </c>
    </row>
    <row r="292" spans="1:27" x14ac:dyDescent="0.25">
      <c r="A292" s="10">
        <v>45661</v>
      </c>
      <c r="B292" s="11" t="s">
        <v>1370</v>
      </c>
      <c r="C292" s="11" t="s">
        <v>1371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9" t="s">
        <v>26</v>
      </c>
      <c r="AA292" s="12" t="s">
        <v>31</v>
      </c>
    </row>
    <row r="293" spans="1:27" x14ac:dyDescent="0.25">
      <c r="A293" s="10">
        <v>45661</v>
      </c>
      <c r="B293" s="11" t="s">
        <v>699</v>
      </c>
      <c r="C293" s="11" t="s">
        <v>1372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9" t="s">
        <v>26</v>
      </c>
      <c r="AA293" s="12" t="s">
        <v>31</v>
      </c>
    </row>
    <row r="294" spans="1:27" x14ac:dyDescent="0.25">
      <c r="A294" s="10">
        <v>45661</v>
      </c>
      <c r="B294" s="11" t="s">
        <v>1373</v>
      </c>
      <c r="C294" s="11" t="s">
        <v>1374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9" t="s">
        <v>26</v>
      </c>
      <c r="AA294" s="12" t="s">
        <v>31</v>
      </c>
    </row>
    <row r="295" spans="1:27" x14ac:dyDescent="0.25">
      <c r="A295" s="10">
        <v>45661</v>
      </c>
      <c r="B295" s="11" t="s">
        <v>1375</v>
      </c>
      <c r="C295" s="11" t="s">
        <v>1376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6345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9" t="s">
        <v>26</v>
      </c>
      <c r="AA295" s="12" t="s">
        <v>31</v>
      </c>
    </row>
    <row r="296" spans="1:27" x14ac:dyDescent="0.25">
      <c r="A296" s="10">
        <v>45661</v>
      </c>
      <c r="B296" s="11" t="s">
        <v>1377</v>
      </c>
      <c r="C296" s="11" t="s">
        <v>1378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4440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9" t="s">
        <v>26</v>
      </c>
      <c r="AA296" s="12" t="s">
        <v>31</v>
      </c>
    </row>
    <row r="297" spans="1:27" x14ac:dyDescent="0.25">
      <c r="A297" s="10">
        <v>45661</v>
      </c>
      <c r="B297" s="11" t="s">
        <v>1379</v>
      </c>
      <c r="C297" s="11" t="s">
        <v>1380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9" t="s">
        <v>26</v>
      </c>
      <c r="AA297" s="12" t="s">
        <v>31</v>
      </c>
    </row>
    <row r="298" spans="1:27" x14ac:dyDescent="0.25">
      <c r="A298" s="10">
        <v>45661</v>
      </c>
      <c r="B298" s="11" t="s">
        <v>1381</v>
      </c>
      <c r="C298" s="11" t="s">
        <v>1382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9" t="s">
        <v>26</v>
      </c>
      <c r="AA298" s="12" t="s">
        <v>31</v>
      </c>
    </row>
    <row r="299" spans="1:27" x14ac:dyDescent="0.25">
      <c r="A299" s="10">
        <v>45661</v>
      </c>
      <c r="B299" s="11" t="s">
        <v>1383</v>
      </c>
      <c r="C299" s="11" t="s">
        <v>1384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4439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9" t="s">
        <v>141</v>
      </c>
      <c r="AA299" s="12" t="s">
        <v>78</v>
      </c>
    </row>
    <row r="300" spans="1:27" x14ac:dyDescent="0.25">
      <c r="A300" s="10">
        <v>45661</v>
      </c>
      <c r="B300" s="11" t="s">
        <v>1385</v>
      </c>
      <c r="C300" s="11" t="s">
        <v>1386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9" t="s">
        <v>26</v>
      </c>
      <c r="AA300" s="12" t="s">
        <v>31</v>
      </c>
    </row>
    <row r="301" spans="1:27" x14ac:dyDescent="0.25">
      <c r="A301" s="10">
        <v>45661</v>
      </c>
      <c r="B301" s="11" t="s">
        <v>1387</v>
      </c>
      <c r="C301" s="11" t="s">
        <v>1388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9" t="s">
        <v>26</v>
      </c>
      <c r="AA301" s="12" t="s">
        <v>31</v>
      </c>
    </row>
    <row r="302" spans="1:27" x14ac:dyDescent="0.25">
      <c r="A302" s="10">
        <v>45661</v>
      </c>
      <c r="B302" s="11" t="s">
        <v>1389</v>
      </c>
      <c r="C302" s="11" t="s">
        <v>1390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4463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9" t="s">
        <v>26</v>
      </c>
      <c r="AA302" s="12" t="s">
        <v>31</v>
      </c>
    </row>
    <row r="303" spans="1:27" x14ac:dyDescent="0.25">
      <c r="A303" s="10">
        <v>45661</v>
      </c>
      <c r="B303" s="11" t="s">
        <v>1391</v>
      </c>
      <c r="C303" s="11" t="s">
        <v>1392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9" t="s">
        <v>26</v>
      </c>
      <c r="AA303" s="12" t="s">
        <v>31</v>
      </c>
    </row>
    <row r="304" spans="1:27" x14ac:dyDescent="0.25">
      <c r="A304" s="10">
        <v>45661</v>
      </c>
      <c r="B304" s="11" t="s">
        <v>407</v>
      </c>
      <c r="C304" s="11" t="s">
        <v>1393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4463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9" t="s">
        <v>26</v>
      </c>
      <c r="AA304" s="12" t="s">
        <v>31</v>
      </c>
    </row>
    <row r="305" spans="1:27" x14ac:dyDescent="0.25">
      <c r="A305" s="10">
        <v>45661</v>
      </c>
      <c r="B305" s="11" t="s">
        <v>397</v>
      </c>
      <c r="C305" s="11" t="s">
        <v>1394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9" t="s">
        <v>26</v>
      </c>
      <c r="AA305" s="12" t="s">
        <v>31</v>
      </c>
    </row>
    <row r="306" spans="1:27" x14ac:dyDescent="0.25">
      <c r="A306" s="10">
        <v>45661</v>
      </c>
      <c r="B306" s="11" t="s">
        <v>1395</v>
      </c>
      <c r="C306" s="11" t="s">
        <v>1396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9" t="s">
        <v>26</v>
      </c>
      <c r="AA306" s="12" t="s">
        <v>31</v>
      </c>
    </row>
    <row r="307" spans="1:27" x14ac:dyDescent="0.25">
      <c r="A307" s="10">
        <v>45661</v>
      </c>
      <c r="B307" s="11" t="s">
        <v>1397</v>
      </c>
      <c r="C307" s="11" t="s">
        <v>1398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9" t="s">
        <v>26</v>
      </c>
      <c r="AA307" s="12" t="s">
        <v>31</v>
      </c>
    </row>
    <row r="308" spans="1:27" x14ac:dyDescent="0.25">
      <c r="A308" s="10">
        <v>45661</v>
      </c>
      <c r="B308" s="11" t="s">
        <v>451</v>
      </c>
      <c r="C308" s="11" t="s">
        <v>1399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9" t="s">
        <v>26</v>
      </c>
      <c r="AA308" s="12" t="s">
        <v>31</v>
      </c>
    </row>
    <row r="309" spans="1:27" x14ac:dyDescent="0.25">
      <c r="A309" s="10">
        <v>45661</v>
      </c>
      <c r="B309" s="11" t="s">
        <v>1400</v>
      </c>
      <c r="C309" s="11" t="s">
        <v>1401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9" t="s">
        <v>26</v>
      </c>
      <c r="AA309" s="12" t="s">
        <v>31</v>
      </c>
    </row>
    <row r="310" spans="1:27" x14ac:dyDescent="0.25">
      <c r="A310" s="10">
        <v>45663</v>
      </c>
      <c r="B310" s="11" t="s">
        <v>705</v>
      </c>
      <c r="C310" s="11" t="s">
        <v>1402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4465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9" t="s">
        <v>26</v>
      </c>
      <c r="AA310" s="12" t="s">
        <v>31</v>
      </c>
    </row>
    <row r="311" spans="1:27" x14ac:dyDescent="0.25">
      <c r="A311" s="10">
        <v>45663</v>
      </c>
      <c r="B311" s="11" t="s">
        <v>400</v>
      </c>
      <c r="C311" s="11" t="s">
        <v>1403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4439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9" t="s">
        <v>6345</v>
      </c>
      <c r="AA311" s="12" t="s">
        <v>78</v>
      </c>
    </row>
    <row r="312" spans="1:27" x14ac:dyDescent="0.25">
      <c r="A312" s="10">
        <v>45663</v>
      </c>
      <c r="B312" s="11" t="s">
        <v>1404</v>
      </c>
      <c r="C312" s="11" t="s">
        <v>1405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4439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9" t="s">
        <v>141</v>
      </c>
      <c r="AA312" s="12" t="s">
        <v>78</v>
      </c>
    </row>
    <row r="313" spans="1:27" x14ac:dyDescent="0.25">
      <c r="A313" s="10">
        <v>45663</v>
      </c>
      <c r="B313" s="11" t="s">
        <v>618</v>
      </c>
      <c r="C313" s="11" t="s">
        <v>1406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4439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9" t="s">
        <v>141</v>
      </c>
      <c r="AA313" s="12" t="s">
        <v>78</v>
      </c>
    </row>
    <row r="314" spans="1:27" x14ac:dyDescent="0.25">
      <c r="A314" s="10">
        <v>45663</v>
      </c>
      <c r="B314" s="11" t="s">
        <v>1407</v>
      </c>
      <c r="C314" s="11" t="s">
        <v>1408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9" t="s">
        <v>26</v>
      </c>
      <c r="AA314" s="12" t="s">
        <v>31</v>
      </c>
    </row>
    <row r="315" spans="1:27" x14ac:dyDescent="0.25">
      <c r="A315" s="10">
        <v>45663</v>
      </c>
      <c r="B315" s="11" t="s">
        <v>1409</v>
      </c>
      <c r="C315" s="11" t="s">
        <v>1410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4439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9" t="s">
        <v>141</v>
      </c>
      <c r="AA315" s="12" t="s">
        <v>78</v>
      </c>
    </row>
    <row r="316" spans="1:27" x14ac:dyDescent="0.25">
      <c r="A316" s="10">
        <v>45663</v>
      </c>
      <c r="B316" s="11" t="s">
        <v>1411</v>
      </c>
      <c r="C316" s="11" t="s">
        <v>1412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4439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9" t="s">
        <v>141</v>
      </c>
      <c r="AA316" s="12" t="s">
        <v>78</v>
      </c>
    </row>
    <row r="317" spans="1:27" x14ac:dyDescent="0.25">
      <c r="A317" s="10">
        <v>45663</v>
      </c>
      <c r="B317" s="11" t="s">
        <v>1413</v>
      </c>
      <c r="C317" s="11" t="s">
        <v>1414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4439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9" t="s">
        <v>41</v>
      </c>
      <c r="AA317" s="12" t="s">
        <v>78</v>
      </c>
    </row>
    <row r="318" spans="1:27" x14ac:dyDescent="0.25">
      <c r="A318" s="10">
        <v>45663</v>
      </c>
      <c r="B318" s="11" t="s">
        <v>1415</v>
      </c>
      <c r="C318" s="11" t="s">
        <v>1416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9" t="s">
        <v>26</v>
      </c>
      <c r="AA318" s="12" t="s">
        <v>31</v>
      </c>
    </row>
    <row r="319" spans="1:27" x14ac:dyDescent="0.25">
      <c r="A319" s="10">
        <v>45663</v>
      </c>
      <c r="B319" s="11" t="s">
        <v>1417</v>
      </c>
      <c r="C319" s="11" t="s">
        <v>1418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4439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9" t="s">
        <v>41</v>
      </c>
      <c r="AA319" s="12" t="s">
        <v>78</v>
      </c>
    </row>
    <row r="320" spans="1:27" x14ac:dyDescent="0.25">
      <c r="A320" s="10">
        <v>45663</v>
      </c>
      <c r="B320" s="11" t="s">
        <v>1419</v>
      </c>
      <c r="C320" s="11" t="s">
        <v>1420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4439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9" t="s">
        <v>41</v>
      </c>
      <c r="AA320" s="12" t="s">
        <v>78</v>
      </c>
    </row>
    <row r="321" spans="1:27" x14ac:dyDescent="0.25">
      <c r="A321" s="10">
        <v>45663</v>
      </c>
      <c r="B321" s="11" t="s">
        <v>1421</v>
      </c>
      <c r="C321" s="11" t="s">
        <v>1422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9" t="s">
        <v>26</v>
      </c>
      <c r="AA321" s="12" t="s">
        <v>31</v>
      </c>
    </row>
    <row r="322" spans="1:27" x14ac:dyDescent="0.25">
      <c r="A322" s="10">
        <v>45663</v>
      </c>
      <c r="B322" s="11" t="s">
        <v>1423</v>
      </c>
      <c r="C322" s="11" t="s">
        <v>1424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9" t="s">
        <v>26</v>
      </c>
      <c r="AA322" s="12" t="s">
        <v>31</v>
      </c>
    </row>
    <row r="323" spans="1:27" x14ac:dyDescent="0.25">
      <c r="A323" s="10">
        <v>45663</v>
      </c>
      <c r="B323" s="11" t="s">
        <v>1425</v>
      </c>
      <c r="C323" s="11" t="s">
        <v>1426</v>
      </c>
      <c r="D323" s="11" t="s">
        <v>26</v>
      </c>
      <c r="E323" s="11" t="s">
        <v>1217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9" t="s">
        <v>26</v>
      </c>
      <c r="AA323" s="12" t="s">
        <v>31</v>
      </c>
    </row>
    <row r="324" spans="1:27" x14ac:dyDescent="0.25">
      <c r="A324" s="10">
        <v>45663</v>
      </c>
      <c r="B324" s="11" t="s">
        <v>1427</v>
      </c>
      <c r="C324" s="11" t="s">
        <v>1428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9" t="s">
        <v>26</v>
      </c>
      <c r="AA324" s="12" t="s">
        <v>31</v>
      </c>
    </row>
    <row r="325" spans="1:27" x14ac:dyDescent="0.25">
      <c r="A325" s="10">
        <v>45663</v>
      </c>
      <c r="B325" s="11" t="s">
        <v>1429</v>
      </c>
      <c r="C325" s="11" t="s">
        <v>1430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4439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9" t="s">
        <v>141</v>
      </c>
      <c r="AA325" s="12" t="s">
        <v>78</v>
      </c>
    </row>
    <row r="326" spans="1:27" x14ac:dyDescent="0.25">
      <c r="A326" s="10">
        <v>45663</v>
      </c>
      <c r="B326" s="11" t="s">
        <v>1431</v>
      </c>
      <c r="C326" s="11" t="s">
        <v>1432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4439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9" t="s">
        <v>41</v>
      </c>
      <c r="AA326" s="12" t="s">
        <v>78</v>
      </c>
    </row>
    <row r="327" spans="1:27" x14ac:dyDescent="0.25">
      <c r="A327" s="10">
        <v>45663</v>
      </c>
      <c r="B327" s="11" t="s">
        <v>684</v>
      </c>
      <c r="C327" s="11" t="s">
        <v>1433</v>
      </c>
      <c r="D327" s="11" t="s">
        <v>26</v>
      </c>
      <c r="E327" s="11" t="s">
        <v>659</v>
      </c>
      <c r="F327" s="11" t="s">
        <v>26</v>
      </c>
      <c r="G327" s="11" t="s">
        <v>26</v>
      </c>
      <c r="H327" s="12" t="s">
        <v>4439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9" t="s">
        <v>141</v>
      </c>
      <c r="AA327" s="12" t="s">
        <v>78</v>
      </c>
    </row>
    <row r="328" spans="1:27" x14ac:dyDescent="0.25">
      <c r="A328" s="10">
        <v>45663</v>
      </c>
      <c r="B328" s="11" t="s">
        <v>1434</v>
      </c>
      <c r="C328" s="11" t="s">
        <v>1435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4465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9" t="s">
        <v>26</v>
      </c>
      <c r="AA328" s="12" t="s">
        <v>31</v>
      </c>
    </row>
    <row r="329" spans="1:27" x14ac:dyDescent="0.25">
      <c r="A329" s="10">
        <v>45663</v>
      </c>
      <c r="B329" s="11" t="s">
        <v>1436</v>
      </c>
      <c r="C329" s="11" t="s">
        <v>1437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4464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9" t="s">
        <v>26</v>
      </c>
      <c r="AA329" s="12" t="s">
        <v>31</v>
      </c>
    </row>
    <row r="330" spans="1:27" x14ac:dyDescent="0.25">
      <c r="A330" s="10">
        <v>45663</v>
      </c>
      <c r="B330" s="11" t="s">
        <v>1438</v>
      </c>
      <c r="C330" s="11" t="s">
        <v>1439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4440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9" t="s">
        <v>26</v>
      </c>
      <c r="AA330" s="12" t="s">
        <v>31</v>
      </c>
    </row>
    <row r="331" spans="1:27" x14ac:dyDescent="0.25">
      <c r="A331" s="10">
        <v>45663</v>
      </c>
      <c r="B331" s="11" t="s">
        <v>1440</v>
      </c>
      <c r="C331" s="11" t="s">
        <v>1441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4463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9" t="s">
        <v>26</v>
      </c>
      <c r="AA331" s="12" t="s">
        <v>31</v>
      </c>
    </row>
    <row r="332" spans="1:27" x14ac:dyDescent="0.25">
      <c r="A332" s="10">
        <v>45663</v>
      </c>
      <c r="B332" s="11" t="s">
        <v>419</v>
      </c>
      <c r="C332" s="11" t="s">
        <v>1442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4465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9" t="s">
        <v>26</v>
      </c>
      <c r="AA332" s="12" t="s">
        <v>31</v>
      </c>
    </row>
    <row r="333" spans="1:27" x14ac:dyDescent="0.25">
      <c r="A333" s="10">
        <v>45663</v>
      </c>
      <c r="B333" s="11" t="s">
        <v>301</v>
      </c>
      <c r="C333" s="11" t="s">
        <v>1443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4439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9" t="s">
        <v>141</v>
      </c>
      <c r="AA333" s="12" t="s">
        <v>78</v>
      </c>
    </row>
    <row r="334" spans="1:27" x14ac:dyDescent="0.25">
      <c r="A334" s="10">
        <v>45663</v>
      </c>
      <c r="B334" s="11" t="s">
        <v>1444</v>
      </c>
      <c r="C334" s="11" t="s">
        <v>1445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9" t="s">
        <v>26</v>
      </c>
      <c r="AA334" s="12" t="s">
        <v>31</v>
      </c>
    </row>
    <row r="335" spans="1:27" x14ac:dyDescent="0.25">
      <c r="A335" s="10">
        <v>45663</v>
      </c>
      <c r="B335" s="11" t="s">
        <v>358</v>
      </c>
      <c r="C335" s="11" t="s">
        <v>1446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9" t="s">
        <v>26</v>
      </c>
      <c r="AA335" s="12" t="s">
        <v>31</v>
      </c>
    </row>
    <row r="336" spans="1:27" x14ac:dyDescent="0.25">
      <c r="A336" s="10">
        <v>45663</v>
      </c>
      <c r="B336" s="11" t="s">
        <v>1447</v>
      </c>
      <c r="C336" s="11" t="s">
        <v>1448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9" t="s">
        <v>26</v>
      </c>
      <c r="AA336" s="12" t="s">
        <v>31</v>
      </c>
    </row>
    <row r="337" spans="1:27" x14ac:dyDescent="0.25">
      <c r="A337" s="10">
        <v>45663</v>
      </c>
      <c r="B337" s="11" t="s">
        <v>1449</v>
      </c>
      <c r="C337" s="11" t="s">
        <v>1450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4465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9" t="s">
        <v>26</v>
      </c>
      <c r="AA337" s="12" t="s">
        <v>31</v>
      </c>
    </row>
    <row r="338" spans="1:27" x14ac:dyDescent="0.25">
      <c r="A338" s="10">
        <v>45663</v>
      </c>
      <c r="B338" s="11" t="s">
        <v>665</v>
      </c>
      <c r="C338" s="11" t="s">
        <v>1451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9" t="s">
        <v>26</v>
      </c>
      <c r="AA338" s="12" t="s">
        <v>31</v>
      </c>
    </row>
    <row r="339" spans="1:27" x14ac:dyDescent="0.25">
      <c r="A339" s="10">
        <v>45663</v>
      </c>
      <c r="B339" s="11" t="s">
        <v>1452</v>
      </c>
      <c r="C339" s="11" t="s">
        <v>1453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9" t="s">
        <v>26</v>
      </c>
      <c r="AA339" s="12" t="s">
        <v>31</v>
      </c>
    </row>
    <row r="340" spans="1:27" x14ac:dyDescent="0.25">
      <c r="A340" s="10">
        <v>45663</v>
      </c>
      <c r="B340" s="11" t="s">
        <v>672</v>
      </c>
      <c r="C340" s="11" t="s">
        <v>1454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9" t="s">
        <v>26</v>
      </c>
      <c r="AA340" s="12" t="s">
        <v>31</v>
      </c>
    </row>
    <row r="341" spans="1:27" x14ac:dyDescent="0.25">
      <c r="A341" s="10">
        <v>45663</v>
      </c>
      <c r="B341" s="11" t="s">
        <v>373</v>
      </c>
      <c r="C341" s="11" t="s">
        <v>1455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9" t="s">
        <v>26</v>
      </c>
      <c r="AA341" s="12" t="s">
        <v>31</v>
      </c>
    </row>
    <row r="342" spans="1:27" x14ac:dyDescent="0.25">
      <c r="A342" s="10">
        <v>45663</v>
      </c>
      <c r="B342" s="11" t="s">
        <v>1456</v>
      </c>
      <c r="C342" s="11" t="s">
        <v>1457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9" t="s">
        <v>26</v>
      </c>
      <c r="AA342" s="12" t="s">
        <v>31</v>
      </c>
    </row>
    <row r="343" spans="1:27" x14ac:dyDescent="0.25">
      <c r="A343" s="10">
        <v>45663</v>
      </c>
      <c r="B343" s="11" t="s">
        <v>1458</v>
      </c>
      <c r="C343" s="11" t="s">
        <v>1459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9" t="s">
        <v>26</v>
      </c>
      <c r="AA343" s="12" t="s">
        <v>31</v>
      </c>
    </row>
    <row r="344" spans="1:27" x14ac:dyDescent="0.25">
      <c r="A344" s="10">
        <v>45663</v>
      </c>
      <c r="B344" s="11" t="s">
        <v>1460</v>
      </c>
      <c r="C344" s="11" t="s">
        <v>1461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4440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9" t="s">
        <v>26</v>
      </c>
      <c r="AA344" s="12" t="s">
        <v>31</v>
      </c>
    </row>
    <row r="345" spans="1:27" x14ac:dyDescent="0.25">
      <c r="A345" s="10">
        <v>45663</v>
      </c>
      <c r="B345" s="11" t="s">
        <v>1462</v>
      </c>
      <c r="C345" s="11" t="s">
        <v>1463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4440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9" t="s">
        <v>26</v>
      </c>
      <c r="AA345" s="12" t="s">
        <v>31</v>
      </c>
    </row>
    <row r="346" spans="1:27" x14ac:dyDescent="0.25">
      <c r="A346" s="10">
        <v>45663</v>
      </c>
      <c r="B346" s="11" t="s">
        <v>687</v>
      </c>
      <c r="C346" s="11" t="s">
        <v>1464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4465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9" t="s">
        <v>26</v>
      </c>
      <c r="AA346" s="12" t="s">
        <v>31</v>
      </c>
    </row>
    <row r="347" spans="1:27" x14ac:dyDescent="0.25">
      <c r="A347" s="10">
        <v>45663</v>
      </c>
      <c r="B347" s="11" t="s">
        <v>348</v>
      </c>
      <c r="C347" s="11" t="s">
        <v>1465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4463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9" t="s">
        <v>26</v>
      </c>
      <c r="AA347" s="12" t="s">
        <v>31</v>
      </c>
    </row>
    <row r="348" spans="1:27" x14ac:dyDescent="0.25">
      <c r="A348" s="10">
        <v>45663</v>
      </c>
      <c r="B348" s="11" t="s">
        <v>1466</v>
      </c>
      <c r="C348" s="11" t="s">
        <v>1467</v>
      </c>
      <c r="D348" s="11" t="s">
        <v>26</v>
      </c>
      <c r="E348" s="11" t="s">
        <v>1217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9" t="s">
        <v>26</v>
      </c>
      <c r="AA348" s="12" t="s">
        <v>31</v>
      </c>
    </row>
    <row r="349" spans="1:27" x14ac:dyDescent="0.25">
      <c r="A349" s="10">
        <v>45663</v>
      </c>
      <c r="B349" s="11" t="s">
        <v>1468</v>
      </c>
      <c r="C349" s="11" t="s">
        <v>1469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4465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9" t="s">
        <v>26</v>
      </c>
      <c r="AA349" s="12" t="s">
        <v>31</v>
      </c>
    </row>
    <row r="350" spans="1:27" x14ac:dyDescent="0.25">
      <c r="A350" s="10">
        <v>45663</v>
      </c>
      <c r="B350" s="11" t="s">
        <v>705</v>
      </c>
      <c r="C350" s="11" t="s">
        <v>1470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4464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9" t="s">
        <v>26</v>
      </c>
      <c r="AA350" s="12" t="s">
        <v>31</v>
      </c>
    </row>
    <row r="351" spans="1:27" x14ac:dyDescent="0.25">
      <c r="A351" s="10">
        <v>45663</v>
      </c>
      <c r="B351" s="11" t="s">
        <v>1471</v>
      </c>
      <c r="C351" s="11" t="s">
        <v>1472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9" t="s">
        <v>26</v>
      </c>
      <c r="AA351" s="12" t="s">
        <v>31</v>
      </c>
    </row>
    <row r="352" spans="1:27" x14ac:dyDescent="0.25">
      <c r="A352" s="10">
        <v>45663</v>
      </c>
      <c r="B352" s="11" t="s">
        <v>1473</v>
      </c>
      <c r="C352" s="11" t="s">
        <v>1474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9" t="s">
        <v>26</v>
      </c>
      <c r="AA352" s="12" t="s">
        <v>31</v>
      </c>
    </row>
    <row r="353" spans="1:27" x14ac:dyDescent="0.25">
      <c r="A353" s="10">
        <v>45663</v>
      </c>
      <c r="B353" s="11" t="s">
        <v>1475</v>
      </c>
      <c r="C353" s="11" t="s">
        <v>1476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9" t="s">
        <v>26</v>
      </c>
      <c r="AA353" s="12" t="s">
        <v>31</v>
      </c>
    </row>
    <row r="354" spans="1:27" x14ac:dyDescent="0.25">
      <c r="A354" s="10">
        <v>45663</v>
      </c>
      <c r="B354" s="11" t="s">
        <v>1477</v>
      </c>
      <c r="C354" s="11" t="s">
        <v>1478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4439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9" t="s">
        <v>41</v>
      </c>
      <c r="AA354" s="12" t="s">
        <v>78</v>
      </c>
    </row>
    <row r="355" spans="1:27" x14ac:dyDescent="0.25">
      <c r="A355" s="10">
        <v>45663</v>
      </c>
      <c r="B355" s="11" t="s">
        <v>1479</v>
      </c>
      <c r="C355" s="11" t="s">
        <v>1480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9" t="s">
        <v>26</v>
      </c>
      <c r="AA355" s="12" t="s">
        <v>31</v>
      </c>
    </row>
    <row r="356" spans="1:27" x14ac:dyDescent="0.25">
      <c r="A356" s="10">
        <v>45663</v>
      </c>
      <c r="B356" s="11" t="s">
        <v>1481</v>
      </c>
      <c r="C356" s="11" t="s">
        <v>1482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4463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9" t="s">
        <v>26</v>
      </c>
      <c r="AA356" s="12" t="s">
        <v>31</v>
      </c>
    </row>
    <row r="357" spans="1:27" x14ac:dyDescent="0.25">
      <c r="A357" s="10">
        <v>45663</v>
      </c>
      <c r="B357" s="11" t="s">
        <v>1483</v>
      </c>
      <c r="C357" s="11" t="s">
        <v>1484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9" t="s">
        <v>26</v>
      </c>
      <c r="AA357" s="12" t="s">
        <v>31</v>
      </c>
    </row>
    <row r="358" spans="1:27" x14ac:dyDescent="0.25">
      <c r="A358" s="10">
        <v>45663</v>
      </c>
      <c r="B358" s="11" t="s">
        <v>1485</v>
      </c>
      <c r="C358" s="11" t="s">
        <v>1486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9" t="s">
        <v>26</v>
      </c>
      <c r="AA358" s="12" t="s">
        <v>31</v>
      </c>
    </row>
    <row r="359" spans="1:27" x14ac:dyDescent="0.25">
      <c r="A359" s="10">
        <v>45663</v>
      </c>
      <c r="B359" s="11" t="s">
        <v>1487</v>
      </c>
      <c r="C359" s="11" t="s">
        <v>1488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4464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9" t="s">
        <v>26</v>
      </c>
      <c r="AA359" s="12" t="s">
        <v>31</v>
      </c>
    </row>
    <row r="360" spans="1:27" x14ac:dyDescent="0.25">
      <c r="A360" s="10">
        <v>45663</v>
      </c>
      <c r="B360" s="11" t="s">
        <v>1489</v>
      </c>
      <c r="C360" s="11" t="s">
        <v>1490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9" t="s">
        <v>26</v>
      </c>
      <c r="AA360" s="12" t="s">
        <v>31</v>
      </c>
    </row>
    <row r="361" spans="1:27" x14ac:dyDescent="0.25">
      <c r="A361" s="10">
        <v>45663</v>
      </c>
      <c r="B361" s="11" t="s">
        <v>477</v>
      </c>
      <c r="C361" s="11" t="s">
        <v>1491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4463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9" t="s">
        <v>26</v>
      </c>
      <c r="AA361" s="12" t="s">
        <v>31</v>
      </c>
    </row>
    <row r="362" spans="1:27" x14ac:dyDescent="0.25">
      <c r="A362" s="10">
        <v>45663</v>
      </c>
      <c r="B362" s="11" t="s">
        <v>451</v>
      </c>
      <c r="C362" s="11" t="s">
        <v>1492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9" t="s">
        <v>26</v>
      </c>
      <c r="AA362" s="12" t="s">
        <v>31</v>
      </c>
    </row>
    <row r="363" spans="1:27" x14ac:dyDescent="0.25">
      <c r="A363" s="10">
        <v>45663</v>
      </c>
      <c r="B363" s="11" t="s">
        <v>1493</v>
      </c>
      <c r="C363" s="11" t="s">
        <v>1494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4439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9" t="s">
        <v>6345</v>
      </c>
      <c r="AA363" s="12" t="s">
        <v>78</v>
      </c>
    </row>
    <row r="364" spans="1:27" x14ac:dyDescent="0.25">
      <c r="A364" s="10">
        <v>45663</v>
      </c>
      <c r="B364" s="11" t="s">
        <v>1495</v>
      </c>
      <c r="C364" s="11" t="s">
        <v>1496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9" t="s">
        <v>26</v>
      </c>
      <c r="AA364" s="12" t="s">
        <v>31</v>
      </c>
    </row>
    <row r="365" spans="1:27" x14ac:dyDescent="0.25">
      <c r="A365" s="10">
        <v>45663</v>
      </c>
      <c r="B365" s="11" t="s">
        <v>1497</v>
      </c>
      <c r="C365" s="11" t="s">
        <v>1498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9" t="s">
        <v>26</v>
      </c>
      <c r="AA365" s="12" t="s">
        <v>31</v>
      </c>
    </row>
    <row r="366" spans="1:27" x14ac:dyDescent="0.25">
      <c r="A366" s="10">
        <v>45663</v>
      </c>
      <c r="B366" s="11" t="s">
        <v>1499</v>
      </c>
      <c r="C366" s="11" t="s">
        <v>1500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9" t="s">
        <v>26</v>
      </c>
      <c r="AA366" s="12" t="s">
        <v>31</v>
      </c>
    </row>
    <row r="367" spans="1:27" x14ac:dyDescent="0.25">
      <c r="A367" s="10">
        <v>45663</v>
      </c>
      <c r="B367" s="11" t="s">
        <v>1501</v>
      </c>
      <c r="C367" s="11" t="s">
        <v>1502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9" t="s">
        <v>26</v>
      </c>
      <c r="AA367" s="12" t="s">
        <v>31</v>
      </c>
    </row>
    <row r="368" spans="1:27" x14ac:dyDescent="0.25">
      <c r="A368" s="10">
        <v>45663</v>
      </c>
      <c r="B368" s="11" t="s">
        <v>1503</v>
      </c>
      <c r="C368" s="11" t="s">
        <v>1504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9" t="s">
        <v>26</v>
      </c>
      <c r="AA368" s="12" t="s">
        <v>31</v>
      </c>
    </row>
    <row r="369" spans="1:27" x14ac:dyDescent="0.25">
      <c r="A369" s="10">
        <v>45663</v>
      </c>
      <c r="B369" s="11" t="s">
        <v>1505</v>
      </c>
      <c r="C369" s="11" t="s">
        <v>1506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4463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9" t="s">
        <v>26</v>
      </c>
      <c r="AA369" s="12" t="s">
        <v>31</v>
      </c>
    </row>
    <row r="370" spans="1:27" x14ac:dyDescent="0.25">
      <c r="A370" s="10">
        <v>45663</v>
      </c>
      <c r="B370" s="11" t="s">
        <v>1507</v>
      </c>
      <c r="C370" s="11" t="s">
        <v>1508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4439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9" t="s">
        <v>141</v>
      </c>
      <c r="AA370" s="12" t="s">
        <v>78</v>
      </c>
    </row>
    <row r="371" spans="1:27" x14ac:dyDescent="0.25">
      <c r="A371" s="10">
        <v>45663</v>
      </c>
      <c r="B371" s="11" t="s">
        <v>1509</v>
      </c>
      <c r="C371" s="11" t="s">
        <v>1510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4439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9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1511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4439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9" t="s">
        <v>41</v>
      </c>
      <c r="AA372" s="12" t="s">
        <v>78</v>
      </c>
    </row>
    <row r="373" spans="1:27" x14ac:dyDescent="0.25">
      <c r="A373" s="10">
        <v>45664</v>
      </c>
      <c r="B373" s="11" t="s">
        <v>1512</v>
      </c>
      <c r="C373" s="11" t="s">
        <v>1513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9" t="s">
        <v>26</v>
      </c>
      <c r="AA373" s="12" t="s">
        <v>31</v>
      </c>
    </row>
    <row r="374" spans="1:27" x14ac:dyDescent="0.25">
      <c r="A374" s="10">
        <v>45664</v>
      </c>
      <c r="B374" s="11" t="s">
        <v>1375</v>
      </c>
      <c r="C374" s="11" t="s">
        <v>1514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9" t="s">
        <v>26</v>
      </c>
      <c r="AA374" s="12" t="s">
        <v>31</v>
      </c>
    </row>
    <row r="375" spans="1:27" x14ac:dyDescent="0.25">
      <c r="A375" s="10">
        <v>45664</v>
      </c>
      <c r="B375" s="11" t="s">
        <v>326</v>
      </c>
      <c r="C375" s="11" t="s">
        <v>1515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4439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9" t="s">
        <v>141</v>
      </c>
      <c r="AA375" s="12" t="s">
        <v>78</v>
      </c>
    </row>
    <row r="376" spans="1:27" x14ac:dyDescent="0.25">
      <c r="A376" s="10">
        <v>45664</v>
      </c>
      <c r="B376" s="11" t="s">
        <v>736</v>
      </c>
      <c r="C376" s="11" t="s">
        <v>1516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4439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9" t="s">
        <v>141</v>
      </c>
      <c r="AA376" s="12" t="s">
        <v>78</v>
      </c>
    </row>
    <row r="377" spans="1:27" x14ac:dyDescent="0.25">
      <c r="A377" s="10">
        <v>45664</v>
      </c>
      <c r="B377" s="11" t="s">
        <v>367</v>
      </c>
      <c r="C377" s="11" t="s">
        <v>1517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9" t="s">
        <v>26</v>
      </c>
      <c r="AA377" s="12" t="s">
        <v>31</v>
      </c>
    </row>
    <row r="378" spans="1:27" x14ac:dyDescent="0.25">
      <c r="A378" s="10">
        <v>45664</v>
      </c>
      <c r="B378" s="11" t="s">
        <v>1518</v>
      </c>
      <c r="C378" s="11" t="s">
        <v>1519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4465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9" t="s">
        <v>26</v>
      </c>
      <c r="AA378" s="12" t="s">
        <v>31</v>
      </c>
    </row>
    <row r="379" spans="1:27" x14ac:dyDescent="0.25">
      <c r="A379" s="10">
        <v>45664</v>
      </c>
      <c r="B379" s="11" t="s">
        <v>312</v>
      </c>
      <c r="C379" s="11" t="s">
        <v>1520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4439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9" t="s">
        <v>141</v>
      </c>
      <c r="AA379" s="12" t="s">
        <v>78</v>
      </c>
    </row>
    <row r="380" spans="1:27" x14ac:dyDescent="0.25">
      <c r="A380" s="10">
        <v>45664</v>
      </c>
      <c r="B380" s="11" t="s">
        <v>1521</v>
      </c>
      <c r="C380" s="11" t="s">
        <v>1522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4439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9" t="s">
        <v>141</v>
      </c>
      <c r="AA380" s="12" t="s">
        <v>78</v>
      </c>
    </row>
    <row r="381" spans="1:27" x14ac:dyDescent="0.25">
      <c r="A381" s="10">
        <v>45664</v>
      </c>
      <c r="B381" s="11" t="s">
        <v>714</v>
      </c>
      <c r="C381" s="11" t="s">
        <v>1523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4439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9" t="s">
        <v>41</v>
      </c>
      <c r="AA381" s="12" t="s">
        <v>78</v>
      </c>
    </row>
    <row r="382" spans="1:27" x14ac:dyDescent="0.25">
      <c r="A382" s="10">
        <v>45664</v>
      </c>
      <c r="B382" s="11" t="s">
        <v>1524</v>
      </c>
      <c r="C382" s="11" t="s">
        <v>1525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9" t="s">
        <v>26</v>
      </c>
      <c r="AA382" s="12" t="s">
        <v>31</v>
      </c>
    </row>
    <row r="383" spans="1:27" x14ac:dyDescent="0.25">
      <c r="A383" s="10">
        <v>45664</v>
      </c>
      <c r="B383" s="11" t="s">
        <v>1526</v>
      </c>
      <c r="C383" s="11" t="s">
        <v>1527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9" t="s">
        <v>26</v>
      </c>
      <c r="AA383" s="12" t="s">
        <v>31</v>
      </c>
    </row>
    <row r="384" spans="1:27" x14ac:dyDescent="0.25">
      <c r="A384" s="10">
        <v>45664</v>
      </c>
      <c r="B384" s="11" t="s">
        <v>1528</v>
      </c>
      <c r="C384" s="11" t="s">
        <v>1529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9" t="s">
        <v>26</v>
      </c>
      <c r="AA384" s="12" t="s">
        <v>31</v>
      </c>
    </row>
    <row r="385" spans="1:27" x14ac:dyDescent="0.25">
      <c r="A385" s="10">
        <v>45664</v>
      </c>
      <c r="B385" s="11" t="s">
        <v>1530</v>
      </c>
      <c r="C385" s="11" t="s">
        <v>1531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4439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9" t="s">
        <v>41</v>
      </c>
      <c r="AA385" s="12" t="s">
        <v>78</v>
      </c>
    </row>
    <row r="386" spans="1:27" x14ac:dyDescent="0.25">
      <c r="A386" s="10">
        <v>45664</v>
      </c>
      <c r="B386" s="11" t="s">
        <v>1532</v>
      </c>
      <c r="C386" s="11" t="s">
        <v>1533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4439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9" t="s">
        <v>41</v>
      </c>
      <c r="AA386" s="12" t="s">
        <v>78</v>
      </c>
    </row>
    <row r="387" spans="1:27" x14ac:dyDescent="0.25">
      <c r="A387" s="10">
        <v>45664</v>
      </c>
      <c r="B387" s="11" t="s">
        <v>1534</v>
      </c>
      <c r="C387" s="11" t="s">
        <v>1535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9" t="s">
        <v>26</v>
      </c>
      <c r="AA387" s="12" t="s">
        <v>31</v>
      </c>
    </row>
    <row r="388" spans="1:27" x14ac:dyDescent="0.25">
      <c r="A388" s="10">
        <v>45664</v>
      </c>
      <c r="B388" s="11" t="s">
        <v>1536</v>
      </c>
      <c r="C388" s="11" t="s">
        <v>1537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9" t="s">
        <v>26</v>
      </c>
      <c r="AA388" s="12" t="s">
        <v>31</v>
      </c>
    </row>
    <row r="389" spans="1:27" x14ac:dyDescent="0.25">
      <c r="A389" s="10">
        <v>45664</v>
      </c>
      <c r="B389" s="11" t="s">
        <v>1538</v>
      </c>
      <c r="C389" s="11" t="s">
        <v>1539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9" t="s">
        <v>26</v>
      </c>
      <c r="AA389" s="12" t="s">
        <v>31</v>
      </c>
    </row>
    <row r="390" spans="1:27" x14ac:dyDescent="0.25">
      <c r="A390" s="10">
        <v>45664</v>
      </c>
      <c r="B390" s="11" t="s">
        <v>741</v>
      </c>
      <c r="C390" s="11" t="s">
        <v>1540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4440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9" t="s">
        <v>26</v>
      </c>
      <c r="AA390" s="12" t="s">
        <v>31</v>
      </c>
    </row>
    <row r="391" spans="1:27" x14ac:dyDescent="0.25">
      <c r="A391" s="10">
        <v>45664</v>
      </c>
      <c r="B391" s="11" t="s">
        <v>372</v>
      </c>
      <c r="C391" s="11" t="s">
        <v>1541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4463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9" t="s">
        <v>26</v>
      </c>
      <c r="AA391" s="12" t="s">
        <v>31</v>
      </c>
    </row>
    <row r="392" spans="1:27" x14ac:dyDescent="0.25">
      <c r="A392" s="10">
        <v>45664</v>
      </c>
      <c r="B392" s="11" t="s">
        <v>1542</v>
      </c>
      <c r="C392" s="11" t="s">
        <v>1543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4440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9" t="s">
        <v>26</v>
      </c>
      <c r="AA392" s="12" t="s">
        <v>31</v>
      </c>
    </row>
    <row r="393" spans="1:27" x14ac:dyDescent="0.25">
      <c r="A393" s="10">
        <v>45664</v>
      </c>
      <c r="B393" s="11" t="s">
        <v>704</v>
      </c>
      <c r="C393" s="11" t="s">
        <v>1544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9" t="s">
        <v>26</v>
      </c>
      <c r="AA393" s="12" t="s">
        <v>31</v>
      </c>
    </row>
    <row r="394" spans="1:27" x14ac:dyDescent="0.25">
      <c r="A394" s="10">
        <v>45664</v>
      </c>
      <c r="B394" s="11" t="s">
        <v>614</v>
      </c>
      <c r="C394" s="11" t="s">
        <v>1545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4463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9" t="s">
        <v>26</v>
      </c>
      <c r="AA394" s="12" t="s">
        <v>31</v>
      </c>
    </row>
    <row r="395" spans="1:27" x14ac:dyDescent="0.25">
      <c r="A395" s="10">
        <v>45664</v>
      </c>
      <c r="B395" s="11" t="s">
        <v>1546</v>
      </c>
      <c r="C395" s="11" t="s">
        <v>1547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9" t="s">
        <v>26</v>
      </c>
      <c r="AA395" s="12" t="s">
        <v>31</v>
      </c>
    </row>
    <row r="396" spans="1:27" x14ac:dyDescent="0.25">
      <c r="A396" s="10">
        <v>45664</v>
      </c>
      <c r="B396" s="11" t="s">
        <v>1548</v>
      </c>
      <c r="C396" s="11" t="s">
        <v>1549</v>
      </c>
      <c r="D396" s="11" t="s">
        <v>26</v>
      </c>
      <c r="E396" s="11" t="s">
        <v>659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9" t="s">
        <v>141</v>
      </c>
      <c r="AA396" s="12" t="s">
        <v>79</v>
      </c>
    </row>
    <row r="397" spans="1:27" x14ac:dyDescent="0.25">
      <c r="A397" s="10">
        <v>45664</v>
      </c>
      <c r="B397" s="11" t="s">
        <v>1550</v>
      </c>
      <c r="C397" s="11" t="s">
        <v>1551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4462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9" t="s">
        <v>141</v>
      </c>
      <c r="AA397" s="12" t="s">
        <v>445</v>
      </c>
    </row>
    <row r="398" spans="1:27" x14ac:dyDescent="0.25">
      <c r="A398" s="10">
        <v>45664</v>
      </c>
      <c r="B398" s="11" t="s">
        <v>1552</v>
      </c>
      <c r="C398" s="11" t="s">
        <v>1553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9" t="s">
        <v>26</v>
      </c>
      <c r="AA398" s="12" t="s">
        <v>31</v>
      </c>
    </row>
    <row r="399" spans="1:27" x14ac:dyDescent="0.25">
      <c r="A399" s="10">
        <v>45664</v>
      </c>
      <c r="B399" s="11" t="s">
        <v>267</v>
      </c>
      <c r="C399" s="11" t="s">
        <v>1554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4465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9" t="s">
        <v>26</v>
      </c>
      <c r="AA399" s="12" t="s">
        <v>31</v>
      </c>
    </row>
    <row r="400" spans="1:27" x14ac:dyDescent="0.25">
      <c r="A400" s="10">
        <v>45664</v>
      </c>
      <c r="B400" s="11" t="s">
        <v>1555</v>
      </c>
      <c r="C400" s="11" t="s">
        <v>1556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9" t="s">
        <v>26</v>
      </c>
      <c r="AA400" s="12" t="s">
        <v>31</v>
      </c>
    </row>
    <row r="401" spans="1:27" x14ac:dyDescent="0.25">
      <c r="A401" s="10">
        <v>45664</v>
      </c>
      <c r="B401" s="11" t="s">
        <v>1557</v>
      </c>
      <c r="C401" s="11" t="s">
        <v>1558</v>
      </c>
      <c r="D401" s="11" t="s">
        <v>26</v>
      </c>
      <c r="E401" s="11" t="s">
        <v>1217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9" t="s">
        <v>26</v>
      </c>
      <c r="AA401" s="12" t="s">
        <v>31</v>
      </c>
    </row>
    <row r="402" spans="1:27" x14ac:dyDescent="0.25">
      <c r="A402" s="10">
        <v>45664</v>
      </c>
      <c r="B402" s="11" t="s">
        <v>1559</v>
      </c>
      <c r="C402" s="11" t="s">
        <v>1560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4465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9" t="s">
        <v>26</v>
      </c>
      <c r="AA402" s="12" t="s">
        <v>31</v>
      </c>
    </row>
    <row r="403" spans="1:27" x14ac:dyDescent="0.25">
      <c r="A403" s="10">
        <v>45664</v>
      </c>
      <c r="B403" s="11" t="s">
        <v>1561</v>
      </c>
      <c r="C403" s="11" t="s">
        <v>1562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9" t="s">
        <v>141</v>
      </c>
      <c r="AA403" s="12" t="s">
        <v>79</v>
      </c>
    </row>
    <row r="404" spans="1:27" x14ac:dyDescent="0.25">
      <c r="A404" s="10">
        <v>45664</v>
      </c>
      <c r="B404" s="11" t="s">
        <v>189</v>
      </c>
      <c r="C404" s="11" t="s">
        <v>1563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9" t="s">
        <v>26</v>
      </c>
      <c r="AA404" s="12" t="s">
        <v>31</v>
      </c>
    </row>
    <row r="405" spans="1:27" x14ac:dyDescent="0.25">
      <c r="A405" s="10">
        <v>45664</v>
      </c>
      <c r="B405" s="11" t="s">
        <v>1564</v>
      </c>
      <c r="C405" s="11" t="s">
        <v>1565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4440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9" t="s">
        <v>26</v>
      </c>
      <c r="AA405" s="12" t="s">
        <v>31</v>
      </c>
    </row>
    <row r="406" spans="1:27" x14ac:dyDescent="0.25">
      <c r="A406" s="10">
        <v>45664</v>
      </c>
      <c r="B406" s="11" t="s">
        <v>1566</v>
      </c>
      <c r="C406" s="11" t="s">
        <v>1567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9" t="s">
        <v>26</v>
      </c>
      <c r="AA406" s="12" t="s">
        <v>31</v>
      </c>
    </row>
    <row r="407" spans="1:27" x14ac:dyDescent="0.25">
      <c r="A407" s="10">
        <v>45664</v>
      </c>
      <c r="B407" s="11" t="s">
        <v>750</v>
      </c>
      <c r="C407" s="11" t="s">
        <v>1568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4465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9" t="s">
        <v>26</v>
      </c>
      <c r="AA407" s="12" t="s">
        <v>31</v>
      </c>
    </row>
    <row r="408" spans="1:27" x14ac:dyDescent="0.25">
      <c r="A408" s="10">
        <v>45664</v>
      </c>
      <c r="B408" s="11" t="s">
        <v>1569</v>
      </c>
      <c r="C408" s="11" t="s">
        <v>1570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4439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9" t="s">
        <v>41</v>
      </c>
      <c r="AA408" s="12" t="s">
        <v>78</v>
      </c>
    </row>
    <row r="409" spans="1:27" x14ac:dyDescent="0.25">
      <c r="A409" s="10">
        <v>45664</v>
      </c>
      <c r="B409" s="11" t="s">
        <v>1571</v>
      </c>
      <c r="C409" s="11" t="s">
        <v>1572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9" t="s">
        <v>26</v>
      </c>
      <c r="AA409" s="12" t="s">
        <v>31</v>
      </c>
    </row>
    <row r="410" spans="1:27" x14ac:dyDescent="0.25">
      <c r="A410" s="10">
        <v>45664</v>
      </c>
      <c r="B410" s="11" t="s">
        <v>1573</v>
      </c>
      <c r="C410" s="11" t="s">
        <v>1574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9" t="s">
        <v>26</v>
      </c>
      <c r="AA410" s="12" t="s">
        <v>31</v>
      </c>
    </row>
    <row r="411" spans="1:27" x14ac:dyDescent="0.25">
      <c r="A411" s="10">
        <v>45664</v>
      </c>
      <c r="B411" s="11" t="s">
        <v>1575</v>
      </c>
      <c r="C411" s="11" t="s">
        <v>1576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9" t="s">
        <v>26</v>
      </c>
      <c r="AA411" s="12" t="s">
        <v>31</v>
      </c>
    </row>
    <row r="412" spans="1:27" x14ac:dyDescent="0.25">
      <c r="A412" s="10">
        <v>45664</v>
      </c>
      <c r="B412" s="11" t="s">
        <v>1577</v>
      </c>
      <c r="C412" s="11" t="s">
        <v>1578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9" t="s">
        <v>26</v>
      </c>
      <c r="AA412" s="12" t="s">
        <v>31</v>
      </c>
    </row>
    <row r="413" spans="1:27" x14ac:dyDescent="0.25">
      <c r="A413" s="10">
        <v>45664</v>
      </c>
      <c r="B413" s="11" t="s">
        <v>1579</v>
      </c>
      <c r="C413" s="11" t="s">
        <v>1580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4463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9" t="s">
        <v>26</v>
      </c>
      <c r="AA413" s="12" t="s">
        <v>31</v>
      </c>
    </row>
    <row r="414" spans="1:27" x14ac:dyDescent="0.25">
      <c r="A414" s="10">
        <v>45664</v>
      </c>
      <c r="B414" s="11" t="s">
        <v>471</v>
      </c>
      <c r="C414" s="11" t="s">
        <v>1581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4465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9" t="s">
        <v>26</v>
      </c>
      <c r="AA414" s="12" t="s">
        <v>31</v>
      </c>
    </row>
    <row r="415" spans="1:27" x14ac:dyDescent="0.25">
      <c r="A415" s="10">
        <v>45664</v>
      </c>
      <c r="B415" s="11" t="s">
        <v>1582</v>
      </c>
      <c r="C415" s="11" t="s">
        <v>1583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9" t="s">
        <v>26</v>
      </c>
      <c r="AA415" s="12" t="s">
        <v>31</v>
      </c>
    </row>
    <row r="416" spans="1:27" x14ac:dyDescent="0.25">
      <c r="A416" s="10">
        <v>45664</v>
      </c>
      <c r="B416" s="11" t="s">
        <v>1584</v>
      </c>
      <c r="C416" s="11" t="s">
        <v>1585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9" t="s">
        <v>26</v>
      </c>
      <c r="AA416" s="12" t="s">
        <v>31</v>
      </c>
    </row>
    <row r="417" spans="1:27" x14ac:dyDescent="0.25">
      <c r="A417" s="10">
        <v>45664</v>
      </c>
      <c r="B417" s="11" t="s">
        <v>448</v>
      </c>
      <c r="C417" s="11" t="s">
        <v>1586</v>
      </c>
      <c r="D417" s="11" t="s">
        <v>26</v>
      </c>
      <c r="E417" s="11" t="s">
        <v>1217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9" t="s">
        <v>26</v>
      </c>
      <c r="AA417" s="12" t="s">
        <v>31</v>
      </c>
    </row>
    <row r="418" spans="1:27" x14ac:dyDescent="0.25">
      <c r="A418" s="10">
        <v>45664</v>
      </c>
      <c r="B418" s="11" t="s">
        <v>1587</v>
      </c>
      <c r="C418" s="11" t="s">
        <v>1588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4440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9" t="s">
        <v>26</v>
      </c>
      <c r="AA418" s="12" t="s">
        <v>31</v>
      </c>
    </row>
    <row r="419" spans="1:27" x14ac:dyDescent="0.25">
      <c r="A419" s="10">
        <v>45664</v>
      </c>
      <c r="B419" s="11" t="s">
        <v>1589</v>
      </c>
      <c r="C419" s="11" t="s">
        <v>1590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4440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9" t="s">
        <v>26</v>
      </c>
      <c r="AA419" s="12" t="s">
        <v>31</v>
      </c>
    </row>
    <row r="420" spans="1:27" x14ac:dyDescent="0.25">
      <c r="A420" s="10">
        <v>45664</v>
      </c>
      <c r="B420" s="11" t="s">
        <v>1591</v>
      </c>
      <c r="C420" s="11" t="s">
        <v>1592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9" t="s">
        <v>26</v>
      </c>
      <c r="AA420" s="12" t="s">
        <v>31</v>
      </c>
    </row>
    <row r="421" spans="1:27" x14ac:dyDescent="0.25">
      <c r="A421" s="10">
        <v>45664</v>
      </c>
      <c r="B421" s="11" t="s">
        <v>1593</v>
      </c>
      <c r="C421" s="11" t="s">
        <v>1594</v>
      </c>
      <c r="D421" s="11" t="s">
        <v>26</v>
      </c>
      <c r="E421" s="11" t="s">
        <v>659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9" t="s">
        <v>26</v>
      </c>
      <c r="AA421" s="12" t="s">
        <v>31</v>
      </c>
    </row>
    <row r="422" spans="1:27" x14ac:dyDescent="0.25">
      <c r="A422" s="10">
        <v>45664</v>
      </c>
      <c r="B422" s="11" t="s">
        <v>635</v>
      </c>
      <c r="C422" s="11" t="s">
        <v>1595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9" t="s">
        <v>26</v>
      </c>
      <c r="AA422" s="12" t="s">
        <v>31</v>
      </c>
    </row>
    <row r="423" spans="1:27" x14ac:dyDescent="0.25">
      <c r="A423" s="10">
        <v>45664</v>
      </c>
      <c r="B423" s="11" t="s">
        <v>1596</v>
      </c>
      <c r="C423" s="11" t="s">
        <v>1597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9" t="s">
        <v>26</v>
      </c>
      <c r="AA423" s="12" t="s">
        <v>31</v>
      </c>
    </row>
    <row r="424" spans="1:27" x14ac:dyDescent="0.25">
      <c r="A424" s="10">
        <v>45664</v>
      </c>
      <c r="B424" s="11" t="s">
        <v>1215</v>
      </c>
      <c r="C424" s="11" t="s">
        <v>1598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9" t="s">
        <v>26</v>
      </c>
      <c r="AA424" s="12" t="s">
        <v>31</v>
      </c>
    </row>
    <row r="425" spans="1:27" x14ac:dyDescent="0.25">
      <c r="A425" s="10">
        <v>45664</v>
      </c>
      <c r="B425" s="11" t="s">
        <v>1599</v>
      </c>
      <c r="C425" s="11" t="s">
        <v>1600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9" t="s">
        <v>26</v>
      </c>
      <c r="AA425" s="12" t="s">
        <v>31</v>
      </c>
    </row>
    <row r="426" spans="1:27" x14ac:dyDescent="0.25">
      <c r="A426" s="10">
        <v>45664</v>
      </c>
      <c r="B426" s="11" t="s">
        <v>649</v>
      </c>
      <c r="C426" s="11" t="s">
        <v>1601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4440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9" t="s">
        <v>26</v>
      </c>
      <c r="AA426" s="12" t="s">
        <v>31</v>
      </c>
    </row>
    <row r="427" spans="1:27" x14ac:dyDescent="0.25">
      <c r="A427" s="10">
        <v>45664</v>
      </c>
      <c r="B427" s="11" t="s">
        <v>1602</v>
      </c>
      <c r="C427" s="11" t="s">
        <v>1603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9" t="s">
        <v>26</v>
      </c>
      <c r="AA427" s="12" t="s">
        <v>31</v>
      </c>
    </row>
    <row r="428" spans="1:27" x14ac:dyDescent="0.25">
      <c r="A428" s="10">
        <v>45664</v>
      </c>
      <c r="B428" s="11" t="s">
        <v>1604</v>
      </c>
      <c r="C428" s="11" t="s">
        <v>1605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9" t="s">
        <v>26</v>
      </c>
      <c r="AA428" s="12" t="s">
        <v>31</v>
      </c>
    </row>
    <row r="429" spans="1:27" x14ac:dyDescent="0.25">
      <c r="A429" s="10">
        <v>45664</v>
      </c>
      <c r="B429" s="11" t="s">
        <v>1606</v>
      </c>
      <c r="C429" s="11" t="s">
        <v>1607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9" t="s">
        <v>26</v>
      </c>
      <c r="AA429" s="12" t="s">
        <v>31</v>
      </c>
    </row>
    <row r="430" spans="1:27" x14ac:dyDescent="0.25">
      <c r="A430" s="10">
        <v>45665</v>
      </c>
      <c r="B430" s="11" t="s">
        <v>1608</v>
      </c>
      <c r="C430" s="11" t="s">
        <v>1609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4465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9" t="s">
        <v>26</v>
      </c>
      <c r="AA430" s="12" t="s">
        <v>31</v>
      </c>
    </row>
    <row r="431" spans="1:27" x14ac:dyDescent="0.25">
      <c r="A431" s="10">
        <v>45665</v>
      </c>
      <c r="B431" s="11" t="s">
        <v>394</v>
      </c>
      <c r="C431" s="11" t="s">
        <v>1610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4439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9" t="s">
        <v>41</v>
      </c>
      <c r="AA431" s="12" t="s">
        <v>78</v>
      </c>
    </row>
    <row r="432" spans="1:27" x14ac:dyDescent="0.25">
      <c r="A432" s="10">
        <v>45665</v>
      </c>
      <c r="B432" s="11" t="s">
        <v>264</v>
      </c>
      <c r="C432" s="11" t="s">
        <v>1611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4439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9" t="s">
        <v>141</v>
      </c>
      <c r="AA432" s="12" t="s">
        <v>78</v>
      </c>
    </row>
    <row r="433" spans="1:27" x14ac:dyDescent="0.25">
      <c r="A433" s="10">
        <v>45665</v>
      </c>
      <c r="B433" s="11" t="s">
        <v>1612</v>
      </c>
      <c r="C433" s="11" t="s">
        <v>1613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4463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9" t="s">
        <v>26</v>
      </c>
      <c r="AA433" s="12" t="s">
        <v>31</v>
      </c>
    </row>
    <row r="434" spans="1:27" x14ac:dyDescent="0.25">
      <c r="A434" s="10">
        <v>45665</v>
      </c>
      <c r="B434" s="11" t="s">
        <v>1614</v>
      </c>
      <c r="C434" s="11" t="s">
        <v>1615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4440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9" t="s">
        <v>26</v>
      </c>
      <c r="AA434" s="12" t="s">
        <v>31</v>
      </c>
    </row>
    <row r="435" spans="1:27" x14ac:dyDescent="0.25">
      <c r="A435" s="10">
        <v>45665</v>
      </c>
      <c r="B435" s="11" t="s">
        <v>457</v>
      </c>
      <c r="C435" s="11" t="s">
        <v>1616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4439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9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1617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4463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9" t="s">
        <v>26</v>
      </c>
      <c r="AA436" s="12" t="s">
        <v>31</v>
      </c>
    </row>
    <row r="437" spans="1:27" x14ac:dyDescent="0.25">
      <c r="A437" s="10">
        <v>45665</v>
      </c>
      <c r="B437" s="11" t="s">
        <v>1618</v>
      </c>
      <c r="C437" s="11" t="s">
        <v>1619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4439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9" t="s">
        <v>141</v>
      </c>
      <c r="AA437" s="12" t="s">
        <v>78</v>
      </c>
    </row>
    <row r="438" spans="1:27" x14ac:dyDescent="0.25">
      <c r="A438" s="10">
        <v>45665</v>
      </c>
      <c r="B438" s="11" t="s">
        <v>1620</v>
      </c>
      <c r="C438" s="11" t="s">
        <v>1621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4439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9" t="s">
        <v>141</v>
      </c>
      <c r="AA438" s="12" t="s">
        <v>78</v>
      </c>
    </row>
    <row r="439" spans="1:27" x14ac:dyDescent="0.25">
      <c r="A439" s="10">
        <v>45665</v>
      </c>
      <c r="B439" s="11" t="s">
        <v>1622</v>
      </c>
      <c r="C439" s="11" t="s">
        <v>1623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9" t="s">
        <v>26</v>
      </c>
      <c r="AA439" s="12" t="s">
        <v>31</v>
      </c>
    </row>
    <row r="440" spans="1:27" x14ac:dyDescent="0.25">
      <c r="A440" s="10">
        <v>45665</v>
      </c>
      <c r="B440" s="11" t="s">
        <v>1624</v>
      </c>
      <c r="C440" s="11" t="s">
        <v>1625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9" t="s">
        <v>26</v>
      </c>
      <c r="AA440" s="12" t="s">
        <v>31</v>
      </c>
    </row>
    <row r="441" spans="1:27" x14ac:dyDescent="0.25">
      <c r="A441" s="10">
        <v>45665</v>
      </c>
      <c r="B441" s="11" t="s">
        <v>1626</v>
      </c>
      <c r="C441" s="11" t="s">
        <v>1627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9" t="s">
        <v>41</v>
      </c>
      <c r="AA441" s="12" t="s">
        <v>79</v>
      </c>
    </row>
    <row r="442" spans="1:27" x14ac:dyDescent="0.25">
      <c r="A442" s="10">
        <v>45665</v>
      </c>
      <c r="B442" s="11" t="s">
        <v>1628</v>
      </c>
      <c r="C442" s="11" t="s">
        <v>1629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9" t="s">
        <v>26</v>
      </c>
      <c r="AA442" s="12" t="s">
        <v>31</v>
      </c>
    </row>
    <row r="443" spans="1:27" x14ac:dyDescent="0.25">
      <c r="A443" s="10">
        <v>45665</v>
      </c>
      <c r="B443" s="11" t="s">
        <v>1630</v>
      </c>
      <c r="C443" s="11" t="s">
        <v>1631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9" t="s">
        <v>26</v>
      </c>
      <c r="AA443" s="12" t="s">
        <v>31</v>
      </c>
    </row>
    <row r="444" spans="1:27" x14ac:dyDescent="0.25">
      <c r="A444" s="10">
        <v>45665</v>
      </c>
      <c r="B444" s="11" t="s">
        <v>1632</v>
      </c>
      <c r="C444" s="11" t="s">
        <v>1633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9" t="s">
        <v>26</v>
      </c>
      <c r="AA444" s="12" t="s">
        <v>31</v>
      </c>
    </row>
    <row r="445" spans="1:27" x14ac:dyDescent="0.25">
      <c r="A445" s="10">
        <v>45665</v>
      </c>
      <c r="B445" s="11" t="s">
        <v>1634</v>
      </c>
      <c r="C445" s="11" t="s">
        <v>1635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9" t="s">
        <v>26</v>
      </c>
      <c r="AA445" s="12" t="s">
        <v>31</v>
      </c>
    </row>
    <row r="446" spans="1:27" x14ac:dyDescent="0.25">
      <c r="A446" s="10">
        <v>45665</v>
      </c>
      <c r="B446" s="11" t="s">
        <v>1636</v>
      </c>
      <c r="C446" s="11" t="s">
        <v>1637</v>
      </c>
      <c r="D446" s="11" t="s">
        <v>26</v>
      </c>
      <c r="E446" s="11" t="s">
        <v>659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9" t="s">
        <v>26</v>
      </c>
      <c r="AA446" s="12" t="s">
        <v>31</v>
      </c>
    </row>
    <row r="447" spans="1:27" x14ac:dyDescent="0.25">
      <c r="A447" s="10">
        <v>45665</v>
      </c>
      <c r="B447" s="11" t="s">
        <v>1638</v>
      </c>
      <c r="C447" s="11" t="s">
        <v>1639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6345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9" t="s">
        <v>26</v>
      </c>
      <c r="AA447" s="12" t="s">
        <v>31</v>
      </c>
    </row>
    <row r="448" spans="1:27" x14ac:dyDescent="0.25">
      <c r="A448" s="10">
        <v>45665</v>
      </c>
      <c r="B448" s="11" t="s">
        <v>1640</v>
      </c>
      <c r="C448" s="11" t="s">
        <v>1641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4439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9" t="s">
        <v>565</v>
      </c>
      <c r="AA448" s="12" t="s">
        <v>78</v>
      </c>
    </row>
    <row r="449" spans="1:27" x14ac:dyDescent="0.25">
      <c r="A449" s="10">
        <v>45665</v>
      </c>
      <c r="B449" s="11" t="s">
        <v>1642</v>
      </c>
      <c r="C449" s="11" t="s">
        <v>1643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9" t="s">
        <v>26</v>
      </c>
      <c r="AA449" s="12" t="s">
        <v>31</v>
      </c>
    </row>
    <row r="450" spans="1:27" x14ac:dyDescent="0.25">
      <c r="A450" s="10">
        <v>45665</v>
      </c>
      <c r="B450" s="11" t="s">
        <v>1644</v>
      </c>
      <c r="C450" s="11" t="s">
        <v>1645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9" t="s">
        <v>41</v>
      </c>
      <c r="AA450" s="12" t="s">
        <v>79</v>
      </c>
    </row>
    <row r="451" spans="1:27" x14ac:dyDescent="0.25">
      <c r="A451" s="10">
        <v>45665</v>
      </c>
      <c r="B451" s="11" t="s">
        <v>1646</v>
      </c>
      <c r="C451" s="11" t="s">
        <v>1647</v>
      </c>
      <c r="D451" s="11" t="s">
        <v>26</v>
      </c>
      <c r="E451" s="11" t="s">
        <v>1217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9" t="s">
        <v>26</v>
      </c>
      <c r="AA451" s="12" t="s">
        <v>31</v>
      </c>
    </row>
    <row r="452" spans="1:27" x14ac:dyDescent="0.25">
      <c r="A452" s="10">
        <v>45665</v>
      </c>
      <c r="B452" s="11" t="s">
        <v>1648</v>
      </c>
      <c r="C452" s="11" t="s">
        <v>1649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4465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9" t="s">
        <v>26</v>
      </c>
      <c r="AA452" s="12" t="s">
        <v>31</v>
      </c>
    </row>
    <row r="453" spans="1:27" x14ac:dyDescent="0.25">
      <c r="A453" s="10">
        <v>45665</v>
      </c>
      <c r="B453" s="11" t="s">
        <v>1650</v>
      </c>
      <c r="C453" s="11" t="s">
        <v>1651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4440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9" t="s">
        <v>26</v>
      </c>
      <c r="AA453" s="12" t="s">
        <v>31</v>
      </c>
    </row>
    <row r="454" spans="1:27" x14ac:dyDescent="0.25">
      <c r="A454" s="10">
        <v>45665</v>
      </c>
      <c r="B454" s="11" t="s">
        <v>1652</v>
      </c>
      <c r="C454" s="11" t="s">
        <v>1653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4440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9" t="s">
        <v>26</v>
      </c>
      <c r="AA454" s="12" t="s">
        <v>31</v>
      </c>
    </row>
    <row r="455" spans="1:27" x14ac:dyDescent="0.25">
      <c r="A455" s="10">
        <v>45665</v>
      </c>
      <c r="B455" s="11" t="s">
        <v>368</v>
      </c>
      <c r="C455" s="11" t="s">
        <v>1654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9" t="s">
        <v>26</v>
      </c>
      <c r="AA455" s="12" t="s">
        <v>31</v>
      </c>
    </row>
    <row r="456" spans="1:27" x14ac:dyDescent="0.25">
      <c r="A456" s="10">
        <v>45665</v>
      </c>
      <c r="B456" s="11" t="s">
        <v>1655</v>
      </c>
      <c r="C456" s="11" t="s">
        <v>1656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4439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9" t="s">
        <v>565</v>
      </c>
      <c r="AA456" s="12" t="s">
        <v>78</v>
      </c>
    </row>
    <row r="457" spans="1:27" x14ac:dyDescent="0.25">
      <c r="A457" s="10">
        <v>45665</v>
      </c>
      <c r="B457" s="11" t="s">
        <v>1657</v>
      </c>
      <c r="C457" s="11" t="s">
        <v>1658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9" t="s">
        <v>26</v>
      </c>
      <c r="AA457" s="12" t="s">
        <v>31</v>
      </c>
    </row>
    <row r="458" spans="1:27" x14ac:dyDescent="0.25">
      <c r="A458" s="10">
        <v>45665</v>
      </c>
      <c r="B458" s="11" t="s">
        <v>1659</v>
      </c>
      <c r="C458" s="11" t="s">
        <v>1660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4461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9" t="s">
        <v>26</v>
      </c>
      <c r="AA458" s="12" t="s">
        <v>31</v>
      </c>
    </row>
    <row r="459" spans="1:27" x14ac:dyDescent="0.25">
      <c r="A459" s="10">
        <v>45665</v>
      </c>
      <c r="B459" s="11" t="s">
        <v>350</v>
      </c>
      <c r="C459" s="11" t="s">
        <v>1661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9" t="s">
        <v>26</v>
      </c>
      <c r="AA459" s="12" t="s">
        <v>31</v>
      </c>
    </row>
    <row r="460" spans="1:27" x14ac:dyDescent="0.25">
      <c r="A460" s="10">
        <v>45665</v>
      </c>
      <c r="B460" s="11" t="s">
        <v>1662</v>
      </c>
      <c r="C460" s="11" t="s">
        <v>1663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9" t="s">
        <v>41</v>
      </c>
      <c r="AA460" s="12" t="s">
        <v>79</v>
      </c>
    </row>
    <row r="461" spans="1:27" x14ac:dyDescent="0.25">
      <c r="A461" s="10">
        <v>45665</v>
      </c>
      <c r="B461" s="11" t="s">
        <v>1664</v>
      </c>
      <c r="C461" s="11" t="s">
        <v>1665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4440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9" t="s">
        <v>26</v>
      </c>
      <c r="AA461" s="12" t="s">
        <v>31</v>
      </c>
    </row>
    <row r="462" spans="1:27" x14ac:dyDescent="0.25">
      <c r="A462" s="10">
        <v>45665</v>
      </c>
      <c r="B462" s="11" t="s">
        <v>1666</v>
      </c>
      <c r="C462" s="11" t="s">
        <v>1667</v>
      </c>
      <c r="D462" s="11" t="s">
        <v>26</v>
      </c>
      <c r="E462" s="11" t="s">
        <v>1668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9" t="s">
        <v>26</v>
      </c>
      <c r="AA462" s="12" t="s">
        <v>31</v>
      </c>
    </row>
    <row r="463" spans="1:27" x14ac:dyDescent="0.25">
      <c r="A463" s="10">
        <v>45665</v>
      </c>
      <c r="B463" s="11" t="s">
        <v>733</v>
      </c>
      <c r="C463" s="11" t="s">
        <v>1669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4461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9" t="s">
        <v>26</v>
      </c>
      <c r="AA463" s="12" t="s">
        <v>31</v>
      </c>
    </row>
    <row r="464" spans="1:27" x14ac:dyDescent="0.25">
      <c r="A464" s="10">
        <v>45665</v>
      </c>
      <c r="B464" s="11" t="s">
        <v>186</v>
      </c>
      <c r="C464" s="11" t="s">
        <v>1670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9" t="s">
        <v>26</v>
      </c>
      <c r="AA464" s="12" t="s">
        <v>31</v>
      </c>
    </row>
    <row r="465" spans="1:27" x14ac:dyDescent="0.25">
      <c r="A465" s="10">
        <v>45665</v>
      </c>
      <c r="B465" s="11" t="s">
        <v>1671</v>
      </c>
      <c r="C465" s="11" t="s">
        <v>1672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9" t="s">
        <v>26</v>
      </c>
      <c r="AA465" s="12" t="s">
        <v>31</v>
      </c>
    </row>
    <row r="466" spans="1:27" x14ac:dyDescent="0.25">
      <c r="A466" s="10">
        <v>45665</v>
      </c>
      <c r="B466" s="11" t="s">
        <v>342</v>
      </c>
      <c r="C466" s="11" t="s">
        <v>1673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4461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9" t="s">
        <v>26</v>
      </c>
      <c r="AA466" s="12" t="s">
        <v>31</v>
      </c>
    </row>
    <row r="467" spans="1:27" x14ac:dyDescent="0.25">
      <c r="A467" s="10">
        <v>45665</v>
      </c>
      <c r="B467" s="11" t="s">
        <v>337</v>
      </c>
      <c r="C467" s="11" t="s">
        <v>1674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4465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9" t="s">
        <v>26</v>
      </c>
      <c r="AA467" s="12" t="s">
        <v>31</v>
      </c>
    </row>
    <row r="468" spans="1:27" x14ac:dyDescent="0.25">
      <c r="A468" s="10">
        <v>45665</v>
      </c>
      <c r="B468" s="11" t="s">
        <v>1675</v>
      </c>
      <c r="C468" s="11" t="s">
        <v>1676</v>
      </c>
      <c r="D468" s="11" t="s">
        <v>26</v>
      </c>
      <c r="E468" s="11" t="s">
        <v>1677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9" t="s">
        <v>26</v>
      </c>
      <c r="AA468" s="12" t="s">
        <v>31</v>
      </c>
    </row>
    <row r="469" spans="1:27" x14ac:dyDescent="0.25">
      <c r="A469" s="10">
        <v>45665</v>
      </c>
      <c r="B469" s="11" t="s">
        <v>721</v>
      </c>
      <c r="C469" s="11" t="s">
        <v>1678</v>
      </c>
      <c r="D469" s="11" t="s">
        <v>26</v>
      </c>
      <c r="E469" s="11" t="s">
        <v>1217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9" t="s">
        <v>26</v>
      </c>
      <c r="AA469" s="12" t="s">
        <v>31</v>
      </c>
    </row>
    <row r="470" spans="1:27" x14ac:dyDescent="0.25">
      <c r="A470" s="10">
        <v>45665</v>
      </c>
      <c r="B470" s="11" t="s">
        <v>1679</v>
      </c>
      <c r="C470" s="11" t="s">
        <v>1680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9" t="s">
        <v>26</v>
      </c>
      <c r="AA470" s="12" t="s">
        <v>31</v>
      </c>
    </row>
    <row r="471" spans="1:27" x14ac:dyDescent="0.25">
      <c r="A471" s="10">
        <v>45665</v>
      </c>
      <c r="B471" s="11" t="s">
        <v>1681</v>
      </c>
      <c r="C471" s="11" t="s">
        <v>1682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9" t="s">
        <v>26</v>
      </c>
      <c r="AA471" s="12" t="s">
        <v>31</v>
      </c>
    </row>
    <row r="472" spans="1:27" x14ac:dyDescent="0.25">
      <c r="A472" s="10">
        <v>45665</v>
      </c>
      <c r="B472" s="11" t="s">
        <v>1683</v>
      </c>
      <c r="C472" s="11" t="s">
        <v>1684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9" t="s">
        <v>26</v>
      </c>
      <c r="AA472" s="12" t="s">
        <v>31</v>
      </c>
    </row>
    <row r="473" spans="1:27" x14ac:dyDescent="0.25">
      <c r="A473" s="10">
        <v>45665</v>
      </c>
      <c r="B473" s="11" t="s">
        <v>1685</v>
      </c>
      <c r="C473" s="11" t="s">
        <v>1686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4461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9" t="s">
        <v>26</v>
      </c>
      <c r="AA473" s="12" t="s">
        <v>31</v>
      </c>
    </row>
    <row r="474" spans="1:27" x14ac:dyDescent="0.25">
      <c r="A474" s="10">
        <v>45665</v>
      </c>
      <c r="B474" s="11" t="s">
        <v>1687</v>
      </c>
      <c r="C474" s="11" t="s">
        <v>1688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9" t="s">
        <v>26</v>
      </c>
      <c r="AA474" s="12" t="s">
        <v>31</v>
      </c>
    </row>
    <row r="475" spans="1:27" x14ac:dyDescent="0.25">
      <c r="A475" s="10">
        <v>45665</v>
      </c>
      <c r="B475" s="11" t="s">
        <v>1689</v>
      </c>
      <c r="C475" s="11" t="s">
        <v>1690</v>
      </c>
      <c r="D475" s="11" t="s">
        <v>26</v>
      </c>
      <c r="E475" s="11" t="s">
        <v>659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9" t="s">
        <v>26</v>
      </c>
      <c r="AA475" s="12" t="s">
        <v>31</v>
      </c>
    </row>
    <row r="476" spans="1:27" x14ac:dyDescent="0.25">
      <c r="A476" s="10">
        <v>45665</v>
      </c>
      <c r="B476" s="11" t="s">
        <v>1691</v>
      </c>
      <c r="C476" s="11" t="s">
        <v>1692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9" t="s">
        <v>26</v>
      </c>
      <c r="AA476" s="12" t="s">
        <v>31</v>
      </c>
    </row>
    <row r="477" spans="1:27" x14ac:dyDescent="0.25">
      <c r="A477" s="10">
        <v>45665</v>
      </c>
      <c r="B477" s="11" t="s">
        <v>1693</v>
      </c>
      <c r="C477" s="11" t="s">
        <v>1694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6345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9" t="s">
        <v>26</v>
      </c>
      <c r="AA477" s="12" t="s">
        <v>31</v>
      </c>
    </row>
    <row r="478" spans="1:27" x14ac:dyDescent="0.25">
      <c r="A478" s="10">
        <v>45665</v>
      </c>
      <c r="B478" s="11" t="s">
        <v>668</v>
      </c>
      <c r="C478" s="11" t="s">
        <v>1695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4461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9" t="s">
        <v>26</v>
      </c>
      <c r="AA478" s="12" t="s">
        <v>31</v>
      </c>
    </row>
    <row r="479" spans="1:27" x14ac:dyDescent="0.25">
      <c r="A479" s="10">
        <v>45665</v>
      </c>
      <c r="B479" s="11" t="s">
        <v>1696</v>
      </c>
      <c r="C479" s="11" t="s">
        <v>1697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9" t="s">
        <v>26</v>
      </c>
      <c r="AA479" s="12" t="s">
        <v>31</v>
      </c>
    </row>
    <row r="480" spans="1:27" x14ac:dyDescent="0.25">
      <c r="A480" s="10">
        <v>45665</v>
      </c>
      <c r="B480" s="11" t="s">
        <v>1698</v>
      </c>
      <c r="C480" s="11" t="s">
        <v>1699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4439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9" t="s">
        <v>141</v>
      </c>
      <c r="AA480" s="12" t="s">
        <v>78</v>
      </c>
    </row>
    <row r="481" spans="1:27" x14ac:dyDescent="0.25">
      <c r="A481" s="10">
        <v>45665</v>
      </c>
      <c r="B481" s="11" t="s">
        <v>1700</v>
      </c>
      <c r="C481" s="11" t="s">
        <v>1701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9" t="s">
        <v>26</v>
      </c>
      <c r="AA481" s="12" t="s">
        <v>31</v>
      </c>
    </row>
    <row r="482" spans="1:27" x14ac:dyDescent="0.25">
      <c r="A482" s="10">
        <v>45665</v>
      </c>
      <c r="B482" s="11" t="s">
        <v>1702</v>
      </c>
      <c r="C482" s="11" t="s">
        <v>1703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4463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9" t="s">
        <v>26</v>
      </c>
      <c r="AA482" s="12" t="s">
        <v>31</v>
      </c>
    </row>
    <row r="483" spans="1:27" x14ac:dyDescent="0.25">
      <c r="A483" s="10">
        <v>45665</v>
      </c>
      <c r="B483" s="11" t="s">
        <v>1704</v>
      </c>
      <c r="C483" s="11" t="s">
        <v>1705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9" t="s">
        <v>26</v>
      </c>
      <c r="AA483" s="12" t="s">
        <v>31</v>
      </c>
    </row>
    <row r="484" spans="1:27" x14ac:dyDescent="0.25">
      <c r="A484" s="10">
        <v>45665</v>
      </c>
      <c r="B484" s="11" t="s">
        <v>334</v>
      </c>
      <c r="C484" s="11" t="s">
        <v>1706</v>
      </c>
      <c r="D484" s="11" t="s">
        <v>26</v>
      </c>
      <c r="E484" s="11" t="s">
        <v>1217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9" t="s">
        <v>26</v>
      </c>
      <c r="AA484" s="12" t="s">
        <v>31</v>
      </c>
    </row>
    <row r="485" spans="1:27" x14ac:dyDescent="0.25">
      <c r="A485" s="10">
        <v>45665</v>
      </c>
      <c r="B485" s="11" t="s">
        <v>1707</v>
      </c>
      <c r="C485" s="11" t="s">
        <v>1708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9" t="s">
        <v>26</v>
      </c>
      <c r="AA485" s="12" t="s">
        <v>31</v>
      </c>
    </row>
    <row r="486" spans="1:27" x14ac:dyDescent="0.25">
      <c r="A486" s="10">
        <v>45665</v>
      </c>
      <c r="B486" s="11" t="s">
        <v>1709</v>
      </c>
      <c r="C486" s="11" t="s">
        <v>1710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9" t="s">
        <v>26</v>
      </c>
      <c r="AA486" s="12" t="s">
        <v>31</v>
      </c>
    </row>
    <row r="487" spans="1:27" x14ac:dyDescent="0.25">
      <c r="A487" s="10">
        <v>45665</v>
      </c>
      <c r="B487" s="11" t="s">
        <v>1711</v>
      </c>
      <c r="C487" s="11" t="s">
        <v>1712</v>
      </c>
      <c r="D487" s="11" t="s">
        <v>26</v>
      </c>
      <c r="E487" s="11" t="s">
        <v>659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9" t="s">
        <v>26</v>
      </c>
      <c r="AA487" s="12" t="s">
        <v>31</v>
      </c>
    </row>
    <row r="488" spans="1:27" x14ac:dyDescent="0.25">
      <c r="A488" s="10">
        <v>45665</v>
      </c>
      <c r="B488" s="11" t="s">
        <v>1713</v>
      </c>
      <c r="C488" s="11" t="s">
        <v>1714</v>
      </c>
      <c r="D488" s="11" t="s">
        <v>26</v>
      </c>
      <c r="E488" s="11" t="s">
        <v>1668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9" t="s">
        <v>26</v>
      </c>
      <c r="AA488" s="12" t="s">
        <v>31</v>
      </c>
    </row>
    <row r="489" spans="1:27" x14ac:dyDescent="0.25">
      <c r="A489" s="10">
        <v>45665</v>
      </c>
      <c r="B489" s="11" t="s">
        <v>1715</v>
      </c>
      <c r="C489" s="11" t="s">
        <v>1716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9" t="s">
        <v>26</v>
      </c>
      <c r="AA489" s="12" t="s">
        <v>31</v>
      </c>
    </row>
    <row r="490" spans="1:27" x14ac:dyDescent="0.25">
      <c r="A490" s="10">
        <v>45665</v>
      </c>
      <c r="B490" s="11" t="s">
        <v>1717</v>
      </c>
      <c r="C490" s="11" t="s">
        <v>1718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9" t="s">
        <v>26</v>
      </c>
      <c r="AA490" s="12" t="s">
        <v>31</v>
      </c>
    </row>
    <row r="491" spans="1:27" x14ac:dyDescent="0.25">
      <c r="A491" s="10">
        <v>45666</v>
      </c>
      <c r="B491" s="11" t="s">
        <v>1719</v>
      </c>
      <c r="C491" s="11" t="s">
        <v>1720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4465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9" t="s">
        <v>26</v>
      </c>
      <c r="AA491" s="12" t="s">
        <v>31</v>
      </c>
    </row>
    <row r="492" spans="1:27" x14ac:dyDescent="0.25">
      <c r="A492" s="10">
        <v>45666</v>
      </c>
      <c r="B492" s="11" t="s">
        <v>1153</v>
      </c>
      <c r="C492" s="11" t="s">
        <v>1721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4439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9" t="s">
        <v>141</v>
      </c>
      <c r="AA492" s="12" t="s">
        <v>78</v>
      </c>
    </row>
    <row r="493" spans="1:27" x14ac:dyDescent="0.25">
      <c r="A493" s="10">
        <v>45666</v>
      </c>
      <c r="B493" s="11" t="s">
        <v>1722</v>
      </c>
      <c r="C493" s="11" t="s">
        <v>1723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4465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9" t="s">
        <v>26</v>
      </c>
      <c r="AA493" s="12" t="s">
        <v>31</v>
      </c>
    </row>
    <row r="494" spans="1:27" x14ac:dyDescent="0.25">
      <c r="A494" s="10">
        <v>45666</v>
      </c>
      <c r="B494" s="11" t="s">
        <v>272</v>
      </c>
      <c r="C494" s="11" t="s">
        <v>1724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4463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9" t="s">
        <v>26</v>
      </c>
      <c r="AA494" s="12" t="s">
        <v>31</v>
      </c>
    </row>
    <row r="495" spans="1:27" x14ac:dyDescent="0.25">
      <c r="A495" s="10">
        <v>45666</v>
      </c>
      <c r="B495" s="11" t="s">
        <v>372</v>
      </c>
      <c r="C495" s="11" t="s">
        <v>1725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4439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9" t="s">
        <v>141</v>
      </c>
      <c r="AA495" s="12" t="s">
        <v>78</v>
      </c>
    </row>
    <row r="496" spans="1:27" x14ac:dyDescent="0.25">
      <c r="A496" s="10">
        <v>45666</v>
      </c>
      <c r="B496" s="11" t="s">
        <v>260</v>
      </c>
      <c r="C496" s="11" t="s">
        <v>1726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4439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9" t="s">
        <v>141</v>
      </c>
      <c r="AA496" s="12" t="s">
        <v>78</v>
      </c>
    </row>
    <row r="497" spans="1:27" x14ac:dyDescent="0.25">
      <c r="A497" s="10">
        <v>45666</v>
      </c>
      <c r="B497" s="11" t="s">
        <v>1727</v>
      </c>
      <c r="C497" s="11" t="s">
        <v>1728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4440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9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1729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6345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9" t="s">
        <v>26</v>
      </c>
      <c r="AA498" s="12" t="s">
        <v>31</v>
      </c>
    </row>
    <row r="499" spans="1:27" x14ac:dyDescent="0.25">
      <c r="A499" s="10">
        <v>45666</v>
      </c>
      <c r="B499" s="11" t="s">
        <v>1730</v>
      </c>
      <c r="C499" s="11" t="s">
        <v>1731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4440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9" t="s">
        <v>26</v>
      </c>
      <c r="AA499" s="12" t="s">
        <v>31</v>
      </c>
    </row>
    <row r="500" spans="1:27" x14ac:dyDescent="0.25">
      <c r="A500" s="10">
        <v>45666</v>
      </c>
      <c r="B500" s="11" t="s">
        <v>1732</v>
      </c>
      <c r="C500" s="11" t="s">
        <v>1733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4439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9" t="s">
        <v>141</v>
      </c>
      <c r="AA500" s="12" t="s">
        <v>78</v>
      </c>
    </row>
    <row r="501" spans="1:27" x14ac:dyDescent="0.25">
      <c r="A501" s="10">
        <v>45666</v>
      </c>
      <c r="B501" s="11" t="s">
        <v>700</v>
      </c>
      <c r="C501" s="11" t="s">
        <v>1734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4461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9" t="s">
        <v>26</v>
      </c>
      <c r="AA501" s="12" t="s">
        <v>31</v>
      </c>
    </row>
    <row r="502" spans="1:27" x14ac:dyDescent="0.25">
      <c r="A502" s="10">
        <v>45666</v>
      </c>
      <c r="B502" s="11" t="s">
        <v>1735</v>
      </c>
      <c r="C502" s="11" t="s">
        <v>1736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4463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9" t="s">
        <v>26</v>
      </c>
      <c r="AA502" s="12" t="s">
        <v>31</v>
      </c>
    </row>
    <row r="503" spans="1:27" x14ac:dyDescent="0.25">
      <c r="A503" s="10">
        <v>45666</v>
      </c>
      <c r="B503" s="11" t="s">
        <v>1737</v>
      </c>
      <c r="C503" s="11" t="s">
        <v>1738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4439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9" t="s">
        <v>141</v>
      </c>
      <c r="AA503" s="12" t="s">
        <v>78</v>
      </c>
    </row>
    <row r="504" spans="1:27" x14ac:dyDescent="0.25">
      <c r="A504" s="10">
        <v>45666</v>
      </c>
      <c r="B504" s="11" t="s">
        <v>1739</v>
      </c>
      <c r="C504" s="11" t="s">
        <v>1740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9" t="s">
        <v>26</v>
      </c>
      <c r="AA504" s="12" t="s">
        <v>31</v>
      </c>
    </row>
    <row r="505" spans="1:27" x14ac:dyDescent="0.25">
      <c r="A505" s="10">
        <v>45666</v>
      </c>
      <c r="B505" s="11" t="s">
        <v>677</v>
      </c>
      <c r="C505" s="11" t="s">
        <v>1741</v>
      </c>
      <c r="D505" s="11" t="s">
        <v>26</v>
      </c>
      <c r="E505" s="11" t="s">
        <v>1742</v>
      </c>
      <c r="F505" s="11" t="s">
        <v>26</v>
      </c>
      <c r="G505" s="11">
        <v>3279</v>
      </c>
      <c r="H505" s="12" t="s">
        <v>4465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9" t="s">
        <v>26</v>
      </c>
      <c r="AA505" s="12" t="s">
        <v>31</v>
      </c>
    </row>
    <row r="506" spans="1:27" x14ac:dyDescent="0.25">
      <c r="A506" s="10">
        <v>45666</v>
      </c>
      <c r="B506" s="11" t="s">
        <v>1743</v>
      </c>
      <c r="C506" s="11" t="s">
        <v>1744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9" t="s">
        <v>26</v>
      </c>
      <c r="AA506" s="12" t="s">
        <v>31</v>
      </c>
    </row>
    <row r="507" spans="1:27" x14ac:dyDescent="0.25">
      <c r="A507" s="10">
        <v>45666</v>
      </c>
      <c r="B507" s="11" t="s">
        <v>358</v>
      </c>
      <c r="C507" s="11" t="s">
        <v>1745</v>
      </c>
      <c r="D507" s="11" t="s">
        <v>26</v>
      </c>
      <c r="E507" s="11" t="s">
        <v>659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9" t="s">
        <v>26</v>
      </c>
      <c r="AA507" s="12" t="s">
        <v>31</v>
      </c>
    </row>
    <row r="508" spans="1:27" x14ac:dyDescent="0.25">
      <c r="A508" s="10">
        <v>45666</v>
      </c>
      <c r="B508" s="11" t="s">
        <v>1746</v>
      </c>
      <c r="C508" s="11" t="s">
        <v>1747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9" t="s">
        <v>26</v>
      </c>
      <c r="AA508" s="12" t="s">
        <v>31</v>
      </c>
    </row>
    <row r="509" spans="1:27" x14ac:dyDescent="0.25">
      <c r="A509" s="10">
        <v>45666</v>
      </c>
      <c r="B509" s="11" t="s">
        <v>1748</v>
      </c>
      <c r="C509" s="11" t="s">
        <v>1749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4439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9" t="s">
        <v>140</v>
      </c>
      <c r="AA509" s="12" t="s">
        <v>78</v>
      </c>
    </row>
    <row r="510" spans="1:27" x14ac:dyDescent="0.25">
      <c r="A510" s="10">
        <v>45666</v>
      </c>
      <c r="B510" s="11" t="s">
        <v>1750</v>
      </c>
      <c r="C510" s="11" t="s">
        <v>1751</v>
      </c>
      <c r="D510" s="11" t="s">
        <v>26</v>
      </c>
      <c r="E510" s="11" t="s">
        <v>1217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9" t="s">
        <v>26</v>
      </c>
      <c r="AA510" s="12" t="s">
        <v>31</v>
      </c>
    </row>
    <row r="511" spans="1:27" x14ac:dyDescent="0.25">
      <c r="A511" s="10">
        <v>45666</v>
      </c>
      <c r="B511" s="11" t="s">
        <v>1466</v>
      </c>
      <c r="C511" s="11" t="s">
        <v>1752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9" t="s">
        <v>26</v>
      </c>
      <c r="AA511" s="12" t="s">
        <v>31</v>
      </c>
    </row>
    <row r="512" spans="1:27" x14ac:dyDescent="0.25">
      <c r="A512" s="10">
        <v>45666</v>
      </c>
      <c r="B512" s="11" t="s">
        <v>396</v>
      </c>
      <c r="C512" s="11" t="s">
        <v>1753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9" t="s">
        <v>26</v>
      </c>
      <c r="AA512" s="12" t="s">
        <v>31</v>
      </c>
    </row>
    <row r="513" spans="1:27" x14ac:dyDescent="0.25">
      <c r="A513" s="10">
        <v>45666</v>
      </c>
      <c r="B513" s="11" t="s">
        <v>424</v>
      </c>
      <c r="C513" s="11" t="s">
        <v>1754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9" t="s">
        <v>26</v>
      </c>
      <c r="AA513" s="12" t="s">
        <v>31</v>
      </c>
    </row>
    <row r="514" spans="1:27" x14ac:dyDescent="0.25">
      <c r="A514" s="10">
        <v>45666</v>
      </c>
      <c r="B514" s="11" t="s">
        <v>1524</v>
      </c>
      <c r="C514" s="11" t="s">
        <v>1755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4461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9" t="s">
        <v>26</v>
      </c>
      <c r="AA514" s="12" t="s">
        <v>31</v>
      </c>
    </row>
    <row r="515" spans="1:27" x14ac:dyDescent="0.25">
      <c r="A515" s="10">
        <v>45666</v>
      </c>
      <c r="B515" s="11" t="s">
        <v>1756</v>
      </c>
      <c r="C515" s="11" t="s">
        <v>1757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9" t="s">
        <v>26</v>
      </c>
      <c r="AA515" s="12" t="s">
        <v>31</v>
      </c>
    </row>
    <row r="516" spans="1:27" x14ac:dyDescent="0.25">
      <c r="A516" s="10">
        <v>45666</v>
      </c>
      <c r="B516" s="11" t="s">
        <v>1758</v>
      </c>
      <c r="C516" s="11" t="s">
        <v>1759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4439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9" t="s">
        <v>565</v>
      </c>
      <c r="AA516" s="12" t="s">
        <v>78</v>
      </c>
    </row>
    <row r="517" spans="1:27" x14ac:dyDescent="0.25">
      <c r="A517" s="10">
        <v>45666</v>
      </c>
      <c r="B517" s="11" t="s">
        <v>318</v>
      </c>
      <c r="C517" s="11" t="s">
        <v>1760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4439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9" t="s">
        <v>140</v>
      </c>
      <c r="AA517" s="12" t="s">
        <v>78</v>
      </c>
    </row>
    <row r="518" spans="1:27" x14ac:dyDescent="0.25">
      <c r="A518" s="10">
        <v>45666</v>
      </c>
      <c r="B518" s="11" t="s">
        <v>1761</v>
      </c>
      <c r="C518" s="11" t="s">
        <v>1762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9" t="s">
        <v>41</v>
      </c>
      <c r="AA518" s="12" t="s">
        <v>79</v>
      </c>
    </row>
    <row r="519" spans="1:27" x14ac:dyDescent="0.25">
      <c r="A519" s="10">
        <v>45666</v>
      </c>
      <c r="B519" s="11" t="s">
        <v>1763</v>
      </c>
      <c r="C519" s="11" t="s">
        <v>1764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4465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9" t="s">
        <v>26</v>
      </c>
      <c r="AA519" s="12" t="s">
        <v>31</v>
      </c>
    </row>
    <row r="520" spans="1:27" x14ac:dyDescent="0.25">
      <c r="A520" s="10">
        <v>45666</v>
      </c>
      <c r="B520" s="11" t="s">
        <v>1765</v>
      </c>
      <c r="C520" s="11" t="s">
        <v>1766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9" t="s">
        <v>26</v>
      </c>
      <c r="AA520" s="12" t="s">
        <v>31</v>
      </c>
    </row>
    <row r="521" spans="1:27" x14ac:dyDescent="0.25">
      <c r="A521" s="10">
        <v>45666</v>
      </c>
      <c r="B521" s="11" t="s">
        <v>1767</v>
      </c>
      <c r="C521" s="11" t="s">
        <v>1768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9" t="s">
        <v>41</v>
      </c>
      <c r="AA521" s="12" t="s">
        <v>79</v>
      </c>
    </row>
    <row r="522" spans="1:27" x14ac:dyDescent="0.25">
      <c r="A522" s="10">
        <v>45666</v>
      </c>
      <c r="B522" s="11" t="s">
        <v>379</v>
      </c>
      <c r="C522" s="11" t="s">
        <v>1769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9" t="s">
        <v>26</v>
      </c>
      <c r="AA522" s="12" t="s">
        <v>31</v>
      </c>
    </row>
    <row r="523" spans="1:27" x14ac:dyDescent="0.25">
      <c r="A523" s="10">
        <v>45666</v>
      </c>
      <c r="B523" s="11" t="s">
        <v>265</v>
      </c>
      <c r="C523" s="11" t="s">
        <v>1770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4440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9" t="s">
        <v>26</v>
      </c>
      <c r="AA523" s="12" t="s">
        <v>31</v>
      </c>
    </row>
    <row r="524" spans="1:27" x14ac:dyDescent="0.25">
      <c r="A524" s="10">
        <v>45666</v>
      </c>
      <c r="B524" s="11" t="s">
        <v>1771</v>
      </c>
      <c r="C524" s="11" t="s">
        <v>1772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4463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9" t="s">
        <v>26</v>
      </c>
      <c r="AA524" s="12" t="s">
        <v>31</v>
      </c>
    </row>
    <row r="525" spans="1:27" x14ac:dyDescent="0.25">
      <c r="A525" s="10">
        <v>45666</v>
      </c>
      <c r="B525" s="11" t="s">
        <v>314</v>
      </c>
      <c r="C525" s="11" t="s">
        <v>1773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4439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9" t="s">
        <v>140</v>
      </c>
      <c r="AA525" s="12" t="s">
        <v>78</v>
      </c>
    </row>
    <row r="526" spans="1:27" x14ac:dyDescent="0.25">
      <c r="A526" s="10">
        <v>45666</v>
      </c>
      <c r="B526" s="11" t="s">
        <v>1774</v>
      </c>
      <c r="C526" s="11" t="s">
        <v>1775</v>
      </c>
      <c r="D526" s="11" t="s">
        <v>26</v>
      </c>
      <c r="E526" s="11" t="s">
        <v>1217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9" t="s">
        <v>26</v>
      </c>
      <c r="AA526" s="12" t="s">
        <v>31</v>
      </c>
    </row>
    <row r="527" spans="1:27" x14ac:dyDescent="0.25">
      <c r="A527" s="10">
        <v>45666</v>
      </c>
      <c r="B527" s="11" t="s">
        <v>1776</v>
      </c>
      <c r="C527" s="11" t="s">
        <v>1777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4439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9" t="s">
        <v>565</v>
      </c>
      <c r="AA527" s="12" t="s">
        <v>78</v>
      </c>
    </row>
    <row r="528" spans="1:27" x14ac:dyDescent="0.25">
      <c r="A528" s="10">
        <v>45666</v>
      </c>
      <c r="B528" s="11" t="s">
        <v>1778</v>
      </c>
      <c r="C528" s="11" t="s">
        <v>1779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9" t="s">
        <v>26</v>
      </c>
      <c r="AA528" s="12" t="s">
        <v>31</v>
      </c>
    </row>
    <row r="529" spans="1:27" x14ac:dyDescent="0.25">
      <c r="A529" s="10">
        <v>45666</v>
      </c>
      <c r="B529" s="11" t="s">
        <v>1780</v>
      </c>
      <c r="C529" s="11" t="s">
        <v>1781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4440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9" t="s">
        <v>26</v>
      </c>
      <c r="AA529" s="12" t="s">
        <v>31</v>
      </c>
    </row>
    <row r="530" spans="1:27" x14ac:dyDescent="0.25">
      <c r="A530" s="10">
        <v>45666</v>
      </c>
      <c r="B530" s="11" t="s">
        <v>1183</v>
      </c>
      <c r="C530" s="11" t="s">
        <v>1782</v>
      </c>
      <c r="D530" s="11" t="s">
        <v>26</v>
      </c>
      <c r="E530" s="11" t="s">
        <v>659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9" t="s">
        <v>26</v>
      </c>
      <c r="AA530" s="12" t="s">
        <v>31</v>
      </c>
    </row>
    <row r="531" spans="1:27" x14ac:dyDescent="0.25">
      <c r="A531" s="10">
        <v>45666</v>
      </c>
      <c r="B531" s="11" t="s">
        <v>302</v>
      </c>
      <c r="C531" s="11" t="s">
        <v>1783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6345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9" t="s">
        <v>26</v>
      </c>
      <c r="AA531" s="12" t="s">
        <v>31</v>
      </c>
    </row>
    <row r="532" spans="1:27" x14ac:dyDescent="0.25">
      <c r="A532" s="10">
        <v>45666</v>
      </c>
      <c r="B532" s="11" t="s">
        <v>1784</v>
      </c>
      <c r="C532" s="11" t="s">
        <v>1785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9" t="s">
        <v>26</v>
      </c>
      <c r="AA532" s="12" t="s">
        <v>31</v>
      </c>
    </row>
    <row r="533" spans="1:27" x14ac:dyDescent="0.25">
      <c r="A533" s="10">
        <v>45666</v>
      </c>
      <c r="B533" s="11" t="s">
        <v>751</v>
      </c>
      <c r="C533" s="11" t="s">
        <v>1786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9" t="s">
        <v>26</v>
      </c>
      <c r="AA533" s="12" t="s">
        <v>31</v>
      </c>
    </row>
    <row r="534" spans="1:27" x14ac:dyDescent="0.25">
      <c r="A534" s="10">
        <v>45666</v>
      </c>
      <c r="B534" s="11" t="s">
        <v>1787</v>
      </c>
      <c r="C534" s="11" t="s">
        <v>1788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9" t="s">
        <v>26</v>
      </c>
      <c r="AA534" s="12" t="s">
        <v>31</v>
      </c>
    </row>
    <row r="535" spans="1:27" x14ac:dyDescent="0.25">
      <c r="A535" s="10">
        <v>45666</v>
      </c>
      <c r="B535" s="11" t="s">
        <v>1789</v>
      </c>
      <c r="C535" s="11" t="s">
        <v>1790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9" t="s">
        <v>26</v>
      </c>
      <c r="AA535" s="12" t="s">
        <v>31</v>
      </c>
    </row>
    <row r="536" spans="1:27" x14ac:dyDescent="0.25">
      <c r="A536" s="10">
        <v>45666</v>
      </c>
      <c r="B536" s="11" t="s">
        <v>375</v>
      </c>
      <c r="C536" s="11" t="s">
        <v>1791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4439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9" t="s">
        <v>41</v>
      </c>
      <c r="AA536" s="12" t="s">
        <v>78</v>
      </c>
    </row>
    <row r="537" spans="1:27" x14ac:dyDescent="0.25">
      <c r="A537" s="10">
        <v>45666</v>
      </c>
      <c r="B537" s="11" t="s">
        <v>1792</v>
      </c>
      <c r="C537" s="11" t="s">
        <v>1793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9" t="s">
        <v>26</v>
      </c>
      <c r="AA537" s="12" t="s">
        <v>31</v>
      </c>
    </row>
    <row r="538" spans="1:27" x14ac:dyDescent="0.25">
      <c r="A538" s="10">
        <v>45666</v>
      </c>
      <c r="B538" s="11" t="s">
        <v>754</v>
      </c>
      <c r="C538" s="11" t="s">
        <v>1794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4440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9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1795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9" t="s">
        <v>26</v>
      </c>
      <c r="AA539" s="12" t="s">
        <v>31</v>
      </c>
    </row>
    <row r="540" spans="1:27" x14ac:dyDescent="0.25">
      <c r="A540" s="10">
        <v>45666</v>
      </c>
      <c r="B540" s="11" t="s">
        <v>1796</v>
      </c>
      <c r="C540" s="11" t="s">
        <v>1797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4465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9" t="s">
        <v>26</v>
      </c>
      <c r="AA540" s="12" t="s">
        <v>31</v>
      </c>
    </row>
    <row r="541" spans="1:27" x14ac:dyDescent="0.25">
      <c r="A541" s="10">
        <v>45666</v>
      </c>
      <c r="B541" s="11" t="s">
        <v>294</v>
      </c>
      <c r="C541" s="11" t="s">
        <v>1798</v>
      </c>
      <c r="D541" s="11" t="s">
        <v>26</v>
      </c>
      <c r="E541" s="11" t="s">
        <v>1677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9" t="s">
        <v>26</v>
      </c>
      <c r="AA541" s="12" t="s">
        <v>31</v>
      </c>
    </row>
    <row r="542" spans="1:27" x14ac:dyDescent="0.25">
      <c r="A542" s="10">
        <v>45666</v>
      </c>
      <c r="B542" s="11" t="s">
        <v>716</v>
      </c>
      <c r="C542" s="11" t="s">
        <v>1799</v>
      </c>
      <c r="D542" s="11" t="s">
        <v>26</v>
      </c>
      <c r="E542" s="11" t="s">
        <v>1668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9" t="s">
        <v>26</v>
      </c>
      <c r="AA542" s="12" t="s">
        <v>31</v>
      </c>
    </row>
    <row r="543" spans="1:27" x14ac:dyDescent="0.25">
      <c r="A543" s="10">
        <v>45666</v>
      </c>
      <c r="B543" s="11" t="s">
        <v>1800</v>
      </c>
      <c r="C543" s="11" t="s">
        <v>1801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9" t="s">
        <v>26</v>
      </c>
      <c r="AA543" s="12" t="s">
        <v>31</v>
      </c>
    </row>
    <row r="544" spans="1:27" x14ac:dyDescent="0.25">
      <c r="A544" s="10">
        <v>45666</v>
      </c>
      <c r="B544" s="11" t="s">
        <v>1802</v>
      </c>
      <c r="C544" s="11" t="s">
        <v>1803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9" t="s">
        <v>26</v>
      </c>
      <c r="AA544" s="12" t="s">
        <v>31</v>
      </c>
    </row>
    <row r="545" spans="1:27" x14ac:dyDescent="0.25">
      <c r="A545" s="10">
        <v>45666</v>
      </c>
      <c r="B545" s="11" t="s">
        <v>280</v>
      </c>
      <c r="C545" s="11" t="s">
        <v>1804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4439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9" t="s">
        <v>41</v>
      </c>
      <c r="AA545" s="12" t="s">
        <v>78</v>
      </c>
    </row>
    <row r="546" spans="1:27" x14ac:dyDescent="0.25">
      <c r="A546" s="10">
        <v>45666</v>
      </c>
      <c r="B546" s="11" t="s">
        <v>1805</v>
      </c>
      <c r="C546" s="11" t="s">
        <v>1806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9" t="s">
        <v>26</v>
      </c>
      <c r="AA546" s="12" t="s">
        <v>31</v>
      </c>
    </row>
    <row r="547" spans="1:27" x14ac:dyDescent="0.25">
      <c r="A547" s="10">
        <v>45666</v>
      </c>
      <c r="B547" s="11" t="s">
        <v>1807</v>
      </c>
      <c r="C547" s="11" t="s">
        <v>1808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4463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9" t="s">
        <v>26</v>
      </c>
      <c r="AA547" s="12" t="s">
        <v>31</v>
      </c>
    </row>
    <row r="548" spans="1:27" x14ac:dyDescent="0.25">
      <c r="A548" s="10">
        <v>45666</v>
      </c>
      <c r="B548" s="11" t="s">
        <v>276</v>
      </c>
      <c r="C548" s="11" t="s">
        <v>1809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9" t="s">
        <v>26</v>
      </c>
      <c r="AA548" s="12" t="s">
        <v>31</v>
      </c>
    </row>
    <row r="549" spans="1:27" x14ac:dyDescent="0.25">
      <c r="A549" s="10">
        <v>45666</v>
      </c>
      <c r="B549" s="11" t="s">
        <v>636</v>
      </c>
      <c r="C549" s="11" t="s">
        <v>1810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4440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9" t="s">
        <v>26</v>
      </c>
      <c r="AA549" s="12" t="s">
        <v>31</v>
      </c>
    </row>
    <row r="550" spans="1:27" x14ac:dyDescent="0.25">
      <c r="A550" s="10">
        <v>45666</v>
      </c>
      <c r="B550" s="11" t="s">
        <v>1811</v>
      </c>
      <c r="C550" s="11" t="s">
        <v>1812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9" t="s">
        <v>26</v>
      </c>
      <c r="AA550" s="12" t="s">
        <v>31</v>
      </c>
    </row>
    <row r="551" spans="1:27" x14ac:dyDescent="0.25">
      <c r="A551" s="10">
        <v>45666</v>
      </c>
      <c r="B551" s="11" t="s">
        <v>1813</v>
      </c>
      <c r="C551" s="11" t="s">
        <v>1814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9" t="s">
        <v>26</v>
      </c>
      <c r="AA551" s="12" t="s">
        <v>31</v>
      </c>
    </row>
    <row r="552" spans="1:27" x14ac:dyDescent="0.25">
      <c r="A552" s="10">
        <v>45666</v>
      </c>
      <c r="B552" s="11" t="s">
        <v>317</v>
      </c>
      <c r="C552" s="11" t="s">
        <v>1815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4440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9" t="s">
        <v>26</v>
      </c>
      <c r="AA552" s="12" t="s">
        <v>31</v>
      </c>
    </row>
    <row r="553" spans="1:27" x14ac:dyDescent="0.25">
      <c r="A553" s="10">
        <v>45666</v>
      </c>
      <c r="B553" s="11" t="s">
        <v>1816</v>
      </c>
      <c r="C553" s="11" t="s">
        <v>1817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9" t="s">
        <v>26</v>
      </c>
      <c r="AA553" s="12" t="s">
        <v>31</v>
      </c>
    </row>
    <row r="554" spans="1:27" x14ac:dyDescent="0.25">
      <c r="A554" s="10">
        <v>45666</v>
      </c>
      <c r="B554" s="11" t="s">
        <v>629</v>
      </c>
      <c r="C554" s="11" t="s">
        <v>1818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9" t="s">
        <v>26</v>
      </c>
      <c r="AA554" s="12" t="s">
        <v>31</v>
      </c>
    </row>
    <row r="555" spans="1:27" x14ac:dyDescent="0.25">
      <c r="A555" s="10">
        <v>45666</v>
      </c>
      <c r="B555" s="11" t="s">
        <v>1819</v>
      </c>
      <c r="C555" s="11" t="s">
        <v>1820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9" t="s">
        <v>26</v>
      </c>
      <c r="AA555" s="12" t="s">
        <v>31</v>
      </c>
    </row>
    <row r="556" spans="1:27" x14ac:dyDescent="0.25">
      <c r="A556" s="10">
        <v>45666</v>
      </c>
      <c r="B556" s="11" t="s">
        <v>1821</v>
      </c>
      <c r="C556" s="11" t="s">
        <v>1822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9" t="s">
        <v>26</v>
      </c>
      <c r="AA556" s="12" t="s">
        <v>31</v>
      </c>
    </row>
    <row r="557" spans="1:27" x14ac:dyDescent="0.25">
      <c r="A557" s="10">
        <v>45666</v>
      </c>
      <c r="B557" s="11" t="s">
        <v>1823</v>
      </c>
      <c r="C557" s="11" t="s">
        <v>1824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4440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9" t="s">
        <v>26</v>
      </c>
      <c r="AA557" s="12" t="s">
        <v>31</v>
      </c>
    </row>
    <row r="558" spans="1:27" x14ac:dyDescent="0.25">
      <c r="A558" s="10">
        <v>45666</v>
      </c>
      <c r="B558" s="11" t="s">
        <v>1825</v>
      </c>
      <c r="C558" s="11" t="s">
        <v>1826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4440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9" t="s">
        <v>26</v>
      </c>
      <c r="AA558" s="12" t="s">
        <v>31</v>
      </c>
    </row>
    <row r="559" spans="1:27" x14ac:dyDescent="0.25">
      <c r="A559" s="10">
        <v>45666</v>
      </c>
      <c r="B559" s="11" t="s">
        <v>1827</v>
      </c>
      <c r="C559" s="11" t="s">
        <v>1828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9" t="s">
        <v>26</v>
      </c>
      <c r="AA559" s="12" t="s">
        <v>31</v>
      </c>
    </row>
    <row r="560" spans="1:27" x14ac:dyDescent="0.25">
      <c r="A560" s="10">
        <v>45666</v>
      </c>
      <c r="B560" s="11" t="s">
        <v>724</v>
      </c>
      <c r="C560" s="11" t="s">
        <v>1829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4440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9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1830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9" t="s">
        <v>26</v>
      </c>
      <c r="AA561" s="12" t="s">
        <v>31</v>
      </c>
    </row>
    <row r="562" spans="1:27" x14ac:dyDescent="0.25">
      <c r="A562" s="10">
        <v>45666</v>
      </c>
      <c r="B562" s="11" t="s">
        <v>1831</v>
      </c>
      <c r="C562" s="11" t="s">
        <v>1832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9" t="s">
        <v>26</v>
      </c>
      <c r="AA562" s="12" t="s">
        <v>31</v>
      </c>
    </row>
    <row r="563" spans="1:27" x14ac:dyDescent="0.25">
      <c r="A563" s="10">
        <v>45666</v>
      </c>
      <c r="B563" s="11" t="s">
        <v>378</v>
      </c>
      <c r="C563" s="11" t="s">
        <v>1833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9" t="s">
        <v>26</v>
      </c>
      <c r="AA563" s="12" t="s">
        <v>31</v>
      </c>
    </row>
    <row r="564" spans="1:27" x14ac:dyDescent="0.25">
      <c r="A564" s="10">
        <v>45666</v>
      </c>
      <c r="B564" s="11" t="s">
        <v>273</v>
      </c>
      <c r="C564" s="11" t="s">
        <v>1834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9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1835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9" t="s">
        <v>26</v>
      </c>
      <c r="AA565" s="12" t="s">
        <v>31</v>
      </c>
    </row>
    <row r="566" spans="1:27" x14ac:dyDescent="0.25">
      <c r="A566" s="10">
        <v>45667</v>
      </c>
      <c r="B566" s="11" t="s">
        <v>1836</v>
      </c>
      <c r="C566" s="11" t="s">
        <v>1837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4440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9" t="s">
        <v>26</v>
      </c>
      <c r="AA566" s="12" t="s">
        <v>31</v>
      </c>
    </row>
    <row r="567" spans="1:27" x14ac:dyDescent="0.25">
      <c r="A567" s="10">
        <v>45667</v>
      </c>
      <c r="B567" s="11" t="s">
        <v>710</v>
      </c>
      <c r="C567" s="11" t="s">
        <v>1838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4439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9" t="s">
        <v>141</v>
      </c>
      <c r="AA567" s="12" t="s">
        <v>78</v>
      </c>
    </row>
    <row r="568" spans="1:27" x14ac:dyDescent="0.25">
      <c r="A568" s="10">
        <v>45667</v>
      </c>
      <c r="B568" s="11" t="s">
        <v>454</v>
      </c>
      <c r="C568" s="11" t="s">
        <v>1839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4465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9" t="s">
        <v>26</v>
      </c>
      <c r="AA568" s="12" t="s">
        <v>31</v>
      </c>
    </row>
    <row r="569" spans="1:27" x14ac:dyDescent="0.25">
      <c r="A569" s="10">
        <v>45667</v>
      </c>
      <c r="B569" s="11" t="s">
        <v>1840</v>
      </c>
      <c r="C569" s="11" t="s">
        <v>1841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4439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9" t="s">
        <v>141</v>
      </c>
      <c r="AA569" s="12" t="s">
        <v>78</v>
      </c>
    </row>
    <row r="570" spans="1:27" x14ac:dyDescent="0.25">
      <c r="A570" s="10">
        <v>45667</v>
      </c>
      <c r="B570" s="11" t="s">
        <v>1072</v>
      </c>
      <c r="C570" s="11" t="s">
        <v>1842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4440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9" t="s">
        <v>26</v>
      </c>
      <c r="AA570" s="12" t="s">
        <v>31</v>
      </c>
    </row>
    <row r="571" spans="1:27" x14ac:dyDescent="0.25">
      <c r="A571" s="10">
        <v>45667</v>
      </c>
      <c r="B571" s="11" t="s">
        <v>1843</v>
      </c>
      <c r="C571" s="11" t="s">
        <v>1844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4439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9" t="s">
        <v>141</v>
      </c>
      <c r="AA571" s="12" t="s">
        <v>78</v>
      </c>
    </row>
    <row r="572" spans="1:27" x14ac:dyDescent="0.25">
      <c r="A572" s="10">
        <v>45667</v>
      </c>
      <c r="B572" s="11" t="s">
        <v>1845</v>
      </c>
      <c r="C572" s="11" t="s">
        <v>1846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4439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9" t="s">
        <v>41</v>
      </c>
      <c r="AA572" s="12" t="s">
        <v>78</v>
      </c>
    </row>
    <row r="573" spans="1:27" x14ac:dyDescent="0.25">
      <c r="A573" s="10">
        <v>45667</v>
      </c>
      <c r="B573" s="11" t="s">
        <v>1847</v>
      </c>
      <c r="C573" s="11" t="s">
        <v>1848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4440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9" t="s">
        <v>26</v>
      </c>
      <c r="AA573" s="12" t="s">
        <v>31</v>
      </c>
    </row>
    <row r="574" spans="1:27" x14ac:dyDescent="0.25">
      <c r="A574" s="10">
        <v>45667</v>
      </c>
      <c r="B574" s="11" t="s">
        <v>1849</v>
      </c>
      <c r="C574" s="11" t="s">
        <v>1850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9" t="s">
        <v>26</v>
      </c>
      <c r="AA574" s="12" t="s">
        <v>31</v>
      </c>
    </row>
    <row r="575" spans="1:27" x14ac:dyDescent="0.25">
      <c r="A575" s="10">
        <v>45667</v>
      </c>
      <c r="B575" s="11" t="s">
        <v>264</v>
      </c>
      <c r="C575" s="11" t="s">
        <v>1851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4439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9" t="s">
        <v>6345</v>
      </c>
      <c r="AA575" s="12" t="s">
        <v>78</v>
      </c>
    </row>
    <row r="576" spans="1:27" x14ac:dyDescent="0.25">
      <c r="A576" s="10">
        <v>45667</v>
      </c>
      <c r="B576" s="11" t="s">
        <v>1852</v>
      </c>
      <c r="C576" s="11" t="s">
        <v>1853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4439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9" t="s">
        <v>141</v>
      </c>
      <c r="AA576" s="12" t="s">
        <v>78</v>
      </c>
    </row>
    <row r="577" spans="1:27" x14ac:dyDescent="0.25">
      <c r="A577" s="10">
        <v>45667</v>
      </c>
      <c r="B577" s="11" t="s">
        <v>1854</v>
      </c>
      <c r="C577" s="11" t="s">
        <v>1855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9" t="s">
        <v>26</v>
      </c>
      <c r="AA577" s="12" t="s">
        <v>31</v>
      </c>
    </row>
    <row r="578" spans="1:27" x14ac:dyDescent="0.25">
      <c r="A578" s="10">
        <v>45667</v>
      </c>
      <c r="B578" s="11" t="s">
        <v>1856</v>
      </c>
      <c r="C578" s="11" t="s">
        <v>1857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9" t="s">
        <v>26</v>
      </c>
      <c r="AA578" s="12" t="s">
        <v>31</v>
      </c>
    </row>
    <row r="579" spans="1:27" x14ac:dyDescent="0.25">
      <c r="A579" s="10">
        <v>45667</v>
      </c>
      <c r="B579" s="11" t="s">
        <v>1858</v>
      </c>
      <c r="C579" s="11" t="s">
        <v>1859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9" t="s">
        <v>26</v>
      </c>
      <c r="AA579" s="12" t="s">
        <v>31</v>
      </c>
    </row>
    <row r="580" spans="1:27" x14ac:dyDescent="0.25">
      <c r="A580" s="10">
        <v>45667</v>
      </c>
      <c r="B580" s="11" t="s">
        <v>1860</v>
      </c>
      <c r="C580" s="11" t="s">
        <v>1861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9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1862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4461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9" t="s">
        <v>26</v>
      </c>
      <c r="AA581" s="12" t="s">
        <v>31</v>
      </c>
    </row>
    <row r="582" spans="1:27" x14ac:dyDescent="0.25">
      <c r="A582" s="10">
        <v>45667</v>
      </c>
      <c r="B582" s="11" t="s">
        <v>1863</v>
      </c>
      <c r="C582" s="11" t="s">
        <v>1864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4439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9" t="s">
        <v>141</v>
      </c>
      <c r="AA582" s="12" t="s">
        <v>78</v>
      </c>
    </row>
    <row r="583" spans="1:27" x14ac:dyDescent="0.25">
      <c r="A583" s="10">
        <v>45667</v>
      </c>
      <c r="B583" s="11" t="s">
        <v>1865</v>
      </c>
      <c r="C583" s="11" t="s">
        <v>1866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9" t="s">
        <v>26</v>
      </c>
      <c r="AA583" s="12" t="s">
        <v>31</v>
      </c>
    </row>
    <row r="584" spans="1:27" x14ac:dyDescent="0.25">
      <c r="A584" s="10">
        <v>45667</v>
      </c>
      <c r="B584" s="11" t="s">
        <v>248</v>
      </c>
      <c r="C584" s="11" t="s">
        <v>1867</v>
      </c>
      <c r="D584" s="11" t="s">
        <v>26</v>
      </c>
      <c r="E584" s="11" t="s">
        <v>659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9" t="s">
        <v>26</v>
      </c>
      <c r="AA584" s="12" t="s">
        <v>31</v>
      </c>
    </row>
    <row r="585" spans="1:27" x14ac:dyDescent="0.25">
      <c r="A585" s="10">
        <v>45667</v>
      </c>
      <c r="B585" s="11" t="s">
        <v>1146</v>
      </c>
      <c r="C585" s="11" t="s">
        <v>1868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4440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9" t="s">
        <v>26</v>
      </c>
      <c r="AA585" s="12" t="s">
        <v>31</v>
      </c>
    </row>
    <row r="586" spans="1:27" x14ac:dyDescent="0.25">
      <c r="A586" s="10">
        <v>45667</v>
      </c>
      <c r="B586" s="11" t="s">
        <v>370</v>
      </c>
      <c r="C586" s="11" t="s">
        <v>1869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4439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9" t="s">
        <v>41</v>
      </c>
      <c r="AA586" s="12" t="s">
        <v>78</v>
      </c>
    </row>
    <row r="587" spans="1:27" x14ac:dyDescent="0.25">
      <c r="A587" s="10">
        <v>45667</v>
      </c>
      <c r="B587" s="11" t="s">
        <v>1870</v>
      </c>
      <c r="C587" s="11" t="s">
        <v>1871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4461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9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1872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9" t="s">
        <v>26</v>
      </c>
      <c r="AA588" s="12" t="s">
        <v>31</v>
      </c>
    </row>
    <row r="589" spans="1:27" x14ac:dyDescent="0.25">
      <c r="A589" s="10">
        <v>45667</v>
      </c>
      <c r="B589" s="11" t="s">
        <v>1873</v>
      </c>
      <c r="C589" s="11" t="s">
        <v>1874</v>
      </c>
      <c r="D589" s="11" t="s">
        <v>26</v>
      </c>
      <c r="E589" s="11" t="s">
        <v>1217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9" t="s">
        <v>26</v>
      </c>
      <c r="AA589" s="12" t="s">
        <v>31</v>
      </c>
    </row>
    <row r="590" spans="1:27" x14ac:dyDescent="0.25">
      <c r="A590" s="10">
        <v>45667</v>
      </c>
      <c r="B590" s="11" t="s">
        <v>1875</v>
      </c>
      <c r="C590" s="11" t="s">
        <v>1876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4440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9" t="s">
        <v>26</v>
      </c>
      <c r="AA590" s="12" t="s">
        <v>31</v>
      </c>
    </row>
    <row r="591" spans="1:27" x14ac:dyDescent="0.25">
      <c r="A591" s="10">
        <v>45667</v>
      </c>
      <c r="B591" s="11" t="s">
        <v>1877</v>
      </c>
      <c r="C591" s="11" t="s">
        <v>1878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9" t="s">
        <v>26</v>
      </c>
      <c r="AA591" s="12" t="s">
        <v>31</v>
      </c>
    </row>
    <row r="592" spans="1:27" x14ac:dyDescent="0.25">
      <c r="A592" s="10">
        <v>45667</v>
      </c>
      <c r="B592" s="11" t="s">
        <v>450</v>
      </c>
      <c r="C592" s="11" t="s">
        <v>1879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4461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9" t="s">
        <v>26</v>
      </c>
      <c r="AA592" s="12" t="s">
        <v>31</v>
      </c>
    </row>
    <row r="593" spans="1:27" x14ac:dyDescent="0.25">
      <c r="A593" s="10">
        <v>45667</v>
      </c>
      <c r="B593" s="11" t="s">
        <v>284</v>
      </c>
      <c r="C593" s="11" t="s">
        <v>1880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4463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9" t="s">
        <v>26</v>
      </c>
      <c r="AA593" s="12" t="s">
        <v>31</v>
      </c>
    </row>
    <row r="594" spans="1:27" x14ac:dyDescent="0.25">
      <c r="A594" s="10">
        <v>45667</v>
      </c>
      <c r="B594" s="11" t="s">
        <v>340</v>
      </c>
      <c r="C594" s="11" t="s">
        <v>1881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4465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9" t="s">
        <v>26</v>
      </c>
      <c r="AA594" s="12" t="s">
        <v>31</v>
      </c>
    </row>
    <row r="595" spans="1:27" x14ac:dyDescent="0.25">
      <c r="A595" s="10">
        <v>45667</v>
      </c>
      <c r="B595" s="11" t="s">
        <v>1882</v>
      </c>
      <c r="C595" s="11" t="s">
        <v>1883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9" t="s">
        <v>26</v>
      </c>
      <c r="AA595" s="12" t="s">
        <v>31</v>
      </c>
    </row>
    <row r="596" spans="1:27" x14ac:dyDescent="0.25">
      <c r="A596" s="10">
        <v>45667</v>
      </c>
      <c r="B596" s="11" t="s">
        <v>1884</v>
      </c>
      <c r="C596" s="11" t="s">
        <v>1885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9" t="s">
        <v>26</v>
      </c>
      <c r="AA596" s="12" t="s">
        <v>31</v>
      </c>
    </row>
    <row r="597" spans="1:27" x14ac:dyDescent="0.25">
      <c r="A597" s="10">
        <v>45667</v>
      </c>
      <c r="B597" s="11" t="s">
        <v>1886</v>
      </c>
      <c r="C597" s="11" t="s">
        <v>1887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4461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9" t="s">
        <v>26</v>
      </c>
      <c r="AA597" s="12" t="s">
        <v>31</v>
      </c>
    </row>
    <row r="598" spans="1:27" x14ac:dyDescent="0.25">
      <c r="A598" s="10">
        <v>45667</v>
      </c>
      <c r="B598" s="11" t="s">
        <v>1888</v>
      </c>
      <c r="C598" s="11" t="s">
        <v>1889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4440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9" t="s">
        <v>26</v>
      </c>
      <c r="AA598" s="12" t="s">
        <v>31</v>
      </c>
    </row>
    <row r="599" spans="1:27" x14ac:dyDescent="0.25">
      <c r="A599" s="10">
        <v>45667</v>
      </c>
      <c r="B599" s="11" t="s">
        <v>1890</v>
      </c>
      <c r="C599" s="11" t="s">
        <v>1891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9" t="s">
        <v>26</v>
      </c>
      <c r="AA599" s="12" t="s">
        <v>31</v>
      </c>
    </row>
    <row r="600" spans="1:27" x14ac:dyDescent="0.25">
      <c r="A600" s="10">
        <v>45667</v>
      </c>
      <c r="B600" s="11" t="s">
        <v>1892</v>
      </c>
      <c r="C600" s="11" t="s">
        <v>1893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9" t="s">
        <v>26</v>
      </c>
      <c r="AA600" s="12" t="s">
        <v>31</v>
      </c>
    </row>
    <row r="601" spans="1:27" x14ac:dyDescent="0.25">
      <c r="A601" s="10">
        <v>45667</v>
      </c>
      <c r="B601" s="11" t="s">
        <v>1894</v>
      </c>
      <c r="C601" s="11" t="s">
        <v>1895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9" t="s">
        <v>26</v>
      </c>
      <c r="AA601" s="12" t="s">
        <v>31</v>
      </c>
    </row>
    <row r="602" spans="1:27" x14ac:dyDescent="0.25">
      <c r="A602" s="10">
        <v>45667</v>
      </c>
      <c r="B602" s="11" t="s">
        <v>1896</v>
      </c>
      <c r="C602" s="11" t="s">
        <v>1897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4439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9" t="s">
        <v>6345</v>
      </c>
      <c r="AA602" s="12" t="s">
        <v>78</v>
      </c>
    </row>
    <row r="603" spans="1:27" x14ac:dyDescent="0.25">
      <c r="A603" s="10">
        <v>45667</v>
      </c>
      <c r="B603" s="11" t="s">
        <v>1898</v>
      </c>
      <c r="C603" s="11" t="s">
        <v>1899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9" t="s">
        <v>26</v>
      </c>
      <c r="AA603" s="12" t="s">
        <v>31</v>
      </c>
    </row>
    <row r="604" spans="1:27" x14ac:dyDescent="0.25">
      <c r="A604" s="10">
        <v>45667</v>
      </c>
      <c r="B604" s="11" t="s">
        <v>1900</v>
      </c>
      <c r="C604" s="11" t="s">
        <v>1901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9" t="s">
        <v>26</v>
      </c>
      <c r="AA604" s="12" t="s">
        <v>31</v>
      </c>
    </row>
    <row r="605" spans="1:27" x14ac:dyDescent="0.25">
      <c r="A605" s="10">
        <v>45667</v>
      </c>
      <c r="B605" s="11" t="s">
        <v>1902</v>
      </c>
      <c r="C605" s="11" t="s">
        <v>1903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4461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9" t="s">
        <v>26</v>
      </c>
      <c r="AA605" s="12" t="s">
        <v>31</v>
      </c>
    </row>
    <row r="606" spans="1:27" x14ac:dyDescent="0.25">
      <c r="A606" s="10">
        <v>45667</v>
      </c>
      <c r="B606" s="11" t="s">
        <v>1904</v>
      </c>
      <c r="C606" s="11" t="s">
        <v>1905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4465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9" t="s">
        <v>26</v>
      </c>
      <c r="AA606" s="12" t="s">
        <v>31</v>
      </c>
    </row>
    <row r="607" spans="1:27" x14ac:dyDescent="0.25">
      <c r="A607" s="10">
        <v>45667</v>
      </c>
      <c r="B607" s="11" t="s">
        <v>1906</v>
      </c>
      <c r="C607" s="11" t="s">
        <v>1907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9" t="s">
        <v>26</v>
      </c>
      <c r="AA607" s="12" t="s">
        <v>31</v>
      </c>
    </row>
    <row r="608" spans="1:27" x14ac:dyDescent="0.25">
      <c r="A608" s="10">
        <v>45667</v>
      </c>
      <c r="B608" s="11" t="s">
        <v>1908</v>
      </c>
      <c r="C608" s="11" t="s">
        <v>1909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4465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9" t="s">
        <v>26</v>
      </c>
      <c r="AA608" s="12" t="s">
        <v>31</v>
      </c>
    </row>
    <row r="609" spans="1:27" x14ac:dyDescent="0.25">
      <c r="A609" s="10">
        <v>45667</v>
      </c>
      <c r="B609" s="11" t="s">
        <v>1910</v>
      </c>
      <c r="C609" s="11" t="s">
        <v>1911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9" t="s">
        <v>26</v>
      </c>
      <c r="AA609" s="12" t="s">
        <v>31</v>
      </c>
    </row>
    <row r="610" spans="1:27" x14ac:dyDescent="0.25">
      <c r="A610" s="10">
        <v>45667</v>
      </c>
      <c r="B610" s="11" t="s">
        <v>708</v>
      </c>
      <c r="C610" s="11" t="s">
        <v>1912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9" t="s">
        <v>26</v>
      </c>
      <c r="AA610" s="12" t="s">
        <v>31</v>
      </c>
    </row>
    <row r="611" spans="1:27" x14ac:dyDescent="0.25">
      <c r="A611" s="10">
        <v>45667</v>
      </c>
      <c r="B611" s="11" t="s">
        <v>1913</v>
      </c>
      <c r="C611" s="11" t="s">
        <v>1914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9" t="s">
        <v>26</v>
      </c>
      <c r="AA611" s="12" t="s">
        <v>31</v>
      </c>
    </row>
    <row r="612" spans="1:27" x14ac:dyDescent="0.25">
      <c r="A612" s="10">
        <v>45667</v>
      </c>
      <c r="B612" s="11" t="s">
        <v>422</v>
      </c>
      <c r="C612" s="11" t="s">
        <v>1915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4440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9" t="s">
        <v>26</v>
      </c>
      <c r="AA612" s="12" t="s">
        <v>31</v>
      </c>
    </row>
    <row r="613" spans="1:27" x14ac:dyDescent="0.25">
      <c r="A613" s="10">
        <v>45667</v>
      </c>
      <c r="B613" s="11" t="s">
        <v>1387</v>
      </c>
      <c r="C613" s="11" t="s">
        <v>1916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4461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9" t="s">
        <v>26</v>
      </c>
      <c r="AA613" s="12" t="s">
        <v>31</v>
      </c>
    </row>
    <row r="614" spans="1:27" x14ac:dyDescent="0.25">
      <c r="A614" s="10">
        <v>45667</v>
      </c>
      <c r="B614" s="11" t="s">
        <v>1917</v>
      </c>
      <c r="C614" s="11" t="s">
        <v>1918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9" t="s">
        <v>26</v>
      </c>
      <c r="AA614" s="12" t="s">
        <v>31</v>
      </c>
    </row>
    <row r="615" spans="1:27" x14ac:dyDescent="0.25">
      <c r="A615" s="10">
        <v>45667</v>
      </c>
      <c r="B615" s="11" t="s">
        <v>290</v>
      </c>
      <c r="C615" s="11" t="s">
        <v>1919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9" t="s">
        <v>26</v>
      </c>
      <c r="AA615" s="12" t="s">
        <v>31</v>
      </c>
    </row>
    <row r="616" spans="1:27" x14ac:dyDescent="0.25">
      <c r="A616" s="10">
        <v>45667</v>
      </c>
      <c r="B616" s="11" t="s">
        <v>414</v>
      </c>
      <c r="C616" s="11" t="s">
        <v>1920</v>
      </c>
      <c r="D616" s="11" t="s">
        <v>26</v>
      </c>
      <c r="E616" s="11" t="s">
        <v>1217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9" t="s">
        <v>26</v>
      </c>
      <c r="AA616" s="12" t="s">
        <v>31</v>
      </c>
    </row>
    <row r="617" spans="1:27" x14ac:dyDescent="0.25">
      <c r="A617" s="10">
        <v>45667</v>
      </c>
      <c r="B617" s="11" t="s">
        <v>1921</v>
      </c>
      <c r="C617" s="11" t="s">
        <v>1922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9" t="s">
        <v>26</v>
      </c>
      <c r="AA617" s="12" t="s">
        <v>31</v>
      </c>
    </row>
    <row r="618" spans="1:27" x14ac:dyDescent="0.25">
      <c r="A618" s="10">
        <v>45667</v>
      </c>
      <c r="B618" s="11" t="s">
        <v>1923</v>
      </c>
      <c r="C618" s="11" t="s">
        <v>1924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4440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9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1925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1926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9" t="s">
        <v>26</v>
      </c>
      <c r="AA619" s="12" t="s">
        <v>31</v>
      </c>
    </row>
    <row r="620" spans="1:27" x14ac:dyDescent="0.25">
      <c r="A620" s="10">
        <v>45667</v>
      </c>
      <c r="B620" s="11" t="s">
        <v>750</v>
      </c>
      <c r="C620" s="11" t="s">
        <v>1927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4461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9" t="s">
        <v>26</v>
      </c>
      <c r="AA620" s="12" t="s">
        <v>31</v>
      </c>
    </row>
    <row r="621" spans="1:27" x14ac:dyDescent="0.25">
      <c r="A621" s="10">
        <v>45667</v>
      </c>
      <c r="B621" s="11" t="s">
        <v>1928</v>
      </c>
      <c r="C621" s="11" t="s">
        <v>1929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4439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9" t="s">
        <v>41</v>
      </c>
      <c r="AA621" s="12" t="s">
        <v>78</v>
      </c>
    </row>
    <row r="622" spans="1:27" x14ac:dyDescent="0.25">
      <c r="A622" s="10">
        <v>45667</v>
      </c>
      <c r="B622" s="11" t="s">
        <v>1930</v>
      </c>
      <c r="C622" s="11" t="s">
        <v>1931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9" t="s">
        <v>26</v>
      </c>
      <c r="AA622" s="12" t="s">
        <v>31</v>
      </c>
    </row>
    <row r="623" spans="1:27" x14ac:dyDescent="0.25">
      <c r="A623" s="10">
        <v>45667</v>
      </c>
      <c r="B623" s="11" t="s">
        <v>1932</v>
      </c>
      <c r="C623" s="11" t="s">
        <v>1933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9" t="s">
        <v>26</v>
      </c>
      <c r="AA623" s="12" t="s">
        <v>31</v>
      </c>
    </row>
    <row r="624" spans="1:27" x14ac:dyDescent="0.25">
      <c r="A624" s="10">
        <v>45667</v>
      </c>
      <c r="B624" s="11" t="s">
        <v>1934</v>
      </c>
      <c r="C624" s="11" t="s">
        <v>1935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9" t="s">
        <v>26</v>
      </c>
      <c r="AA624" s="12" t="s">
        <v>31</v>
      </c>
    </row>
    <row r="625" spans="1:27" x14ac:dyDescent="0.25">
      <c r="A625" s="10">
        <v>45667</v>
      </c>
      <c r="B625" s="11" t="s">
        <v>1936</v>
      </c>
      <c r="C625" s="11" t="s">
        <v>1937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4461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9" t="s">
        <v>26</v>
      </c>
      <c r="AA625" s="12" t="s">
        <v>31</v>
      </c>
    </row>
    <row r="626" spans="1:27" x14ac:dyDescent="0.25">
      <c r="A626" s="10">
        <v>45667</v>
      </c>
      <c r="B626" s="11" t="s">
        <v>1938</v>
      </c>
      <c r="C626" s="11" t="s">
        <v>1939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9" t="s">
        <v>26</v>
      </c>
      <c r="AA626" s="12" t="s">
        <v>31</v>
      </c>
    </row>
    <row r="627" spans="1:27" x14ac:dyDescent="0.25">
      <c r="A627" s="10">
        <v>45667</v>
      </c>
      <c r="B627" s="11" t="s">
        <v>1940</v>
      </c>
      <c r="C627" s="11" t="s">
        <v>1941</v>
      </c>
      <c r="D627" s="11" t="s">
        <v>26</v>
      </c>
      <c r="E627" s="11" t="s">
        <v>659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9" t="s">
        <v>26</v>
      </c>
      <c r="AA627" s="12" t="s">
        <v>31</v>
      </c>
    </row>
    <row r="628" spans="1:27" x14ac:dyDescent="0.25">
      <c r="A628" s="10">
        <v>45667</v>
      </c>
      <c r="B628" s="11" t="s">
        <v>1942</v>
      </c>
      <c r="C628" s="11" t="s">
        <v>1943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9" t="s">
        <v>26</v>
      </c>
      <c r="AA628" s="12" t="s">
        <v>31</v>
      </c>
    </row>
    <row r="629" spans="1:27" x14ac:dyDescent="0.25">
      <c r="A629" s="10">
        <v>45667</v>
      </c>
      <c r="B629" s="11" t="s">
        <v>1691</v>
      </c>
      <c r="C629" s="11" t="s">
        <v>1944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4440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9" t="s">
        <v>26</v>
      </c>
      <c r="AA629" s="12" t="s">
        <v>31</v>
      </c>
    </row>
    <row r="630" spans="1:27" x14ac:dyDescent="0.25">
      <c r="A630" s="10">
        <v>45667</v>
      </c>
      <c r="B630" s="11" t="s">
        <v>1945</v>
      </c>
      <c r="C630" s="11" t="s">
        <v>1946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9" t="s">
        <v>26</v>
      </c>
      <c r="AA630" s="12" t="s">
        <v>31</v>
      </c>
    </row>
    <row r="631" spans="1:27" x14ac:dyDescent="0.25">
      <c r="A631" s="10">
        <v>45667</v>
      </c>
      <c r="B631" s="11" t="s">
        <v>1947</v>
      </c>
      <c r="C631" s="11" t="s">
        <v>1948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4440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9" t="s">
        <v>26</v>
      </c>
      <c r="AA631" s="12" t="s">
        <v>31</v>
      </c>
    </row>
    <row r="632" spans="1:27" x14ac:dyDescent="0.25">
      <c r="A632" s="10">
        <v>45667</v>
      </c>
      <c r="B632" s="11" t="s">
        <v>1949</v>
      </c>
      <c r="C632" s="11" t="s">
        <v>1950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9" t="s">
        <v>26</v>
      </c>
      <c r="AA632" s="12" t="s">
        <v>31</v>
      </c>
    </row>
    <row r="633" spans="1:27" x14ac:dyDescent="0.25">
      <c r="A633" s="10">
        <v>45667</v>
      </c>
      <c r="B633" s="11" t="s">
        <v>1951</v>
      </c>
      <c r="C633" s="11" t="s">
        <v>1952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4440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9" t="s">
        <v>26</v>
      </c>
      <c r="AA633" s="12" t="s">
        <v>31</v>
      </c>
    </row>
    <row r="634" spans="1:27" x14ac:dyDescent="0.25">
      <c r="A634" s="10">
        <v>45667</v>
      </c>
      <c r="B634" s="11" t="s">
        <v>1953</v>
      </c>
      <c r="C634" s="11" t="s">
        <v>1954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9" t="s">
        <v>26</v>
      </c>
      <c r="AA634" s="12" t="s">
        <v>31</v>
      </c>
    </row>
    <row r="635" spans="1:27" x14ac:dyDescent="0.25">
      <c r="A635" s="10">
        <v>45667</v>
      </c>
      <c r="B635" s="11" t="s">
        <v>1955</v>
      </c>
      <c r="C635" s="11" t="s">
        <v>1956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6345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9" t="s">
        <v>26</v>
      </c>
      <c r="AA635" s="12" t="s">
        <v>31</v>
      </c>
    </row>
    <row r="636" spans="1:27" x14ac:dyDescent="0.25">
      <c r="A636" s="10">
        <v>45667</v>
      </c>
      <c r="B636" s="11" t="s">
        <v>1957</v>
      </c>
      <c r="C636" s="11" t="s">
        <v>1958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4440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9" t="s">
        <v>26</v>
      </c>
      <c r="AA636" s="12" t="s">
        <v>31</v>
      </c>
    </row>
    <row r="637" spans="1:27" x14ac:dyDescent="0.25">
      <c r="A637" s="10">
        <v>45667</v>
      </c>
      <c r="B637" s="11" t="s">
        <v>1959</v>
      </c>
      <c r="C637" s="11" t="s">
        <v>1960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9" t="s">
        <v>26</v>
      </c>
      <c r="AA637" s="12" t="s">
        <v>31</v>
      </c>
    </row>
    <row r="638" spans="1:27" x14ac:dyDescent="0.25">
      <c r="A638" s="10">
        <v>45667</v>
      </c>
      <c r="B638" s="11" t="s">
        <v>1961</v>
      </c>
      <c r="C638" s="11" t="s">
        <v>1962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9" t="s">
        <v>26</v>
      </c>
      <c r="AA638" s="12" t="s">
        <v>31</v>
      </c>
    </row>
    <row r="639" spans="1:27" x14ac:dyDescent="0.25">
      <c r="A639" s="10">
        <v>45667</v>
      </c>
      <c r="B639" s="11" t="s">
        <v>1963</v>
      </c>
      <c r="C639" s="11" t="s">
        <v>1964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9" t="s">
        <v>26</v>
      </c>
      <c r="AA639" s="12" t="s">
        <v>31</v>
      </c>
    </row>
    <row r="640" spans="1:27" x14ac:dyDescent="0.25">
      <c r="A640" s="10">
        <v>45667</v>
      </c>
      <c r="B640" s="11" t="s">
        <v>1965</v>
      </c>
      <c r="C640" s="11" t="s">
        <v>1966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9" t="s">
        <v>26</v>
      </c>
      <c r="AA640" s="12" t="s">
        <v>31</v>
      </c>
    </row>
    <row r="641" spans="1:27" x14ac:dyDescent="0.25">
      <c r="A641" s="10">
        <v>45667</v>
      </c>
      <c r="B641" s="11" t="s">
        <v>1967</v>
      </c>
      <c r="C641" s="11" t="s">
        <v>1968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9" t="s">
        <v>26</v>
      </c>
      <c r="AA641" s="12" t="s">
        <v>31</v>
      </c>
    </row>
    <row r="642" spans="1:27" x14ac:dyDescent="0.25">
      <c r="A642" s="10">
        <v>45667</v>
      </c>
      <c r="B642" s="11" t="s">
        <v>278</v>
      </c>
      <c r="C642" s="11" t="s">
        <v>1969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9" t="s">
        <v>26</v>
      </c>
      <c r="AA642" s="12" t="s">
        <v>31</v>
      </c>
    </row>
    <row r="643" spans="1:27" x14ac:dyDescent="0.25">
      <c r="A643" s="10">
        <v>45667</v>
      </c>
      <c r="B643" s="11" t="s">
        <v>1970</v>
      </c>
      <c r="C643" s="11" t="s">
        <v>1971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9" t="s">
        <v>26</v>
      </c>
      <c r="AA643" s="12" t="s">
        <v>31</v>
      </c>
    </row>
    <row r="644" spans="1:27" x14ac:dyDescent="0.25">
      <c r="A644" s="10">
        <v>45667</v>
      </c>
      <c r="B644" s="11" t="s">
        <v>257</v>
      </c>
      <c r="C644" s="11" t="s">
        <v>1972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9" t="s">
        <v>26</v>
      </c>
      <c r="AA644" s="12" t="s">
        <v>31</v>
      </c>
    </row>
    <row r="645" spans="1:27" x14ac:dyDescent="0.25">
      <c r="A645" s="10">
        <v>45667</v>
      </c>
      <c r="B645" s="11" t="s">
        <v>1973</v>
      </c>
      <c r="C645" s="11" t="s">
        <v>1974</v>
      </c>
      <c r="D645" s="11" t="s">
        <v>26</v>
      </c>
      <c r="E645" s="11" t="s">
        <v>1217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9" t="s">
        <v>26</v>
      </c>
      <c r="AA645" s="12" t="s">
        <v>31</v>
      </c>
    </row>
    <row r="646" spans="1:27" x14ac:dyDescent="0.25">
      <c r="A646" s="10">
        <v>45668</v>
      </c>
      <c r="B646" s="11" t="s">
        <v>374</v>
      </c>
      <c r="C646" s="11" t="s">
        <v>1975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4465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9" t="s">
        <v>26</v>
      </c>
      <c r="AA646" s="12" t="s">
        <v>31</v>
      </c>
    </row>
    <row r="647" spans="1:27" x14ac:dyDescent="0.25">
      <c r="A647" s="10">
        <v>45668</v>
      </c>
      <c r="B647" s="11" t="s">
        <v>197</v>
      </c>
      <c r="C647" s="11" t="s">
        <v>1976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4440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9" t="s">
        <v>26</v>
      </c>
      <c r="AA647" s="12" t="s">
        <v>31</v>
      </c>
    </row>
    <row r="648" spans="1:27" x14ac:dyDescent="0.25">
      <c r="A648" s="10">
        <v>45668</v>
      </c>
      <c r="B648" s="11" t="s">
        <v>1977</v>
      </c>
      <c r="C648" s="11" t="s">
        <v>1978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4440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9" t="s">
        <v>26</v>
      </c>
      <c r="AA648" s="12" t="s">
        <v>31</v>
      </c>
    </row>
    <row r="649" spans="1:27" x14ac:dyDescent="0.25">
      <c r="A649" s="10">
        <v>45668</v>
      </c>
      <c r="B649" s="11" t="s">
        <v>678</v>
      </c>
      <c r="C649" s="11" t="s">
        <v>1979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4440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9" t="s">
        <v>26</v>
      </c>
      <c r="AA649" s="12" t="s">
        <v>31</v>
      </c>
    </row>
    <row r="650" spans="1:27" x14ac:dyDescent="0.25">
      <c r="A650" s="10">
        <v>45668</v>
      </c>
      <c r="B650" s="11" t="s">
        <v>369</v>
      </c>
      <c r="C650" s="11" t="s">
        <v>1980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4439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9" t="s">
        <v>141</v>
      </c>
      <c r="AA650" s="12" t="s">
        <v>78</v>
      </c>
    </row>
    <row r="651" spans="1:27" x14ac:dyDescent="0.25">
      <c r="A651" s="10">
        <v>45668</v>
      </c>
      <c r="B651" s="11" t="s">
        <v>1981</v>
      </c>
      <c r="C651" s="11" t="s">
        <v>1982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4439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9" t="s">
        <v>141</v>
      </c>
      <c r="AA651" s="12" t="s">
        <v>78</v>
      </c>
    </row>
    <row r="652" spans="1:27" x14ac:dyDescent="0.25">
      <c r="A652" s="10">
        <v>45668</v>
      </c>
      <c r="B652" s="11" t="s">
        <v>1983</v>
      </c>
      <c r="C652" s="11" t="s">
        <v>1984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4439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9" t="s">
        <v>41</v>
      </c>
      <c r="AA652" s="12" t="s">
        <v>78</v>
      </c>
    </row>
    <row r="653" spans="1:27" x14ac:dyDescent="0.25">
      <c r="A653" s="10">
        <v>45668</v>
      </c>
      <c r="B653" s="11" t="s">
        <v>1985</v>
      </c>
      <c r="C653" s="11" t="s">
        <v>1986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4439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9" t="s">
        <v>141</v>
      </c>
      <c r="AA653" s="12" t="s">
        <v>78</v>
      </c>
    </row>
    <row r="654" spans="1:27" x14ac:dyDescent="0.25">
      <c r="A654" s="10">
        <v>45668</v>
      </c>
      <c r="B654" s="11" t="s">
        <v>1987</v>
      </c>
      <c r="C654" s="11" t="s">
        <v>1988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9" t="s">
        <v>26</v>
      </c>
      <c r="AA654" s="12" t="s">
        <v>31</v>
      </c>
    </row>
    <row r="655" spans="1:27" x14ac:dyDescent="0.25">
      <c r="A655" s="10">
        <v>45668</v>
      </c>
      <c r="B655" s="11" t="s">
        <v>1989</v>
      </c>
      <c r="C655" s="11" t="s">
        <v>1990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9" t="s">
        <v>26</v>
      </c>
      <c r="AA655" s="12" t="s">
        <v>31</v>
      </c>
    </row>
    <row r="656" spans="1:27" x14ac:dyDescent="0.25">
      <c r="A656" s="10">
        <v>45668</v>
      </c>
      <c r="B656" s="11" t="s">
        <v>1991</v>
      </c>
      <c r="C656" s="11" t="s">
        <v>1992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4439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9" t="s">
        <v>141</v>
      </c>
      <c r="AA656" s="12" t="s">
        <v>78</v>
      </c>
    </row>
    <row r="657" spans="1:27" x14ac:dyDescent="0.25">
      <c r="A657" s="10">
        <v>45668</v>
      </c>
      <c r="B657" s="11" t="s">
        <v>1993</v>
      </c>
      <c r="C657" s="11" t="s">
        <v>1994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4439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9" t="s">
        <v>140</v>
      </c>
      <c r="AA657" s="12" t="s">
        <v>78</v>
      </c>
    </row>
    <row r="658" spans="1:27" x14ac:dyDescent="0.25">
      <c r="A658" s="10">
        <v>45668</v>
      </c>
      <c r="B658" s="11" t="s">
        <v>1164</v>
      </c>
      <c r="C658" s="11" t="s">
        <v>1995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9" t="s">
        <v>26</v>
      </c>
      <c r="AA658" s="12" t="s">
        <v>31</v>
      </c>
    </row>
    <row r="659" spans="1:27" x14ac:dyDescent="0.25">
      <c r="A659" s="10">
        <v>45668</v>
      </c>
      <c r="B659" s="11" t="s">
        <v>1996</v>
      </c>
      <c r="C659" s="11" t="s">
        <v>1997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4439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9" t="s">
        <v>41</v>
      </c>
      <c r="AA659" s="12" t="s">
        <v>78</v>
      </c>
    </row>
    <row r="660" spans="1:27" x14ac:dyDescent="0.25">
      <c r="A660" s="10">
        <v>45668</v>
      </c>
      <c r="B660" s="11" t="s">
        <v>1998</v>
      </c>
      <c r="C660" s="11" t="s">
        <v>1999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9" t="s">
        <v>26</v>
      </c>
      <c r="AA660" s="12" t="s">
        <v>31</v>
      </c>
    </row>
    <row r="661" spans="1:27" x14ac:dyDescent="0.25">
      <c r="A661" s="10">
        <v>45668</v>
      </c>
      <c r="B661" s="11" t="s">
        <v>2000</v>
      </c>
      <c r="C661" s="11" t="s">
        <v>2001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9" t="s">
        <v>26</v>
      </c>
      <c r="AA661" s="12" t="s">
        <v>31</v>
      </c>
    </row>
    <row r="662" spans="1:27" x14ac:dyDescent="0.25">
      <c r="A662" s="10">
        <v>45668</v>
      </c>
      <c r="B662" s="11" t="s">
        <v>2002</v>
      </c>
      <c r="C662" s="11" t="s">
        <v>2003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9" t="s">
        <v>26</v>
      </c>
      <c r="AA662" s="12" t="s">
        <v>31</v>
      </c>
    </row>
    <row r="663" spans="1:27" x14ac:dyDescent="0.25">
      <c r="A663" s="10">
        <v>45668</v>
      </c>
      <c r="B663" s="11" t="s">
        <v>2004</v>
      </c>
      <c r="C663" s="11" t="s">
        <v>2005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9" t="s">
        <v>26</v>
      </c>
      <c r="AA663" s="12" t="s">
        <v>31</v>
      </c>
    </row>
    <row r="664" spans="1:27" x14ac:dyDescent="0.25">
      <c r="A664" s="10">
        <v>45668</v>
      </c>
      <c r="B664" s="11" t="s">
        <v>2006</v>
      </c>
      <c r="C664" s="11" t="s">
        <v>2007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9" t="s">
        <v>26</v>
      </c>
      <c r="AA664" s="12" t="s">
        <v>31</v>
      </c>
    </row>
    <row r="665" spans="1:27" x14ac:dyDescent="0.25">
      <c r="A665" s="10">
        <v>45668</v>
      </c>
      <c r="B665" s="11" t="s">
        <v>2008</v>
      </c>
      <c r="C665" s="11" t="s">
        <v>2009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4439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9" t="s">
        <v>41</v>
      </c>
      <c r="AA665" s="12" t="s">
        <v>78</v>
      </c>
    </row>
    <row r="666" spans="1:27" x14ac:dyDescent="0.25">
      <c r="A666" s="10">
        <v>45668</v>
      </c>
      <c r="B666" s="11" t="s">
        <v>2010</v>
      </c>
      <c r="C666" s="11" t="s">
        <v>2011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4439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9" t="s">
        <v>140</v>
      </c>
      <c r="AA666" s="12" t="s">
        <v>78</v>
      </c>
    </row>
    <row r="667" spans="1:27" x14ac:dyDescent="0.25">
      <c r="A667" s="10">
        <v>45668</v>
      </c>
      <c r="B667" s="11" t="s">
        <v>2012</v>
      </c>
      <c r="C667" s="11" t="s">
        <v>2013</v>
      </c>
      <c r="D667" s="11" t="s">
        <v>26</v>
      </c>
      <c r="E667" s="11" t="s">
        <v>1217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9" t="s">
        <v>26</v>
      </c>
      <c r="AA667" s="12" t="s">
        <v>31</v>
      </c>
    </row>
    <row r="668" spans="1:27" x14ac:dyDescent="0.25">
      <c r="A668" s="10">
        <v>45668</v>
      </c>
      <c r="B668" s="11" t="s">
        <v>2014</v>
      </c>
      <c r="C668" s="11" t="s">
        <v>2015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4439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9" t="s">
        <v>140</v>
      </c>
      <c r="AA668" s="12" t="s">
        <v>78</v>
      </c>
    </row>
    <row r="669" spans="1:27" x14ac:dyDescent="0.25">
      <c r="A669" s="10">
        <v>45668</v>
      </c>
      <c r="B669" s="11" t="s">
        <v>2016</v>
      </c>
      <c r="C669" s="11" t="s">
        <v>2017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9" t="s">
        <v>26</v>
      </c>
      <c r="AA669" s="12" t="s">
        <v>31</v>
      </c>
    </row>
    <row r="670" spans="1:27" x14ac:dyDescent="0.25">
      <c r="A670" s="10">
        <v>45668</v>
      </c>
      <c r="B670" s="11" t="s">
        <v>2018</v>
      </c>
      <c r="C670" s="11" t="s">
        <v>2019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4440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9" t="s">
        <v>26</v>
      </c>
      <c r="AA670" s="12" t="s">
        <v>31</v>
      </c>
    </row>
    <row r="671" spans="1:27" x14ac:dyDescent="0.25">
      <c r="A671" s="10">
        <v>45668</v>
      </c>
      <c r="B671" s="11" t="s">
        <v>2020</v>
      </c>
      <c r="C671" s="11" t="s">
        <v>2021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9" t="s">
        <v>26</v>
      </c>
      <c r="AA671" s="12" t="s">
        <v>31</v>
      </c>
    </row>
    <row r="672" spans="1:27" x14ac:dyDescent="0.25">
      <c r="A672" s="10">
        <v>45668</v>
      </c>
      <c r="B672" s="11" t="s">
        <v>2022</v>
      </c>
      <c r="C672" s="11" t="s">
        <v>2023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9" t="s">
        <v>26</v>
      </c>
      <c r="AA672" s="12" t="s">
        <v>31</v>
      </c>
    </row>
    <row r="673" spans="1:27" x14ac:dyDescent="0.25">
      <c r="A673" s="10">
        <v>45668</v>
      </c>
      <c r="B673" s="11" t="s">
        <v>476</v>
      </c>
      <c r="C673" s="11" t="s">
        <v>2024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4465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9" t="s">
        <v>26</v>
      </c>
      <c r="AA673" s="12" t="s">
        <v>31</v>
      </c>
    </row>
    <row r="674" spans="1:27" x14ac:dyDescent="0.25">
      <c r="A674" s="10">
        <v>45668</v>
      </c>
      <c r="B674" s="11" t="s">
        <v>2025</v>
      </c>
      <c r="C674" s="11" t="s">
        <v>2026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4440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9" t="s">
        <v>26</v>
      </c>
      <c r="AA674" s="12" t="s">
        <v>31</v>
      </c>
    </row>
    <row r="675" spans="1:27" x14ac:dyDescent="0.25">
      <c r="A675" s="10">
        <v>45668</v>
      </c>
      <c r="B675" s="11" t="s">
        <v>2027</v>
      </c>
      <c r="C675" s="11" t="s">
        <v>2028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9" t="s">
        <v>26</v>
      </c>
      <c r="AA675" s="12" t="s">
        <v>31</v>
      </c>
    </row>
    <row r="676" spans="1:27" x14ac:dyDescent="0.25">
      <c r="A676" s="10">
        <v>45668</v>
      </c>
      <c r="B676" s="11" t="s">
        <v>2029</v>
      </c>
      <c r="C676" s="11" t="s">
        <v>2030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9" t="s">
        <v>26</v>
      </c>
      <c r="AA676" s="12" t="s">
        <v>31</v>
      </c>
    </row>
    <row r="677" spans="1:27" x14ac:dyDescent="0.25">
      <c r="A677" s="10">
        <v>45668</v>
      </c>
      <c r="B677" s="11" t="s">
        <v>724</v>
      </c>
      <c r="C677" s="11" t="s">
        <v>2031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9" t="s">
        <v>26</v>
      </c>
      <c r="AA677" s="12" t="s">
        <v>31</v>
      </c>
    </row>
    <row r="678" spans="1:27" x14ac:dyDescent="0.25">
      <c r="A678" s="10">
        <v>45668</v>
      </c>
      <c r="B678" s="11" t="s">
        <v>2032</v>
      </c>
      <c r="C678" s="11" t="s">
        <v>2033</v>
      </c>
      <c r="D678" s="11" t="s">
        <v>26</v>
      </c>
      <c r="E678" s="11" t="s">
        <v>659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9" t="s">
        <v>26</v>
      </c>
      <c r="AA678" s="12" t="s">
        <v>31</v>
      </c>
    </row>
    <row r="679" spans="1:27" x14ac:dyDescent="0.25">
      <c r="A679" s="10">
        <v>45668</v>
      </c>
      <c r="B679" s="11" t="s">
        <v>398</v>
      </c>
      <c r="C679" s="11" t="s">
        <v>2034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9" t="s">
        <v>26</v>
      </c>
      <c r="AA679" s="12" t="s">
        <v>31</v>
      </c>
    </row>
    <row r="680" spans="1:27" x14ac:dyDescent="0.25">
      <c r="A680" s="10">
        <v>45668</v>
      </c>
      <c r="B680" s="11" t="s">
        <v>194</v>
      </c>
      <c r="C680" s="11" t="s">
        <v>2035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9" t="s">
        <v>26</v>
      </c>
      <c r="AA680" s="12" t="s">
        <v>31</v>
      </c>
    </row>
    <row r="681" spans="1:27" x14ac:dyDescent="0.25">
      <c r="A681" s="10">
        <v>45668</v>
      </c>
      <c r="B681" s="11" t="s">
        <v>2036</v>
      </c>
      <c r="C681" s="11" t="s">
        <v>2037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9" t="s">
        <v>26</v>
      </c>
      <c r="AA681" s="12" t="s">
        <v>31</v>
      </c>
    </row>
    <row r="682" spans="1:27" x14ac:dyDescent="0.25">
      <c r="A682" s="10">
        <v>45668</v>
      </c>
      <c r="B682" s="11" t="s">
        <v>2038</v>
      </c>
      <c r="C682" s="11" t="s">
        <v>2039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9" t="s">
        <v>26</v>
      </c>
      <c r="AA682" s="12" t="s">
        <v>31</v>
      </c>
    </row>
    <row r="683" spans="1:27" x14ac:dyDescent="0.25">
      <c r="A683" s="10">
        <v>45668</v>
      </c>
      <c r="B683" s="11" t="s">
        <v>2040</v>
      </c>
      <c r="C683" s="11" t="s">
        <v>2041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4440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9" t="s">
        <v>26</v>
      </c>
      <c r="AA683" s="12" t="s">
        <v>31</v>
      </c>
    </row>
    <row r="684" spans="1:27" x14ac:dyDescent="0.25">
      <c r="A684" s="10">
        <v>45668</v>
      </c>
      <c r="B684" s="11" t="s">
        <v>251</v>
      </c>
      <c r="C684" s="11" t="s">
        <v>2042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4465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9" t="s">
        <v>26</v>
      </c>
      <c r="AA684" s="12" t="s">
        <v>31</v>
      </c>
    </row>
    <row r="685" spans="1:27" x14ac:dyDescent="0.25">
      <c r="A685" s="10">
        <v>45668</v>
      </c>
      <c r="B685" s="11" t="s">
        <v>2043</v>
      </c>
      <c r="C685" s="11" t="s">
        <v>2044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4440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9" t="s">
        <v>26</v>
      </c>
      <c r="AA685" s="12" t="s">
        <v>31</v>
      </c>
    </row>
    <row r="686" spans="1:27" x14ac:dyDescent="0.25">
      <c r="A686" s="10">
        <v>45668</v>
      </c>
      <c r="B686" s="11" t="s">
        <v>739</v>
      </c>
      <c r="C686" s="11" t="s">
        <v>2045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4465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9" t="s">
        <v>26</v>
      </c>
      <c r="AA686" s="12" t="s">
        <v>31</v>
      </c>
    </row>
    <row r="687" spans="1:27" x14ac:dyDescent="0.25">
      <c r="A687" s="10">
        <v>45668</v>
      </c>
      <c r="B687" s="11" t="s">
        <v>2046</v>
      </c>
      <c r="C687" s="11" t="s">
        <v>2047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4440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9" t="s">
        <v>26</v>
      </c>
      <c r="AA687" s="12" t="s">
        <v>31</v>
      </c>
    </row>
    <row r="688" spans="1:27" x14ac:dyDescent="0.25">
      <c r="A688" s="10">
        <v>45668</v>
      </c>
      <c r="B688" s="11" t="s">
        <v>2048</v>
      </c>
      <c r="C688" s="11" t="s">
        <v>2049</v>
      </c>
      <c r="D688" s="11" t="s">
        <v>26</v>
      </c>
      <c r="E688" s="11" t="s">
        <v>2050</v>
      </c>
      <c r="F688" s="11" t="s">
        <v>26</v>
      </c>
      <c r="G688" s="11">
        <v>137</v>
      </c>
      <c r="H688" s="12" t="s">
        <v>6345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9" t="s">
        <v>26</v>
      </c>
      <c r="AA688" s="12" t="s">
        <v>31</v>
      </c>
    </row>
    <row r="689" spans="1:27" x14ac:dyDescent="0.25">
      <c r="A689" s="10">
        <v>45668</v>
      </c>
      <c r="B689" s="11" t="s">
        <v>2051</v>
      </c>
      <c r="C689" s="11" t="s">
        <v>2052</v>
      </c>
      <c r="D689" s="11" t="s">
        <v>26</v>
      </c>
      <c r="E689" s="11" t="s">
        <v>2053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9" t="s">
        <v>26</v>
      </c>
      <c r="AA689" s="12" t="s">
        <v>31</v>
      </c>
    </row>
    <row r="690" spans="1:27" x14ac:dyDescent="0.25">
      <c r="A690" s="10">
        <v>45668</v>
      </c>
      <c r="B690" s="11" t="s">
        <v>2054</v>
      </c>
      <c r="C690" s="11" t="s">
        <v>2055</v>
      </c>
      <c r="D690" s="11" t="s">
        <v>26</v>
      </c>
      <c r="E690" s="11" t="s">
        <v>2056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9" t="s">
        <v>26</v>
      </c>
      <c r="AA690" s="12" t="s">
        <v>31</v>
      </c>
    </row>
    <row r="691" spans="1:27" x14ac:dyDescent="0.25">
      <c r="A691" s="10">
        <v>45668</v>
      </c>
      <c r="B691" s="11" t="s">
        <v>2057</v>
      </c>
      <c r="C691" s="11" t="s">
        <v>2058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9" t="s">
        <v>26</v>
      </c>
      <c r="AA691" s="12" t="s">
        <v>31</v>
      </c>
    </row>
    <row r="692" spans="1:27" x14ac:dyDescent="0.25">
      <c r="A692" s="10">
        <v>45668</v>
      </c>
      <c r="B692" s="11" t="s">
        <v>2059</v>
      </c>
      <c r="C692" s="11" t="s">
        <v>2060</v>
      </c>
      <c r="D692" s="11" t="s">
        <v>26</v>
      </c>
      <c r="E692" s="11" t="s">
        <v>2061</v>
      </c>
      <c r="F692" s="11" t="s">
        <v>26</v>
      </c>
      <c r="G692" s="11">
        <v>73970</v>
      </c>
      <c r="H692" s="12" t="s">
        <v>4465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9" t="s">
        <v>26</v>
      </c>
      <c r="AA692" s="12" t="s">
        <v>31</v>
      </c>
    </row>
    <row r="693" spans="1:27" x14ac:dyDescent="0.25">
      <c r="A693" s="10">
        <v>45668</v>
      </c>
      <c r="B693" s="11" t="s">
        <v>2062</v>
      </c>
      <c r="C693" s="11" t="s">
        <v>2063</v>
      </c>
      <c r="D693" s="11" t="s">
        <v>26</v>
      </c>
      <c r="E693" s="11" t="s">
        <v>2064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9" t="s">
        <v>26</v>
      </c>
      <c r="AA693" s="12" t="s">
        <v>31</v>
      </c>
    </row>
    <row r="694" spans="1:27" x14ac:dyDescent="0.25">
      <c r="A694" s="10">
        <v>45668</v>
      </c>
      <c r="B694" s="11" t="s">
        <v>2065</v>
      </c>
      <c r="C694" s="11" t="s">
        <v>2066</v>
      </c>
      <c r="D694" s="11" t="s">
        <v>26</v>
      </c>
      <c r="E694" s="11" t="s">
        <v>2067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9" t="s">
        <v>26</v>
      </c>
      <c r="AA694" s="12" t="s">
        <v>31</v>
      </c>
    </row>
    <row r="695" spans="1:27" x14ac:dyDescent="0.25">
      <c r="A695" s="10">
        <v>45668</v>
      </c>
      <c r="B695" s="11" t="s">
        <v>2068</v>
      </c>
      <c r="C695" s="11" t="s">
        <v>2069</v>
      </c>
      <c r="D695" s="11" t="s">
        <v>26</v>
      </c>
      <c r="E695" s="11" t="s">
        <v>2070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9" t="s">
        <v>26</v>
      </c>
      <c r="AA695" s="12" t="s">
        <v>31</v>
      </c>
    </row>
    <row r="696" spans="1:27" x14ac:dyDescent="0.25">
      <c r="A696" s="10">
        <v>45668</v>
      </c>
      <c r="B696" s="11" t="s">
        <v>2071</v>
      </c>
      <c r="C696" s="11" t="s">
        <v>2072</v>
      </c>
      <c r="D696" s="11" t="s">
        <v>26</v>
      </c>
      <c r="E696" s="11" t="s">
        <v>2073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9" t="s">
        <v>26</v>
      </c>
      <c r="AA696" s="12" t="s">
        <v>31</v>
      </c>
    </row>
    <row r="697" spans="1:27" x14ac:dyDescent="0.25">
      <c r="A697" s="10">
        <v>45668</v>
      </c>
      <c r="B697" s="11" t="s">
        <v>2074</v>
      </c>
      <c r="C697" s="11" t="s">
        <v>2075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9" t="s">
        <v>26</v>
      </c>
      <c r="AA697" s="12" t="s">
        <v>31</v>
      </c>
    </row>
    <row r="698" spans="1:27" x14ac:dyDescent="0.25">
      <c r="A698" s="10">
        <v>45668</v>
      </c>
      <c r="B698" s="11" t="s">
        <v>353</v>
      </c>
      <c r="C698" s="11" t="s">
        <v>2076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9" t="s">
        <v>26</v>
      </c>
      <c r="AA698" s="12" t="s">
        <v>31</v>
      </c>
    </row>
    <row r="699" spans="1:27" x14ac:dyDescent="0.25">
      <c r="A699" s="10">
        <v>45668</v>
      </c>
      <c r="B699" s="11" t="s">
        <v>2077</v>
      </c>
      <c r="C699" s="11" t="s">
        <v>2078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9" t="s">
        <v>26</v>
      </c>
      <c r="AA699" s="12" t="s">
        <v>31</v>
      </c>
    </row>
    <row r="700" spans="1:27" x14ac:dyDescent="0.25">
      <c r="A700" s="10">
        <v>45668</v>
      </c>
      <c r="B700" s="11" t="s">
        <v>2079</v>
      </c>
      <c r="C700" s="11" t="s">
        <v>2080</v>
      </c>
      <c r="D700" s="11" t="s">
        <v>26</v>
      </c>
      <c r="E700" s="11" t="s">
        <v>2081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9" t="s">
        <v>26</v>
      </c>
      <c r="AA700" s="12" t="s">
        <v>31</v>
      </c>
    </row>
    <row r="701" spans="1:27" x14ac:dyDescent="0.25">
      <c r="A701" s="10">
        <v>45668</v>
      </c>
      <c r="B701" s="11" t="s">
        <v>1365</v>
      </c>
      <c r="C701" s="11" t="s">
        <v>2082</v>
      </c>
      <c r="D701" s="11" t="s">
        <v>26</v>
      </c>
      <c r="E701" s="11" t="s">
        <v>2083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9" t="s">
        <v>26</v>
      </c>
      <c r="AA701" s="12" t="s">
        <v>31</v>
      </c>
    </row>
    <row r="702" spans="1:27" x14ac:dyDescent="0.25">
      <c r="A702" s="10">
        <v>45668</v>
      </c>
      <c r="B702" s="11" t="s">
        <v>2084</v>
      </c>
      <c r="C702" s="11" t="s">
        <v>2085</v>
      </c>
      <c r="D702" s="11" t="s">
        <v>26</v>
      </c>
      <c r="E702" s="11" t="s">
        <v>2086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9" t="s">
        <v>26</v>
      </c>
      <c r="AA702" s="12" t="s">
        <v>31</v>
      </c>
    </row>
    <row r="703" spans="1:27" x14ac:dyDescent="0.25">
      <c r="A703" s="10">
        <v>45670</v>
      </c>
      <c r="B703" s="11" t="s">
        <v>436</v>
      </c>
      <c r="C703" s="11" t="s">
        <v>2087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4440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9" t="s">
        <v>26</v>
      </c>
      <c r="AA703" s="12" t="s">
        <v>31</v>
      </c>
    </row>
    <row r="704" spans="1:27" x14ac:dyDescent="0.25">
      <c r="A704" s="10">
        <v>45670</v>
      </c>
      <c r="B704" s="11" t="s">
        <v>2088</v>
      </c>
      <c r="C704" s="11" t="s">
        <v>2089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4465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9" t="s">
        <v>26</v>
      </c>
      <c r="AA704" s="12" t="s">
        <v>31</v>
      </c>
    </row>
    <row r="705" spans="1:27" x14ac:dyDescent="0.25">
      <c r="A705" s="10">
        <v>45670</v>
      </c>
      <c r="B705" s="11" t="s">
        <v>2090</v>
      </c>
      <c r="C705" s="11" t="s">
        <v>2091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4439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9" t="s">
        <v>6345</v>
      </c>
      <c r="AA705" s="12" t="s">
        <v>78</v>
      </c>
    </row>
    <row r="706" spans="1:27" x14ac:dyDescent="0.25">
      <c r="A706" s="10">
        <v>45670</v>
      </c>
      <c r="B706" s="11" t="s">
        <v>2092</v>
      </c>
      <c r="C706" s="11" t="s">
        <v>2093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4440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9" t="s">
        <v>26</v>
      </c>
      <c r="AA706" s="12" t="s">
        <v>31</v>
      </c>
    </row>
    <row r="707" spans="1:27" x14ac:dyDescent="0.25">
      <c r="A707" s="10">
        <v>45670</v>
      </c>
      <c r="B707" s="11" t="s">
        <v>2094</v>
      </c>
      <c r="C707" s="11" t="s">
        <v>2095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4465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9" t="s">
        <v>26</v>
      </c>
      <c r="AA707" s="12" t="s">
        <v>31</v>
      </c>
    </row>
    <row r="708" spans="1:27" x14ac:dyDescent="0.25">
      <c r="A708" s="10">
        <v>45670</v>
      </c>
      <c r="B708" s="11" t="s">
        <v>2096</v>
      </c>
      <c r="C708" s="11" t="s">
        <v>2097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9" t="s">
        <v>26</v>
      </c>
      <c r="AA708" s="12" t="s">
        <v>31</v>
      </c>
    </row>
    <row r="709" spans="1:27" x14ac:dyDescent="0.25">
      <c r="A709" s="10">
        <v>45670</v>
      </c>
      <c r="B709" s="11" t="s">
        <v>2098</v>
      </c>
      <c r="C709" s="11" t="s">
        <v>2099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9" t="s">
        <v>26</v>
      </c>
      <c r="AA709" s="12" t="s">
        <v>31</v>
      </c>
    </row>
    <row r="710" spans="1:27" x14ac:dyDescent="0.25">
      <c r="A710" s="10">
        <v>45670</v>
      </c>
      <c r="B710" s="11" t="s">
        <v>2100</v>
      </c>
      <c r="C710" s="11" t="s">
        <v>2101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4439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9" t="s">
        <v>41</v>
      </c>
      <c r="AA710" s="12" t="s">
        <v>78</v>
      </c>
    </row>
    <row r="711" spans="1:27" x14ac:dyDescent="0.25">
      <c r="A711" s="10">
        <v>45670</v>
      </c>
      <c r="B711" s="11" t="s">
        <v>2102</v>
      </c>
      <c r="C711" s="11" t="s">
        <v>2103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4439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9" t="s">
        <v>141</v>
      </c>
      <c r="AA711" s="12" t="s">
        <v>78</v>
      </c>
    </row>
    <row r="712" spans="1:27" x14ac:dyDescent="0.25">
      <c r="A712" s="10">
        <v>45670</v>
      </c>
      <c r="B712" s="11" t="s">
        <v>2104</v>
      </c>
      <c r="C712" s="11" t="s">
        <v>2105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9" t="s">
        <v>26</v>
      </c>
      <c r="AA712" s="12" t="s">
        <v>31</v>
      </c>
    </row>
    <row r="713" spans="1:27" x14ac:dyDescent="0.25">
      <c r="A713" s="10">
        <v>45670</v>
      </c>
      <c r="B713" s="11" t="s">
        <v>2106</v>
      </c>
      <c r="C713" s="11" t="s">
        <v>2107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4439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9" t="s">
        <v>141</v>
      </c>
      <c r="AA713" s="12" t="s">
        <v>78</v>
      </c>
    </row>
    <row r="714" spans="1:27" x14ac:dyDescent="0.25">
      <c r="A714" s="10">
        <v>45670</v>
      </c>
      <c r="B714" s="11" t="s">
        <v>497</v>
      </c>
      <c r="C714" s="11" t="s">
        <v>2108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9" t="s">
        <v>26</v>
      </c>
      <c r="AA714" s="12" t="s">
        <v>31</v>
      </c>
    </row>
    <row r="715" spans="1:27" x14ac:dyDescent="0.25">
      <c r="A715" s="10">
        <v>45670</v>
      </c>
      <c r="B715" s="11" t="s">
        <v>518</v>
      </c>
      <c r="C715" s="11" t="s">
        <v>2109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4439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9" t="s">
        <v>141</v>
      </c>
      <c r="AA715" s="12" t="s">
        <v>78</v>
      </c>
    </row>
    <row r="716" spans="1:27" x14ac:dyDescent="0.25">
      <c r="A716" s="10">
        <v>45670</v>
      </c>
      <c r="B716" s="11" t="s">
        <v>512</v>
      </c>
      <c r="C716" s="11" t="s">
        <v>2110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9" t="s">
        <v>26</v>
      </c>
      <c r="AA716" s="12" t="s">
        <v>31</v>
      </c>
    </row>
    <row r="717" spans="1:27" x14ac:dyDescent="0.25">
      <c r="A717" s="10">
        <v>45670</v>
      </c>
      <c r="B717" s="11" t="s">
        <v>2111</v>
      </c>
      <c r="C717" s="11" t="s">
        <v>2112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9" t="s">
        <v>26</v>
      </c>
      <c r="AA717" s="12" t="s">
        <v>31</v>
      </c>
    </row>
    <row r="718" spans="1:27" x14ac:dyDescent="0.25">
      <c r="A718" s="10">
        <v>45670</v>
      </c>
      <c r="B718" s="11" t="s">
        <v>652</v>
      </c>
      <c r="C718" s="11" t="s">
        <v>2113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9" t="s">
        <v>26</v>
      </c>
      <c r="AA718" s="12" t="s">
        <v>31</v>
      </c>
    </row>
    <row r="719" spans="1:27" x14ac:dyDescent="0.25">
      <c r="A719" s="10">
        <v>45670</v>
      </c>
      <c r="B719" s="11" t="s">
        <v>2114</v>
      </c>
      <c r="C719" s="11" t="s">
        <v>2115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4439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9" t="s">
        <v>140</v>
      </c>
      <c r="AA719" s="12" t="s">
        <v>78</v>
      </c>
    </row>
    <row r="720" spans="1:27" x14ac:dyDescent="0.25">
      <c r="A720" s="10">
        <v>45670</v>
      </c>
      <c r="B720" s="11" t="s">
        <v>503</v>
      </c>
      <c r="C720" s="11" t="s">
        <v>2116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4440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9" t="s">
        <v>26</v>
      </c>
      <c r="AA720" s="12" t="s">
        <v>31</v>
      </c>
    </row>
    <row r="721" spans="1:27" x14ac:dyDescent="0.25">
      <c r="A721" s="10">
        <v>45670</v>
      </c>
      <c r="B721" s="11" t="s">
        <v>608</v>
      </c>
      <c r="C721" s="11" t="s">
        <v>2117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4439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9" t="s">
        <v>140</v>
      </c>
      <c r="AA721" s="12" t="s">
        <v>78</v>
      </c>
    </row>
    <row r="722" spans="1:27" x14ac:dyDescent="0.25">
      <c r="A722" s="10">
        <v>45670</v>
      </c>
      <c r="B722" s="11" t="s">
        <v>2118</v>
      </c>
      <c r="C722" s="11" t="s">
        <v>2119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4440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9" t="s">
        <v>26</v>
      </c>
      <c r="AA722" s="12" t="s">
        <v>31</v>
      </c>
    </row>
    <row r="723" spans="1:27" x14ac:dyDescent="0.25">
      <c r="A723" s="10">
        <v>45670</v>
      </c>
      <c r="B723" s="11" t="s">
        <v>2120</v>
      </c>
      <c r="C723" s="11" t="s">
        <v>2121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4439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9" t="s">
        <v>41</v>
      </c>
      <c r="AA723" s="12" t="s">
        <v>78</v>
      </c>
    </row>
    <row r="724" spans="1:27" x14ac:dyDescent="0.25">
      <c r="A724" s="10">
        <v>45670</v>
      </c>
      <c r="B724" s="11" t="s">
        <v>504</v>
      </c>
      <c r="C724" s="11" t="s">
        <v>2122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9" t="s">
        <v>26</v>
      </c>
      <c r="AA724" s="12" t="s">
        <v>31</v>
      </c>
    </row>
    <row r="725" spans="1:27" x14ac:dyDescent="0.25">
      <c r="A725" s="10">
        <v>45670</v>
      </c>
      <c r="B725" s="11" t="s">
        <v>2123</v>
      </c>
      <c r="C725" s="11" t="s">
        <v>2124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9" t="s">
        <v>26</v>
      </c>
      <c r="AA725" s="12" t="s">
        <v>31</v>
      </c>
    </row>
    <row r="726" spans="1:27" x14ac:dyDescent="0.25">
      <c r="A726" s="10">
        <v>45670</v>
      </c>
      <c r="B726" s="11" t="s">
        <v>653</v>
      </c>
      <c r="C726" s="11" t="s">
        <v>2125</v>
      </c>
      <c r="D726" s="11" t="s">
        <v>26</v>
      </c>
      <c r="E726" s="11" t="s">
        <v>2126</v>
      </c>
      <c r="F726" s="11" t="s">
        <v>26</v>
      </c>
      <c r="G726" s="11" t="s">
        <v>26</v>
      </c>
      <c r="H726" s="12" t="s">
        <v>4439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9" t="s">
        <v>140</v>
      </c>
      <c r="AA726" s="12" t="s">
        <v>78</v>
      </c>
    </row>
    <row r="727" spans="1:27" x14ac:dyDescent="0.25">
      <c r="A727" s="10">
        <v>45670</v>
      </c>
      <c r="B727" s="11" t="s">
        <v>600</v>
      </c>
      <c r="C727" s="11" t="s">
        <v>2127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1926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9" t="s">
        <v>26</v>
      </c>
      <c r="AA727" s="12" t="s">
        <v>31</v>
      </c>
    </row>
    <row r="728" spans="1:27" x14ac:dyDescent="0.25">
      <c r="A728" s="10">
        <v>45670</v>
      </c>
      <c r="B728" s="11" t="s">
        <v>2128</v>
      </c>
      <c r="C728" s="11" t="s">
        <v>2129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9" t="s">
        <v>26</v>
      </c>
      <c r="AA728" s="12" t="s">
        <v>31</v>
      </c>
    </row>
    <row r="729" spans="1:27" x14ac:dyDescent="0.25">
      <c r="A729" s="10">
        <v>45670</v>
      </c>
      <c r="B729" s="11" t="s">
        <v>2130</v>
      </c>
      <c r="C729" s="11" t="s">
        <v>2131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9" t="s">
        <v>26</v>
      </c>
      <c r="AA729" s="12" t="s">
        <v>31</v>
      </c>
    </row>
    <row r="730" spans="1:27" x14ac:dyDescent="0.25">
      <c r="A730" s="10">
        <v>45670</v>
      </c>
      <c r="B730" s="11" t="s">
        <v>2132</v>
      </c>
      <c r="C730" s="11" t="s">
        <v>2133</v>
      </c>
      <c r="D730" s="11" t="s">
        <v>26</v>
      </c>
      <c r="E730" s="11" t="s">
        <v>1217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9" t="s">
        <v>26</v>
      </c>
      <c r="AA730" s="12" t="s">
        <v>31</v>
      </c>
    </row>
    <row r="731" spans="1:27" x14ac:dyDescent="0.25">
      <c r="A731" s="10">
        <v>45670</v>
      </c>
      <c r="B731" s="11" t="s">
        <v>580</v>
      </c>
      <c r="C731" s="11" t="s">
        <v>2134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9" t="s">
        <v>26</v>
      </c>
      <c r="AA731" s="12" t="s">
        <v>31</v>
      </c>
    </row>
    <row r="732" spans="1:27" x14ac:dyDescent="0.25">
      <c r="A732" s="10">
        <v>45670</v>
      </c>
      <c r="B732" s="11" t="s">
        <v>2135</v>
      </c>
      <c r="C732" s="11" t="s">
        <v>2136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9" t="s">
        <v>26</v>
      </c>
      <c r="AA732" s="12" t="s">
        <v>31</v>
      </c>
    </row>
    <row r="733" spans="1:27" x14ac:dyDescent="0.25">
      <c r="A733" s="10">
        <v>45670</v>
      </c>
      <c r="B733" s="11" t="s">
        <v>2137</v>
      </c>
      <c r="C733" s="11" t="s">
        <v>2138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9" t="s">
        <v>26</v>
      </c>
      <c r="AA733" s="12" t="s">
        <v>31</v>
      </c>
    </row>
    <row r="734" spans="1:27" x14ac:dyDescent="0.25">
      <c r="A734" s="10">
        <v>45670</v>
      </c>
      <c r="B734" s="11" t="s">
        <v>2139</v>
      </c>
      <c r="C734" s="11" t="s">
        <v>2140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4463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9" t="s">
        <v>26</v>
      </c>
      <c r="AA734" s="12" t="s">
        <v>31</v>
      </c>
    </row>
    <row r="735" spans="1:27" x14ac:dyDescent="0.25">
      <c r="A735" s="10">
        <v>45670</v>
      </c>
      <c r="B735" s="11" t="s">
        <v>2141</v>
      </c>
      <c r="C735" s="11" t="s">
        <v>2142</v>
      </c>
      <c r="D735" s="11" t="s">
        <v>26</v>
      </c>
      <c r="E735" s="11" t="s">
        <v>2143</v>
      </c>
      <c r="F735" s="11" t="s">
        <v>26</v>
      </c>
      <c r="G735" s="11">
        <v>111986</v>
      </c>
      <c r="H735" s="12" t="s">
        <v>4463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9" t="s">
        <v>26</v>
      </c>
      <c r="AA735" s="12" t="s">
        <v>31</v>
      </c>
    </row>
    <row r="736" spans="1:27" x14ac:dyDescent="0.25">
      <c r="A736" s="10">
        <v>45670</v>
      </c>
      <c r="B736" s="11" t="s">
        <v>585</v>
      </c>
      <c r="C736" s="11" t="s">
        <v>2144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4439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9" t="s">
        <v>6345</v>
      </c>
      <c r="AA736" s="12" t="s">
        <v>78</v>
      </c>
    </row>
    <row r="737" spans="1:27" x14ac:dyDescent="0.25">
      <c r="A737" s="10">
        <v>45670</v>
      </c>
      <c r="B737" s="11" t="s">
        <v>598</v>
      </c>
      <c r="C737" s="11" t="s">
        <v>2145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9" t="s">
        <v>26</v>
      </c>
      <c r="AA737" s="12" t="s">
        <v>31</v>
      </c>
    </row>
    <row r="738" spans="1:27" x14ac:dyDescent="0.25">
      <c r="A738" s="10">
        <v>45670</v>
      </c>
      <c r="B738" s="11" t="s">
        <v>2146</v>
      </c>
      <c r="C738" s="11" t="s">
        <v>2147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9" t="s">
        <v>26</v>
      </c>
      <c r="AA738" s="12" t="s">
        <v>31</v>
      </c>
    </row>
    <row r="739" spans="1:27" x14ac:dyDescent="0.25">
      <c r="A739" s="10">
        <v>45670</v>
      </c>
      <c r="B739" s="11" t="s">
        <v>2148</v>
      </c>
      <c r="C739" s="11" t="s">
        <v>2149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9" t="s">
        <v>41</v>
      </c>
      <c r="AA739" s="12" t="s">
        <v>79</v>
      </c>
    </row>
    <row r="740" spans="1:27" x14ac:dyDescent="0.25">
      <c r="A740" s="10">
        <v>45670</v>
      </c>
      <c r="B740" s="11" t="s">
        <v>543</v>
      </c>
      <c r="C740" s="11" t="s">
        <v>2150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9" t="s">
        <v>26</v>
      </c>
      <c r="AA740" s="12" t="s">
        <v>31</v>
      </c>
    </row>
    <row r="741" spans="1:27" x14ac:dyDescent="0.25">
      <c r="A741" s="10">
        <v>45670</v>
      </c>
      <c r="B741" s="11" t="s">
        <v>536</v>
      </c>
      <c r="C741" s="11" t="s">
        <v>2151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4465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9" t="s">
        <v>26</v>
      </c>
      <c r="AA741" s="12" t="s">
        <v>31</v>
      </c>
    </row>
    <row r="742" spans="1:27" x14ac:dyDescent="0.25">
      <c r="A742" s="10">
        <v>45670</v>
      </c>
      <c r="B742" s="11" t="s">
        <v>2152</v>
      </c>
      <c r="C742" s="11" t="s">
        <v>2153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4440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9" t="s">
        <v>26</v>
      </c>
      <c r="AA742" s="12" t="s">
        <v>31</v>
      </c>
    </row>
    <row r="743" spans="1:27" x14ac:dyDescent="0.25">
      <c r="A743" s="10">
        <v>45670</v>
      </c>
      <c r="B743" s="11" t="s">
        <v>2154</v>
      </c>
      <c r="C743" s="11" t="s">
        <v>2155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9" t="s">
        <v>26</v>
      </c>
      <c r="AA743" s="12" t="s">
        <v>31</v>
      </c>
    </row>
    <row r="744" spans="1:27" x14ac:dyDescent="0.25">
      <c r="A744" s="10">
        <v>45670</v>
      </c>
      <c r="B744" s="11" t="s">
        <v>2156</v>
      </c>
      <c r="C744" s="11" t="s">
        <v>2157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9" t="s">
        <v>26</v>
      </c>
      <c r="AA744" s="12" t="s">
        <v>31</v>
      </c>
    </row>
    <row r="745" spans="1:27" x14ac:dyDescent="0.25">
      <c r="A745" s="10">
        <v>45670</v>
      </c>
      <c r="B745" s="11" t="s">
        <v>2158</v>
      </c>
      <c r="C745" s="11" t="s">
        <v>2159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6345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9" t="s">
        <v>26</v>
      </c>
      <c r="AA745" s="12" t="s">
        <v>31</v>
      </c>
    </row>
    <row r="746" spans="1:27" x14ac:dyDescent="0.25">
      <c r="A746" s="10">
        <v>45670</v>
      </c>
      <c r="B746" s="11" t="s">
        <v>2160</v>
      </c>
      <c r="C746" s="11" t="s">
        <v>2161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4440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9" t="s">
        <v>26</v>
      </c>
      <c r="AA746" s="12" t="s">
        <v>31</v>
      </c>
    </row>
    <row r="747" spans="1:27" x14ac:dyDescent="0.25">
      <c r="A747" s="10">
        <v>45670</v>
      </c>
      <c r="B747" s="11" t="s">
        <v>502</v>
      </c>
      <c r="C747" s="11" t="s">
        <v>2162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9" t="s">
        <v>26</v>
      </c>
      <c r="AA747" s="12" t="s">
        <v>31</v>
      </c>
    </row>
    <row r="748" spans="1:27" x14ac:dyDescent="0.25">
      <c r="A748" s="10">
        <v>45670</v>
      </c>
      <c r="B748" s="11" t="s">
        <v>2163</v>
      </c>
      <c r="C748" s="11" t="s">
        <v>2164</v>
      </c>
      <c r="D748" s="11" t="s">
        <v>26</v>
      </c>
      <c r="E748" s="11" t="s">
        <v>659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9" t="s">
        <v>26</v>
      </c>
      <c r="AA748" s="12" t="s">
        <v>31</v>
      </c>
    </row>
    <row r="749" spans="1:27" x14ac:dyDescent="0.25">
      <c r="A749" s="10">
        <v>45670</v>
      </c>
      <c r="B749" s="11" t="s">
        <v>581</v>
      </c>
      <c r="C749" s="11" t="s">
        <v>2165</v>
      </c>
      <c r="D749" s="11" t="s">
        <v>26</v>
      </c>
      <c r="E749" s="11" t="s">
        <v>2126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9" t="s">
        <v>26</v>
      </c>
      <c r="AA749" s="12" t="s">
        <v>31</v>
      </c>
    </row>
    <row r="750" spans="1:27" x14ac:dyDescent="0.25">
      <c r="A750" s="10">
        <v>45670</v>
      </c>
      <c r="B750" s="11" t="s">
        <v>2166</v>
      </c>
      <c r="C750" s="11" t="s">
        <v>2167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9" t="s">
        <v>26</v>
      </c>
      <c r="AA750" s="12" t="s">
        <v>31</v>
      </c>
    </row>
    <row r="751" spans="1:27" x14ac:dyDescent="0.25">
      <c r="A751" s="10">
        <v>45670</v>
      </c>
      <c r="B751" s="11" t="s">
        <v>579</v>
      </c>
      <c r="C751" s="11" t="s">
        <v>2168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9" t="s">
        <v>26</v>
      </c>
      <c r="AA751" s="12" t="s">
        <v>31</v>
      </c>
    </row>
    <row r="752" spans="1:27" x14ac:dyDescent="0.25">
      <c r="A752" s="10">
        <v>45670</v>
      </c>
      <c r="B752" s="11" t="s">
        <v>2169</v>
      </c>
      <c r="C752" s="11" t="s">
        <v>2170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9" t="s">
        <v>26</v>
      </c>
      <c r="AA752" s="12" t="s">
        <v>31</v>
      </c>
    </row>
    <row r="753" spans="1:27" x14ac:dyDescent="0.25">
      <c r="A753" s="10">
        <v>45670</v>
      </c>
      <c r="B753" s="11" t="s">
        <v>2171</v>
      </c>
      <c r="C753" s="11" t="s">
        <v>2172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9" t="s">
        <v>26</v>
      </c>
      <c r="AA753" s="12" t="s">
        <v>31</v>
      </c>
    </row>
    <row r="754" spans="1:27" x14ac:dyDescent="0.25">
      <c r="A754" s="10">
        <v>45670</v>
      </c>
      <c r="B754" s="11" t="s">
        <v>601</v>
      </c>
      <c r="C754" s="11" t="s">
        <v>2173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9" t="s">
        <v>26</v>
      </c>
      <c r="AA754" s="12" t="s">
        <v>31</v>
      </c>
    </row>
    <row r="755" spans="1:27" x14ac:dyDescent="0.25">
      <c r="A755" s="10">
        <v>45670</v>
      </c>
      <c r="B755" s="11" t="s">
        <v>587</v>
      </c>
      <c r="C755" s="11" t="s">
        <v>2174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9" t="s">
        <v>41</v>
      </c>
      <c r="AA755" s="12" t="s">
        <v>79</v>
      </c>
    </row>
    <row r="756" spans="1:27" x14ac:dyDescent="0.25">
      <c r="A756" s="10">
        <v>45670</v>
      </c>
      <c r="B756" s="11" t="s">
        <v>2175</v>
      </c>
      <c r="C756" s="11" t="s">
        <v>2176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9" t="s">
        <v>26</v>
      </c>
      <c r="AA756" s="12" t="s">
        <v>31</v>
      </c>
    </row>
    <row r="757" spans="1:27" x14ac:dyDescent="0.25">
      <c r="A757" s="10">
        <v>45670</v>
      </c>
      <c r="B757" s="11" t="s">
        <v>2177</v>
      </c>
      <c r="C757" s="11" t="s">
        <v>2178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9" t="s">
        <v>26</v>
      </c>
      <c r="AA757" s="12" t="s">
        <v>31</v>
      </c>
    </row>
    <row r="758" spans="1:27" x14ac:dyDescent="0.25">
      <c r="A758" s="10">
        <v>45670</v>
      </c>
      <c r="B758" s="11" t="s">
        <v>2179</v>
      </c>
      <c r="C758" s="11" t="s">
        <v>2180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9" t="s">
        <v>26</v>
      </c>
      <c r="AA758" s="12" t="s">
        <v>31</v>
      </c>
    </row>
    <row r="759" spans="1:27" x14ac:dyDescent="0.25">
      <c r="A759" s="10">
        <v>45670</v>
      </c>
      <c r="B759" s="11" t="s">
        <v>2181</v>
      </c>
      <c r="C759" s="11" t="s">
        <v>2182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9" t="s">
        <v>26</v>
      </c>
      <c r="AA759" s="12" t="s">
        <v>31</v>
      </c>
    </row>
    <row r="760" spans="1:27" x14ac:dyDescent="0.25">
      <c r="A760" s="10">
        <v>45670</v>
      </c>
      <c r="B760" s="11" t="s">
        <v>2183</v>
      </c>
      <c r="C760" s="11" t="s">
        <v>2184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4440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9" t="s">
        <v>26</v>
      </c>
      <c r="AA760" s="12" t="s">
        <v>31</v>
      </c>
    </row>
    <row r="761" spans="1:27" x14ac:dyDescent="0.25">
      <c r="A761" s="10">
        <v>45670</v>
      </c>
      <c r="B761" s="11" t="s">
        <v>2185</v>
      </c>
      <c r="C761" s="11" t="s">
        <v>2186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6345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9" t="s">
        <v>26</v>
      </c>
      <c r="AA761" s="12" t="s">
        <v>31</v>
      </c>
    </row>
    <row r="762" spans="1:27" x14ac:dyDescent="0.25">
      <c r="A762" s="10">
        <v>45670</v>
      </c>
      <c r="B762" s="11" t="s">
        <v>2187</v>
      </c>
      <c r="C762" s="11" t="s">
        <v>2188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9" t="s">
        <v>26</v>
      </c>
      <c r="AA762" s="12" t="s">
        <v>31</v>
      </c>
    </row>
    <row r="763" spans="1:27" x14ac:dyDescent="0.25">
      <c r="A763" s="10">
        <v>45670</v>
      </c>
      <c r="B763" s="11" t="s">
        <v>2189</v>
      </c>
      <c r="C763" s="11" t="s">
        <v>2190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9" t="s">
        <v>26</v>
      </c>
      <c r="AA763" s="12" t="s">
        <v>31</v>
      </c>
    </row>
    <row r="764" spans="1:27" x14ac:dyDescent="0.25">
      <c r="A764" s="10">
        <v>45670</v>
      </c>
      <c r="B764" s="11" t="s">
        <v>507</v>
      </c>
      <c r="C764" s="11" t="s">
        <v>2191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9" t="s">
        <v>26</v>
      </c>
      <c r="AA764" s="12" t="s">
        <v>31</v>
      </c>
    </row>
    <row r="765" spans="1:27" x14ac:dyDescent="0.25">
      <c r="A765" s="10">
        <v>45670</v>
      </c>
      <c r="B765" s="11" t="s">
        <v>591</v>
      </c>
      <c r="C765" s="11" t="s">
        <v>2192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9" t="s">
        <v>26</v>
      </c>
      <c r="AA765" s="12" t="s">
        <v>31</v>
      </c>
    </row>
    <row r="766" spans="1:27" x14ac:dyDescent="0.25">
      <c r="A766" s="10">
        <v>45670</v>
      </c>
      <c r="B766" s="11" t="s">
        <v>2193</v>
      </c>
      <c r="C766" s="11" t="s">
        <v>2194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4440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9" t="s">
        <v>26</v>
      </c>
      <c r="AA766" s="12" t="s">
        <v>31</v>
      </c>
    </row>
    <row r="767" spans="1:27" x14ac:dyDescent="0.25">
      <c r="A767" s="10">
        <v>45670</v>
      </c>
      <c r="B767" s="11" t="s">
        <v>2195</v>
      </c>
      <c r="C767" s="11" t="s">
        <v>2196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9" t="s">
        <v>26</v>
      </c>
      <c r="AA767" s="12" t="s">
        <v>31</v>
      </c>
    </row>
    <row r="768" spans="1:27" x14ac:dyDescent="0.25">
      <c r="A768" s="10">
        <v>45670</v>
      </c>
      <c r="B768" s="11" t="s">
        <v>2197</v>
      </c>
      <c r="C768" s="11" t="s">
        <v>2198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4465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9" t="s">
        <v>26</v>
      </c>
      <c r="AA768" s="12" t="s">
        <v>31</v>
      </c>
    </row>
    <row r="769" spans="1:27" x14ac:dyDescent="0.25">
      <c r="A769" s="10">
        <v>45670</v>
      </c>
      <c r="B769" s="11" t="s">
        <v>2199</v>
      </c>
      <c r="C769" s="11" t="s">
        <v>2200</v>
      </c>
      <c r="D769" s="11" t="s">
        <v>26</v>
      </c>
      <c r="E769" s="11" t="s">
        <v>2201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9" t="s">
        <v>26</v>
      </c>
      <c r="AA769" s="12" t="s">
        <v>31</v>
      </c>
    </row>
    <row r="770" spans="1:27" x14ac:dyDescent="0.25">
      <c r="A770" s="10">
        <v>45670</v>
      </c>
      <c r="B770" s="11" t="s">
        <v>2202</v>
      </c>
      <c r="C770" s="11" t="s">
        <v>2203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4463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9" t="s">
        <v>26</v>
      </c>
      <c r="AA770" s="12" t="s">
        <v>31</v>
      </c>
    </row>
    <row r="771" spans="1:27" x14ac:dyDescent="0.25">
      <c r="A771" s="10">
        <v>45670</v>
      </c>
      <c r="B771" s="11" t="s">
        <v>2204</v>
      </c>
      <c r="C771" s="11" t="s">
        <v>2205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9" t="s">
        <v>26</v>
      </c>
      <c r="AA771" s="12" t="s">
        <v>31</v>
      </c>
    </row>
    <row r="772" spans="1:27" x14ac:dyDescent="0.25">
      <c r="A772" s="10">
        <v>45670</v>
      </c>
      <c r="B772" s="11" t="s">
        <v>2206</v>
      </c>
      <c r="C772" s="11" t="s">
        <v>2207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9" t="s">
        <v>26</v>
      </c>
      <c r="AA772" s="12" t="s">
        <v>31</v>
      </c>
    </row>
    <row r="773" spans="1:27" x14ac:dyDescent="0.25">
      <c r="A773" s="10">
        <v>45670</v>
      </c>
      <c r="B773" s="11" t="s">
        <v>2208</v>
      </c>
      <c r="C773" s="11" t="s">
        <v>2209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4464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9" t="s">
        <v>26</v>
      </c>
      <c r="AA773" s="12" t="s">
        <v>31</v>
      </c>
    </row>
    <row r="774" spans="1:27" x14ac:dyDescent="0.25">
      <c r="A774" s="10">
        <v>45670</v>
      </c>
      <c r="B774" s="11" t="s">
        <v>2210</v>
      </c>
      <c r="C774" s="11" t="s">
        <v>2211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9" t="s">
        <v>26</v>
      </c>
      <c r="AA774" s="12" t="s">
        <v>31</v>
      </c>
    </row>
    <row r="775" spans="1:27" x14ac:dyDescent="0.25">
      <c r="A775" s="10">
        <v>45670</v>
      </c>
      <c r="B775" s="11" t="s">
        <v>2212</v>
      </c>
      <c r="C775" s="11" t="s">
        <v>2213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9" t="s">
        <v>26</v>
      </c>
      <c r="AA775" s="12" t="s">
        <v>31</v>
      </c>
    </row>
    <row r="776" spans="1:27" x14ac:dyDescent="0.25">
      <c r="A776" s="10">
        <v>45670</v>
      </c>
      <c r="B776" s="11" t="s">
        <v>2214</v>
      </c>
      <c r="C776" s="11" t="s">
        <v>2215</v>
      </c>
      <c r="D776" s="11" t="s">
        <v>26</v>
      </c>
      <c r="E776" s="11" t="s">
        <v>2126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9" t="s">
        <v>26</v>
      </c>
      <c r="AA776" s="12" t="s">
        <v>31</v>
      </c>
    </row>
    <row r="777" spans="1:27" x14ac:dyDescent="0.25">
      <c r="A777" s="10">
        <v>45670</v>
      </c>
      <c r="B777" s="11" t="s">
        <v>2216</v>
      </c>
      <c r="C777" s="11" t="s">
        <v>2217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4465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9" t="s">
        <v>26</v>
      </c>
      <c r="AA777" s="12" t="s">
        <v>31</v>
      </c>
    </row>
    <row r="778" spans="1:27" x14ac:dyDescent="0.25">
      <c r="A778" s="10">
        <v>45670</v>
      </c>
      <c r="B778" s="11" t="s">
        <v>2218</v>
      </c>
      <c r="C778" s="11" t="s">
        <v>2219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9" t="s">
        <v>26</v>
      </c>
      <c r="AA778" s="12" t="s">
        <v>31</v>
      </c>
    </row>
    <row r="779" spans="1:27" x14ac:dyDescent="0.25">
      <c r="A779" s="10">
        <v>45670</v>
      </c>
      <c r="B779" s="11" t="s">
        <v>2220</v>
      </c>
      <c r="C779" s="11" t="s">
        <v>2221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4440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9" t="s">
        <v>26</v>
      </c>
      <c r="AA779" s="12" t="s">
        <v>31</v>
      </c>
    </row>
    <row r="780" spans="1:27" x14ac:dyDescent="0.25">
      <c r="A780" s="10">
        <v>45670</v>
      </c>
      <c r="B780" s="11" t="s">
        <v>2222</v>
      </c>
      <c r="C780" s="11" t="s">
        <v>2223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9" t="s">
        <v>26</v>
      </c>
      <c r="AA780" s="12" t="s">
        <v>31</v>
      </c>
    </row>
    <row r="781" spans="1:27" x14ac:dyDescent="0.25">
      <c r="A781" s="10">
        <v>45670</v>
      </c>
      <c r="B781" s="11" t="s">
        <v>511</v>
      </c>
      <c r="C781" s="11" t="s">
        <v>2224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9" t="s">
        <v>26</v>
      </c>
      <c r="AA781" s="12" t="s">
        <v>31</v>
      </c>
    </row>
    <row r="782" spans="1:27" x14ac:dyDescent="0.25">
      <c r="A782" s="10">
        <v>45670</v>
      </c>
      <c r="B782" s="11" t="s">
        <v>596</v>
      </c>
      <c r="C782" s="11" t="s">
        <v>2225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9" t="s">
        <v>26</v>
      </c>
      <c r="AA782" s="12" t="s">
        <v>31</v>
      </c>
    </row>
    <row r="783" spans="1:27" x14ac:dyDescent="0.25">
      <c r="A783" s="10">
        <v>45670</v>
      </c>
      <c r="B783" s="11" t="s">
        <v>500</v>
      </c>
      <c r="C783" s="11" t="s">
        <v>2226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9" t="s">
        <v>26</v>
      </c>
      <c r="AA783" s="12" t="s">
        <v>31</v>
      </c>
    </row>
    <row r="784" spans="1:27" x14ac:dyDescent="0.25">
      <c r="A784" s="10">
        <v>45670</v>
      </c>
      <c r="B784" s="11" t="s">
        <v>2227</v>
      </c>
      <c r="C784" s="11" t="s">
        <v>2228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9" t="s">
        <v>26</v>
      </c>
      <c r="AA784" s="12" t="s">
        <v>31</v>
      </c>
    </row>
    <row r="785" spans="1:27" x14ac:dyDescent="0.25">
      <c r="A785" s="10">
        <v>45670</v>
      </c>
      <c r="B785" s="11" t="s">
        <v>235</v>
      </c>
      <c r="C785" s="11" t="s">
        <v>2229</v>
      </c>
      <c r="D785" s="11" t="s">
        <v>26</v>
      </c>
      <c r="E785" s="11" t="s">
        <v>1217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9" t="s">
        <v>26</v>
      </c>
      <c r="AA785" s="12" t="s">
        <v>31</v>
      </c>
    </row>
    <row r="786" spans="1:27" x14ac:dyDescent="0.25">
      <c r="A786" s="10">
        <v>45670</v>
      </c>
      <c r="B786" s="11" t="s">
        <v>2230</v>
      </c>
      <c r="C786" s="11" t="s">
        <v>2231</v>
      </c>
      <c r="D786" s="11" t="s">
        <v>26</v>
      </c>
      <c r="E786" s="11" t="s">
        <v>659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9" t="s">
        <v>26</v>
      </c>
      <c r="AA786" s="12" t="s">
        <v>31</v>
      </c>
    </row>
    <row r="787" spans="1:27" x14ac:dyDescent="0.25">
      <c r="A787" s="10">
        <v>45670</v>
      </c>
      <c r="B787" s="11" t="s">
        <v>2232</v>
      </c>
      <c r="C787" s="11" t="s">
        <v>2233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9" t="s">
        <v>26</v>
      </c>
      <c r="AA787" s="12" t="s">
        <v>31</v>
      </c>
    </row>
    <row r="788" spans="1:27" x14ac:dyDescent="0.25">
      <c r="A788" s="10">
        <v>45670</v>
      </c>
      <c r="B788" s="11" t="s">
        <v>2234</v>
      </c>
      <c r="C788" s="11" t="s">
        <v>2235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4440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9" t="s">
        <v>26</v>
      </c>
      <c r="AA788" s="12" t="s">
        <v>31</v>
      </c>
    </row>
    <row r="789" spans="1:27" x14ac:dyDescent="0.25">
      <c r="A789" s="10">
        <v>45670</v>
      </c>
      <c r="B789" s="11" t="s">
        <v>491</v>
      </c>
      <c r="C789" s="11" t="s">
        <v>2236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9" t="s">
        <v>26</v>
      </c>
      <c r="AA789" s="12" t="s">
        <v>31</v>
      </c>
    </row>
    <row r="790" spans="1:27" x14ac:dyDescent="0.25">
      <c r="A790" s="10">
        <v>45670</v>
      </c>
      <c r="B790" s="11" t="s">
        <v>2237</v>
      </c>
      <c r="C790" s="11" t="s">
        <v>2238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9" t="s">
        <v>26</v>
      </c>
      <c r="AA790" s="12" t="s">
        <v>31</v>
      </c>
    </row>
    <row r="791" spans="1:27" x14ac:dyDescent="0.25">
      <c r="A791" s="10">
        <v>45670</v>
      </c>
      <c r="B791" s="11" t="s">
        <v>583</v>
      </c>
      <c r="C791" s="11" t="s">
        <v>2239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9" t="s">
        <v>26</v>
      </c>
      <c r="AA791" s="12" t="s">
        <v>31</v>
      </c>
    </row>
    <row r="792" spans="1:27" x14ac:dyDescent="0.25">
      <c r="A792" s="10">
        <v>45670</v>
      </c>
      <c r="B792" s="11" t="s">
        <v>602</v>
      </c>
      <c r="C792" s="11" t="s">
        <v>2240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9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2241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4465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9" t="s">
        <v>26</v>
      </c>
      <c r="AA793" s="12" t="s">
        <v>31</v>
      </c>
    </row>
    <row r="794" spans="1:27" x14ac:dyDescent="0.25">
      <c r="A794" s="10">
        <v>45671</v>
      </c>
      <c r="B794" s="11" t="s">
        <v>622</v>
      </c>
      <c r="C794" s="11" t="s">
        <v>2242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4465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9" t="s">
        <v>26</v>
      </c>
      <c r="AA794" s="12" t="s">
        <v>31</v>
      </c>
    </row>
    <row r="795" spans="1:27" x14ac:dyDescent="0.25">
      <c r="A795" s="10">
        <v>45671</v>
      </c>
      <c r="B795" s="11" t="s">
        <v>2243</v>
      </c>
      <c r="C795" s="11" t="s">
        <v>2244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6345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9" t="s">
        <v>26</v>
      </c>
      <c r="AA795" s="12" t="s">
        <v>31</v>
      </c>
    </row>
    <row r="796" spans="1:27" x14ac:dyDescent="0.25">
      <c r="A796" s="10">
        <v>45671</v>
      </c>
      <c r="B796" s="11" t="s">
        <v>462</v>
      </c>
      <c r="C796" s="11" t="s">
        <v>2245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4440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9" t="s">
        <v>26</v>
      </c>
      <c r="AA796" s="12" t="s">
        <v>31</v>
      </c>
    </row>
    <row r="797" spans="1:27" x14ac:dyDescent="0.25">
      <c r="A797" s="10">
        <v>45671</v>
      </c>
      <c r="B797" s="11" t="s">
        <v>2246</v>
      </c>
      <c r="C797" s="11" t="s">
        <v>2247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4439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9" t="s">
        <v>141</v>
      </c>
      <c r="AA797" s="12" t="s">
        <v>78</v>
      </c>
    </row>
    <row r="798" spans="1:27" x14ac:dyDescent="0.25">
      <c r="A798" s="10">
        <v>45671</v>
      </c>
      <c r="B798" s="11" t="s">
        <v>2248</v>
      </c>
      <c r="C798" s="11" t="s">
        <v>2249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9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2250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9" t="s">
        <v>41</v>
      </c>
      <c r="AA799" s="12" t="s">
        <v>79</v>
      </c>
    </row>
    <row r="800" spans="1:27" x14ac:dyDescent="0.25">
      <c r="A800" s="10">
        <v>45671</v>
      </c>
      <c r="B800" s="11" t="s">
        <v>173</v>
      </c>
      <c r="C800" s="11" t="s">
        <v>2251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4439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9" t="s">
        <v>141</v>
      </c>
      <c r="AA800" s="12" t="s">
        <v>78</v>
      </c>
    </row>
    <row r="801" spans="1:27" x14ac:dyDescent="0.25">
      <c r="A801" s="10">
        <v>45671</v>
      </c>
      <c r="B801" s="11" t="s">
        <v>2252</v>
      </c>
      <c r="C801" s="11" t="s">
        <v>2253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4439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9" t="s">
        <v>141</v>
      </c>
      <c r="AA801" s="12" t="s">
        <v>78</v>
      </c>
    </row>
    <row r="802" spans="1:27" x14ac:dyDescent="0.25">
      <c r="A802" s="10">
        <v>45671</v>
      </c>
      <c r="B802" s="11" t="s">
        <v>2254</v>
      </c>
      <c r="C802" s="11" t="s">
        <v>2255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9" t="s">
        <v>26</v>
      </c>
      <c r="AA802" s="12" t="s">
        <v>31</v>
      </c>
    </row>
    <row r="803" spans="1:27" x14ac:dyDescent="0.25">
      <c r="A803" s="10">
        <v>45671</v>
      </c>
      <c r="B803" s="11" t="s">
        <v>2256</v>
      </c>
      <c r="C803" s="11" t="s">
        <v>2257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4439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9" t="s">
        <v>41</v>
      </c>
      <c r="AA803" s="12" t="s">
        <v>78</v>
      </c>
    </row>
    <row r="804" spans="1:27" x14ac:dyDescent="0.25">
      <c r="A804" s="10">
        <v>45671</v>
      </c>
      <c r="B804" s="11" t="s">
        <v>2258</v>
      </c>
      <c r="C804" s="11" t="s">
        <v>2259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4440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9" t="s">
        <v>26</v>
      </c>
      <c r="AA804" s="12" t="s">
        <v>31</v>
      </c>
    </row>
    <row r="805" spans="1:27" x14ac:dyDescent="0.25">
      <c r="A805" s="10">
        <v>45671</v>
      </c>
      <c r="B805" s="11" t="s">
        <v>1183</v>
      </c>
      <c r="C805" s="11" t="s">
        <v>2260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4439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9" t="s">
        <v>140</v>
      </c>
      <c r="AA805" s="12" t="s">
        <v>78</v>
      </c>
    </row>
    <row r="806" spans="1:27" x14ac:dyDescent="0.25">
      <c r="A806" s="10">
        <v>45671</v>
      </c>
      <c r="B806" s="11" t="s">
        <v>2261</v>
      </c>
      <c r="C806" s="11" t="s">
        <v>2262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9" t="s">
        <v>26</v>
      </c>
      <c r="AA806" s="12" t="s">
        <v>31</v>
      </c>
    </row>
    <row r="807" spans="1:27" x14ac:dyDescent="0.25">
      <c r="A807" s="10">
        <v>45671</v>
      </c>
      <c r="B807" s="11" t="s">
        <v>2263</v>
      </c>
      <c r="C807" s="11" t="s">
        <v>2264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4440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9" t="s">
        <v>26</v>
      </c>
      <c r="AA807" s="12" t="s">
        <v>31</v>
      </c>
    </row>
    <row r="808" spans="1:27" x14ac:dyDescent="0.25">
      <c r="A808" s="10">
        <v>45671</v>
      </c>
      <c r="B808" s="11" t="s">
        <v>2265</v>
      </c>
      <c r="C808" s="11" t="s">
        <v>2266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9" t="s">
        <v>26</v>
      </c>
      <c r="AA808" s="12" t="s">
        <v>31</v>
      </c>
    </row>
    <row r="809" spans="1:27" x14ac:dyDescent="0.25">
      <c r="A809" s="10">
        <v>45671</v>
      </c>
      <c r="B809" s="11" t="s">
        <v>2267</v>
      </c>
      <c r="C809" s="11" t="s">
        <v>2268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9" t="s">
        <v>26</v>
      </c>
      <c r="AA809" s="12" t="s">
        <v>31</v>
      </c>
    </row>
    <row r="810" spans="1:27" x14ac:dyDescent="0.25">
      <c r="A810" s="10">
        <v>45671</v>
      </c>
      <c r="B810" s="11" t="s">
        <v>2059</v>
      </c>
      <c r="C810" s="11" t="s">
        <v>2269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9" t="s">
        <v>26</v>
      </c>
      <c r="AA810" s="12" t="s">
        <v>31</v>
      </c>
    </row>
    <row r="811" spans="1:27" x14ac:dyDescent="0.25">
      <c r="A811" s="10">
        <v>45671</v>
      </c>
      <c r="B811" s="11" t="s">
        <v>705</v>
      </c>
      <c r="C811" s="11" t="s">
        <v>2270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9" t="s">
        <v>26</v>
      </c>
      <c r="AA811" s="12" t="s">
        <v>31</v>
      </c>
    </row>
    <row r="812" spans="1:27" x14ac:dyDescent="0.25">
      <c r="A812" s="10">
        <v>45671</v>
      </c>
      <c r="B812" s="11" t="s">
        <v>2271</v>
      </c>
      <c r="C812" s="11" t="s">
        <v>2272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4440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9" t="s">
        <v>26</v>
      </c>
      <c r="AA812" s="12" t="s">
        <v>31</v>
      </c>
    </row>
    <row r="813" spans="1:27" x14ac:dyDescent="0.25">
      <c r="A813" s="10">
        <v>45671</v>
      </c>
      <c r="B813" s="11" t="s">
        <v>2273</v>
      </c>
      <c r="C813" s="11" t="s">
        <v>2274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9" t="s">
        <v>26</v>
      </c>
      <c r="AA813" s="12" t="s">
        <v>31</v>
      </c>
    </row>
    <row r="814" spans="1:27" x14ac:dyDescent="0.25">
      <c r="A814" s="10">
        <v>45671</v>
      </c>
      <c r="B814" s="11" t="s">
        <v>1211</v>
      </c>
      <c r="C814" s="11" t="s">
        <v>2275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9" t="s">
        <v>26</v>
      </c>
      <c r="AA814" s="12" t="s">
        <v>31</v>
      </c>
    </row>
    <row r="815" spans="1:27" x14ac:dyDescent="0.25">
      <c r="A815" s="10">
        <v>45671</v>
      </c>
      <c r="B815" s="11" t="s">
        <v>2276</v>
      </c>
      <c r="C815" s="11" t="s">
        <v>2277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4439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9" t="s">
        <v>140</v>
      </c>
      <c r="AA815" s="12" t="s">
        <v>78</v>
      </c>
    </row>
    <row r="816" spans="1:27" x14ac:dyDescent="0.25">
      <c r="A816" s="10">
        <v>45671</v>
      </c>
      <c r="B816" s="11" t="s">
        <v>2278</v>
      </c>
      <c r="C816" s="11" t="s">
        <v>2279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9" t="s">
        <v>26</v>
      </c>
      <c r="AA816" s="12" t="s">
        <v>31</v>
      </c>
    </row>
    <row r="817" spans="1:27" x14ac:dyDescent="0.25">
      <c r="A817" s="10">
        <v>45671</v>
      </c>
      <c r="B817" s="11" t="s">
        <v>455</v>
      </c>
      <c r="C817" s="11" t="s">
        <v>2280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4465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9" t="s">
        <v>26</v>
      </c>
      <c r="AA817" s="12" t="s">
        <v>31</v>
      </c>
    </row>
    <row r="818" spans="1:27" x14ac:dyDescent="0.25">
      <c r="A818" s="10">
        <v>45671</v>
      </c>
      <c r="B818" s="11" t="s">
        <v>2281</v>
      </c>
      <c r="C818" s="11" t="s">
        <v>2282</v>
      </c>
      <c r="D818" s="11" t="s">
        <v>26</v>
      </c>
      <c r="E818" s="11" t="s">
        <v>2126</v>
      </c>
      <c r="F818" s="11" t="s">
        <v>26</v>
      </c>
      <c r="G818" s="11" t="s">
        <v>26</v>
      </c>
      <c r="H818" s="12" t="s">
        <v>4439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9" t="s">
        <v>140</v>
      </c>
      <c r="AA818" s="12" t="s">
        <v>78</v>
      </c>
    </row>
    <row r="819" spans="1:27" x14ac:dyDescent="0.25">
      <c r="A819" s="10">
        <v>45671</v>
      </c>
      <c r="B819" s="11" t="s">
        <v>2283</v>
      </c>
      <c r="C819" s="11" t="s">
        <v>2284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4439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9" t="s">
        <v>41</v>
      </c>
      <c r="AA819" s="12" t="s">
        <v>78</v>
      </c>
    </row>
    <row r="820" spans="1:27" x14ac:dyDescent="0.25">
      <c r="A820" s="10">
        <v>45671</v>
      </c>
      <c r="B820" s="11" t="s">
        <v>466</v>
      </c>
      <c r="C820" s="11" t="s">
        <v>2285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4463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9" t="s">
        <v>26</v>
      </c>
      <c r="AA820" s="12" t="s">
        <v>31</v>
      </c>
    </row>
    <row r="821" spans="1:27" x14ac:dyDescent="0.25">
      <c r="A821" s="10">
        <v>45671</v>
      </c>
      <c r="B821" s="11" t="s">
        <v>2286</v>
      </c>
      <c r="C821" s="11" t="s">
        <v>2287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9" t="s">
        <v>26</v>
      </c>
      <c r="AA821" s="12" t="s">
        <v>31</v>
      </c>
    </row>
    <row r="822" spans="1:27" x14ac:dyDescent="0.25">
      <c r="A822" s="10">
        <v>45671</v>
      </c>
      <c r="B822" s="11" t="s">
        <v>1137</v>
      </c>
      <c r="C822" s="11" t="s">
        <v>2288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9" t="s">
        <v>26</v>
      </c>
      <c r="AA822" s="12" t="s">
        <v>31</v>
      </c>
    </row>
    <row r="823" spans="1:27" x14ac:dyDescent="0.25">
      <c r="A823" s="10">
        <v>45671</v>
      </c>
      <c r="B823" s="11" t="s">
        <v>2289</v>
      </c>
      <c r="C823" s="11" t="s">
        <v>2290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4440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9" t="s">
        <v>26</v>
      </c>
      <c r="AA823" s="12" t="s">
        <v>31</v>
      </c>
    </row>
    <row r="824" spans="1:27" x14ac:dyDescent="0.25">
      <c r="A824" s="10">
        <v>45671</v>
      </c>
      <c r="B824" s="11" t="s">
        <v>2291</v>
      </c>
      <c r="C824" s="11" t="s">
        <v>2292</v>
      </c>
      <c r="D824" s="11" t="s">
        <v>26</v>
      </c>
      <c r="E824" s="11" t="s">
        <v>659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9" t="s">
        <v>26</v>
      </c>
      <c r="AA824" s="12" t="s">
        <v>31</v>
      </c>
    </row>
    <row r="825" spans="1:27" x14ac:dyDescent="0.25">
      <c r="A825" s="10">
        <v>45671</v>
      </c>
      <c r="B825" s="11" t="s">
        <v>2293</v>
      </c>
      <c r="C825" s="11" t="s">
        <v>2294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9" t="s">
        <v>26</v>
      </c>
      <c r="AA825" s="12" t="s">
        <v>31</v>
      </c>
    </row>
    <row r="826" spans="1:27" x14ac:dyDescent="0.25">
      <c r="A826" s="10">
        <v>45671</v>
      </c>
      <c r="B826" s="11" t="s">
        <v>2295</v>
      </c>
      <c r="C826" s="11" t="s">
        <v>2296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9" t="s">
        <v>26</v>
      </c>
      <c r="AA826" s="12" t="s">
        <v>31</v>
      </c>
    </row>
    <row r="827" spans="1:27" x14ac:dyDescent="0.25">
      <c r="A827" s="10">
        <v>45671</v>
      </c>
      <c r="B827" s="11" t="s">
        <v>2297</v>
      </c>
      <c r="C827" s="11" t="s">
        <v>2298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9" t="s">
        <v>26</v>
      </c>
      <c r="AA827" s="12" t="s">
        <v>31</v>
      </c>
    </row>
    <row r="828" spans="1:27" x14ac:dyDescent="0.25">
      <c r="A828" s="10">
        <v>45671</v>
      </c>
      <c r="B828" s="11" t="s">
        <v>2299</v>
      </c>
      <c r="C828" s="11" t="s">
        <v>2300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9" t="s">
        <v>26</v>
      </c>
      <c r="AA828" s="12" t="s">
        <v>31</v>
      </c>
    </row>
    <row r="829" spans="1:27" x14ac:dyDescent="0.25">
      <c r="A829" s="10">
        <v>45671</v>
      </c>
      <c r="B829" s="11" t="s">
        <v>477</v>
      </c>
      <c r="C829" s="11" t="s">
        <v>2301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9" t="s">
        <v>26</v>
      </c>
      <c r="AA829" s="12" t="s">
        <v>31</v>
      </c>
    </row>
    <row r="830" spans="1:27" x14ac:dyDescent="0.25">
      <c r="A830" s="10">
        <v>45671</v>
      </c>
      <c r="B830" s="11" t="s">
        <v>336</v>
      </c>
      <c r="C830" s="11" t="s">
        <v>2302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6345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9" t="s">
        <v>26</v>
      </c>
      <c r="AA830" s="12" t="s">
        <v>31</v>
      </c>
    </row>
    <row r="831" spans="1:27" x14ac:dyDescent="0.25">
      <c r="A831" s="10">
        <v>45671</v>
      </c>
      <c r="B831" s="11" t="s">
        <v>2303</v>
      </c>
      <c r="C831" s="11" t="s">
        <v>2304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9" t="s">
        <v>26</v>
      </c>
      <c r="AA831" s="12" t="s">
        <v>31</v>
      </c>
    </row>
    <row r="832" spans="1:27" x14ac:dyDescent="0.25">
      <c r="A832" s="10">
        <v>45671</v>
      </c>
      <c r="B832" s="11" t="s">
        <v>2305</v>
      </c>
      <c r="C832" s="11" t="s">
        <v>2306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9" t="s">
        <v>26</v>
      </c>
      <c r="AA832" s="12" t="s">
        <v>31</v>
      </c>
    </row>
    <row r="833" spans="1:27" x14ac:dyDescent="0.25">
      <c r="A833" s="10">
        <v>45671</v>
      </c>
      <c r="B833" s="11" t="s">
        <v>401</v>
      </c>
      <c r="C833" s="11" t="s">
        <v>2307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9" t="s">
        <v>26</v>
      </c>
      <c r="AA833" s="12" t="s">
        <v>31</v>
      </c>
    </row>
    <row r="834" spans="1:27" x14ac:dyDescent="0.25">
      <c r="A834" s="10">
        <v>45671</v>
      </c>
      <c r="B834" s="11" t="s">
        <v>319</v>
      </c>
      <c r="C834" s="11" t="s">
        <v>2308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4465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9" t="s">
        <v>26</v>
      </c>
      <c r="AA834" s="12" t="s">
        <v>31</v>
      </c>
    </row>
    <row r="835" spans="1:27" x14ac:dyDescent="0.25">
      <c r="A835" s="10">
        <v>45671</v>
      </c>
      <c r="B835" s="11" t="s">
        <v>2309</v>
      </c>
      <c r="C835" s="11" t="s">
        <v>2310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4439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9" t="s">
        <v>41</v>
      </c>
      <c r="AA835" s="12" t="s">
        <v>78</v>
      </c>
    </row>
    <row r="836" spans="1:27" x14ac:dyDescent="0.25">
      <c r="A836" s="10">
        <v>45671</v>
      </c>
      <c r="B836" s="11" t="s">
        <v>2022</v>
      </c>
      <c r="C836" s="11" t="s">
        <v>2311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9" t="s">
        <v>26</v>
      </c>
      <c r="AA836" s="12" t="s">
        <v>31</v>
      </c>
    </row>
    <row r="837" spans="1:27" x14ac:dyDescent="0.25">
      <c r="A837" s="10">
        <v>45671</v>
      </c>
      <c r="B837" s="11" t="s">
        <v>2312</v>
      </c>
      <c r="C837" s="11" t="s">
        <v>2313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9" t="s">
        <v>41</v>
      </c>
      <c r="AA837" s="12" t="s">
        <v>79</v>
      </c>
    </row>
    <row r="838" spans="1:27" x14ac:dyDescent="0.25">
      <c r="A838" s="10">
        <v>45671</v>
      </c>
      <c r="B838" s="11" t="s">
        <v>2314</v>
      </c>
      <c r="C838" s="11" t="s">
        <v>2315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9" t="s">
        <v>26</v>
      </c>
      <c r="AA838" s="12" t="s">
        <v>31</v>
      </c>
    </row>
    <row r="839" spans="1:27" x14ac:dyDescent="0.25">
      <c r="A839" s="10">
        <v>45671</v>
      </c>
      <c r="B839" s="11" t="s">
        <v>323</v>
      </c>
      <c r="C839" s="11" t="s">
        <v>2316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4465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9" t="s">
        <v>26</v>
      </c>
      <c r="AA839" s="12" t="s">
        <v>31</v>
      </c>
    </row>
    <row r="840" spans="1:27" x14ac:dyDescent="0.25">
      <c r="A840" s="10">
        <v>45671</v>
      </c>
      <c r="B840" s="11" t="s">
        <v>2317</v>
      </c>
      <c r="C840" s="11" t="s">
        <v>2318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9" t="s">
        <v>26</v>
      </c>
      <c r="AA840" s="12" t="s">
        <v>31</v>
      </c>
    </row>
    <row r="841" spans="1:27" x14ac:dyDescent="0.25">
      <c r="A841" s="10">
        <v>45671</v>
      </c>
      <c r="B841" s="11" t="s">
        <v>2319</v>
      </c>
      <c r="C841" s="11" t="s">
        <v>2320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9" t="s">
        <v>26</v>
      </c>
      <c r="AA841" s="12" t="s">
        <v>31</v>
      </c>
    </row>
    <row r="842" spans="1:27" x14ac:dyDescent="0.25">
      <c r="A842" s="10">
        <v>45671</v>
      </c>
      <c r="B842" s="11" t="s">
        <v>447</v>
      </c>
      <c r="C842" s="11" t="s">
        <v>2321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9" t="s">
        <v>26</v>
      </c>
      <c r="AA842" s="12" t="s">
        <v>31</v>
      </c>
    </row>
    <row r="843" spans="1:27" x14ac:dyDescent="0.25">
      <c r="A843" s="10">
        <v>45671</v>
      </c>
      <c r="B843" s="11" t="s">
        <v>2322</v>
      </c>
      <c r="C843" s="11" t="s">
        <v>2323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4440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9" t="s">
        <v>26</v>
      </c>
      <c r="AA843" s="12" t="s">
        <v>31</v>
      </c>
    </row>
    <row r="844" spans="1:27" x14ac:dyDescent="0.25">
      <c r="A844" s="10">
        <v>45671</v>
      </c>
      <c r="B844" s="11" t="s">
        <v>2324</v>
      </c>
      <c r="C844" s="11" t="s">
        <v>2325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4440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9" t="s">
        <v>26</v>
      </c>
      <c r="AA844" s="12" t="s">
        <v>31</v>
      </c>
    </row>
    <row r="845" spans="1:27" x14ac:dyDescent="0.25">
      <c r="A845" s="10">
        <v>45671</v>
      </c>
      <c r="B845" s="11" t="s">
        <v>2326</v>
      </c>
      <c r="C845" s="11" t="s">
        <v>2327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9" t="s">
        <v>26</v>
      </c>
      <c r="AA845" s="12" t="s">
        <v>31</v>
      </c>
    </row>
    <row r="846" spans="1:27" x14ac:dyDescent="0.25">
      <c r="A846" s="10">
        <v>45671</v>
      </c>
      <c r="B846" s="11" t="s">
        <v>2328</v>
      </c>
      <c r="C846" s="11" t="s">
        <v>2329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9" t="s">
        <v>26</v>
      </c>
      <c r="AA846" s="12" t="s">
        <v>31</v>
      </c>
    </row>
    <row r="847" spans="1:27" x14ac:dyDescent="0.25">
      <c r="A847" s="10">
        <v>45671</v>
      </c>
      <c r="B847" s="11" t="s">
        <v>2330</v>
      </c>
      <c r="C847" s="11" t="s">
        <v>2331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9" t="s">
        <v>26</v>
      </c>
      <c r="AA847" s="12" t="s">
        <v>31</v>
      </c>
    </row>
    <row r="848" spans="1:27" x14ac:dyDescent="0.25">
      <c r="A848" s="10">
        <v>45671</v>
      </c>
      <c r="B848" s="11" t="s">
        <v>2332</v>
      </c>
      <c r="C848" s="11" t="s">
        <v>2333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9" t="s">
        <v>26</v>
      </c>
      <c r="AA848" s="12" t="s">
        <v>31</v>
      </c>
    </row>
    <row r="849" spans="1:27" x14ac:dyDescent="0.25">
      <c r="A849" s="10">
        <v>45671</v>
      </c>
      <c r="B849" s="11" t="s">
        <v>2334</v>
      </c>
      <c r="C849" s="11" t="s">
        <v>2335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9" t="s">
        <v>26</v>
      </c>
      <c r="AA849" s="12" t="s">
        <v>31</v>
      </c>
    </row>
    <row r="850" spans="1:27" x14ac:dyDescent="0.25">
      <c r="A850" s="10">
        <v>45671</v>
      </c>
      <c r="B850" s="11" t="s">
        <v>2336</v>
      </c>
      <c r="C850" s="11" t="s">
        <v>2337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9" t="s">
        <v>26</v>
      </c>
      <c r="AA850" s="12" t="s">
        <v>31</v>
      </c>
    </row>
    <row r="851" spans="1:27" x14ac:dyDescent="0.25">
      <c r="A851" s="10">
        <v>45671</v>
      </c>
      <c r="B851" s="11" t="s">
        <v>2338</v>
      </c>
      <c r="C851" s="11" t="s">
        <v>2339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9" t="s">
        <v>26</v>
      </c>
      <c r="AA851" s="12" t="s">
        <v>31</v>
      </c>
    </row>
    <row r="852" spans="1:27" x14ac:dyDescent="0.25">
      <c r="A852" s="10">
        <v>45672</v>
      </c>
      <c r="B852" s="11" t="s">
        <v>2340</v>
      </c>
      <c r="C852" s="11" t="s">
        <v>2341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4440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9" t="s">
        <v>26</v>
      </c>
      <c r="AA852" s="12" t="s">
        <v>31</v>
      </c>
    </row>
    <row r="853" spans="1:27" x14ac:dyDescent="0.25">
      <c r="A853" s="10">
        <v>45672</v>
      </c>
      <c r="B853" s="11" t="s">
        <v>2342</v>
      </c>
      <c r="C853" s="11" t="s">
        <v>2343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4465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9" t="s">
        <v>26</v>
      </c>
      <c r="AA853" s="12" t="s">
        <v>31</v>
      </c>
    </row>
    <row r="854" spans="1:27" x14ac:dyDescent="0.25">
      <c r="A854" s="10">
        <v>45672</v>
      </c>
      <c r="B854" s="11" t="s">
        <v>549</v>
      </c>
      <c r="C854" s="11" t="s">
        <v>2344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6345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9" t="s">
        <v>26</v>
      </c>
      <c r="AA854" s="12" t="s">
        <v>31</v>
      </c>
    </row>
    <row r="855" spans="1:27" x14ac:dyDescent="0.25">
      <c r="A855" s="10">
        <v>45672</v>
      </c>
      <c r="B855" s="11" t="s">
        <v>554</v>
      </c>
      <c r="C855" s="11" t="s">
        <v>2345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4440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9" t="s">
        <v>26</v>
      </c>
      <c r="AA855" s="12" t="s">
        <v>31</v>
      </c>
    </row>
    <row r="856" spans="1:27" x14ac:dyDescent="0.25">
      <c r="A856" s="10">
        <v>45672</v>
      </c>
      <c r="B856" s="11" t="s">
        <v>2346</v>
      </c>
      <c r="C856" s="11" t="s">
        <v>2347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4465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9" t="s">
        <v>26</v>
      </c>
      <c r="AA856" s="12" t="s">
        <v>31</v>
      </c>
    </row>
    <row r="857" spans="1:27" x14ac:dyDescent="0.25">
      <c r="A857" s="10">
        <v>45672</v>
      </c>
      <c r="B857" s="11" t="s">
        <v>2348</v>
      </c>
      <c r="C857" s="11" t="s">
        <v>2349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4439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9" t="s">
        <v>141</v>
      </c>
      <c r="AA857" s="12" t="s">
        <v>78</v>
      </c>
    </row>
    <row r="858" spans="1:27" x14ac:dyDescent="0.25">
      <c r="A858" s="10">
        <v>45672</v>
      </c>
      <c r="B858" s="11" t="s">
        <v>2350</v>
      </c>
      <c r="C858" s="11" t="s">
        <v>2351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9" t="s">
        <v>26</v>
      </c>
      <c r="AA858" s="12" t="s">
        <v>31</v>
      </c>
    </row>
    <row r="859" spans="1:27" x14ac:dyDescent="0.25">
      <c r="A859" s="10">
        <v>45672</v>
      </c>
      <c r="B859" s="11" t="s">
        <v>2352</v>
      </c>
      <c r="C859" s="11" t="s">
        <v>2353</v>
      </c>
      <c r="D859" s="11" t="s">
        <v>26</v>
      </c>
      <c r="E859" s="11" t="s">
        <v>2126</v>
      </c>
      <c r="F859" s="11" t="s">
        <v>26</v>
      </c>
      <c r="G859" s="11" t="s">
        <v>26</v>
      </c>
      <c r="H859" s="12" t="s">
        <v>4439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9" t="s">
        <v>140</v>
      </c>
      <c r="AA859" s="12" t="s">
        <v>78</v>
      </c>
    </row>
    <row r="860" spans="1:27" x14ac:dyDescent="0.25">
      <c r="A860" s="10">
        <v>45672</v>
      </c>
      <c r="B860" s="11" t="s">
        <v>2354</v>
      </c>
      <c r="C860" s="11" t="s">
        <v>2355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9" t="s">
        <v>26</v>
      </c>
      <c r="AA860" s="12" t="s">
        <v>31</v>
      </c>
    </row>
    <row r="861" spans="1:27" x14ac:dyDescent="0.25">
      <c r="A861" s="10">
        <v>45672</v>
      </c>
      <c r="B861" s="11" t="s">
        <v>232</v>
      </c>
      <c r="C861" s="11" t="s">
        <v>2356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4439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9" t="s">
        <v>41</v>
      </c>
      <c r="AA861" s="12" t="s">
        <v>78</v>
      </c>
    </row>
    <row r="862" spans="1:27" x14ac:dyDescent="0.25">
      <c r="A862" s="10">
        <v>45672</v>
      </c>
      <c r="B862" s="11" t="s">
        <v>2357</v>
      </c>
      <c r="C862" s="11" t="s">
        <v>2358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9" t="s">
        <v>26</v>
      </c>
      <c r="AA862" s="12" t="s">
        <v>31</v>
      </c>
    </row>
    <row r="863" spans="1:27" x14ac:dyDescent="0.25">
      <c r="A863" s="10">
        <v>45672</v>
      </c>
      <c r="B863" s="11" t="s">
        <v>441</v>
      </c>
      <c r="C863" s="11" t="s">
        <v>2359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9" t="s">
        <v>26</v>
      </c>
      <c r="AA863" s="12" t="s">
        <v>31</v>
      </c>
    </row>
    <row r="864" spans="1:27" x14ac:dyDescent="0.25">
      <c r="A864" s="10">
        <v>45672</v>
      </c>
      <c r="B864" s="11" t="s">
        <v>545</v>
      </c>
      <c r="C864" s="11" t="s">
        <v>2360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9" t="s">
        <v>26</v>
      </c>
      <c r="AA864" s="12" t="s">
        <v>31</v>
      </c>
    </row>
    <row r="865" spans="1:27" x14ac:dyDescent="0.25">
      <c r="A865" s="10">
        <v>45672</v>
      </c>
      <c r="B865" s="11" t="s">
        <v>438</v>
      </c>
      <c r="C865" s="11" t="s">
        <v>2361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4439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9" t="s">
        <v>141</v>
      </c>
      <c r="AA865" s="12" t="s">
        <v>78</v>
      </c>
    </row>
    <row r="866" spans="1:27" x14ac:dyDescent="0.25">
      <c r="A866" s="10">
        <v>45672</v>
      </c>
      <c r="B866" s="11" t="s">
        <v>2362</v>
      </c>
      <c r="C866" s="11" t="s">
        <v>2363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9" t="s">
        <v>26</v>
      </c>
      <c r="AA866" s="12" t="s">
        <v>31</v>
      </c>
    </row>
    <row r="867" spans="1:27" x14ac:dyDescent="0.25">
      <c r="A867" s="10">
        <v>45672</v>
      </c>
      <c r="B867" s="11" t="s">
        <v>564</v>
      </c>
      <c r="C867" s="11" t="s">
        <v>2364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4439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9" t="s">
        <v>41</v>
      </c>
      <c r="AA867" s="12" t="s">
        <v>78</v>
      </c>
    </row>
    <row r="868" spans="1:27" x14ac:dyDescent="0.25">
      <c r="A868" s="10">
        <v>45672</v>
      </c>
      <c r="B868" s="11" t="s">
        <v>535</v>
      </c>
      <c r="C868" s="11" t="s">
        <v>2365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4439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9" t="s">
        <v>140</v>
      </c>
      <c r="AA868" s="12" t="s">
        <v>78</v>
      </c>
    </row>
    <row r="869" spans="1:27" x14ac:dyDescent="0.25">
      <c r="A869" s="10">
        <v>45672</v>
      </c>
      <c r="B869" s="11" t="s">
        <v>2366</v>
      </c>
      <c r="C869" s="11" t="s">
        <v>2367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4439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9" t="s">
        <v>140</v>
      </c>
      <c r="AA869" s="12" t="s">
        <v>78</v>
      </c>
    </row>
    <row r="870" spans="1:27" x14ac:dyDescent="0.25">
      <c r="A870" s="10">
        <v>45672</v>
      </c>
      <c r="B870" s="11" t="s">
        <v>2368</v>
      </c>
      <c r="C870" s="11" t="s">
        <v>2369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4463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9" t="s">
        <v>26</v>
      </c>
      <c r="AA870" s="12" t="s">
        <v>31</v>
      </c>
    </row>
    <row r="871" spans="1:27" x14ac:dyDescent="0.25">
      <c r="A871" s="10">
        <v>45672</v>
      </c>
      <c r="B871" s="11" t="s">
        <v>492</v>
      </c>
      <c r="C871" s="11" t="s">
        <v>2370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4439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9" t="s">
        <v>141</v>
      </c>
      <c r="AA871" s="12" t="s">
        <v>78</v>
      </c>
    </row>
    <row r="872" spans="1:27" x14ac:dyDescent="0.25">
      <c r="A872" s="10">
        <v>45672</v>
      </c>
      <c r="B872" s="11" t="s">
        <v>2371</v>
      </c>
      <c r="C872" s="11" t="s">
        <v>2372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4463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9" t="s">
        <v>26</v>
      </c>
      <c r="AA872" s="12" t="s">
        <v>31</v>
      </c>
    </row>
    <row r="873" spans="1:27" x14ac:dyDescent="0.25">
      <c r="A873" s="10">
        <v>45672</v>
      </c>
      <c r="B873" s="11" t="s">
        <v>603</v>
      </c>
      <c r="C873" s="11" t="s">
        <v>2373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4440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9" t="s">
        <v>26</v>
      </c>
      <c r="AA873" s="12" t="s">
        <v>31</v>
      </c>
    </row>
    <row r="874" spans="1:27" x14ac:dyDescent="0.25">
      <c r="A874" s="10">
        <v>45672</v>
      </c>
      <c r="B874" s="11" t="s">
        <v>2374</v>
      </c>
      <c r="C874" s="11" t="s">
        <v>2375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9" t="s">
        <v>26</v>
      </c>
      <c r="AA874" s="12" t="s">
        <v>31</v>
      </c>
    </row>
    <row r="875" spans="1:27" x14ac:dyDescent="0.25">
      <c r="A875" s="10">
        <v>45672</v>
      </c>
      <c r="B875" s="11" t="s">
        <v>2376</v>
      </c>
      <c r="C875" s="11" t="s">
        <v>2377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9" t="s">
        <v>26</v>
      </c>
      <c r="AA875" s="12" t="s">
        <v>31</v>
      </c>
    </row>
    <row r="876" spans="1:27" x14ac:dyDescent="0.25">
      <c r="A876" s="10">
        <v>45672</v>
      </c>
      <c r="B876" s="11" t="s">
        <v>2378</v>
      </c>
      <c r="C876" s="11" t="s">
        <v>2379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9" t="s">
        <v>26</v>
      </c>
      <c r="AA876" s="12" t="s">
        <v>31</v>
      </c>
    </row>
    <row r="877" spans="1:27" x14ac:dyDescent="0.25">
      <c r="A877" s="10">
        <v>45672</v>
      </c>
      <c r="B877" s="11" t="s">
        <v>2380</v>
      </c>
      <c r="C877" s="11" t="s">
        <v>2381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9" t="s">
        <v>26</v>
      </c>
      <c r="AA877" s="12" t="s">
        <v>31</v>
      </c>
    </row>
    <row r="878" spans="1:27" x14ac:dyDescent="0.25">
      <c r="A878" s="10">
        <v>45672</v>
      </c>
      <c r="B878" s="11" t="s">
        <v>2382</v>
      </c>
      <c r="C878" s="11" t="s">
        <v>2383</v>
      </c>
      <c r="D878" s="11" t="s">
        <v>26</v>
      </c>
      <c r="E878" s="11" t="s">
        <v>659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9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2384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4465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9" t="s">
        <v>26</v>
      </c>
      <c r="AA879" s="12" t="s">
        <v>31</v>
      </c>
    </row>
    <row r="880" spans="1:27" x14ac:dyDescent="0.25">
      <c r="A880" s="10">
        <v>45672</v>
      </c>
      <c r="B880" s="11" t="s">
        <v>2385</v>
      </c>
      <c r="C880" s="11" t="s">
        <v>2386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4463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9" t="s">
        <v>26</v>
      </c>
      <c r="AA880" s="12" t="s">
        <v>31</v>
      </c>
    </row>
    <row r="881" spans="1:27" x14ac:dyDescent="0.25">
      <c r="A881" s="10">
        <v>45672</v>
      </c>
      <c r="B881" s="11" t="s">
        <v>2387</v>
      </c>
      <c r="C881" s="11" t="s">
        <v>2388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4465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9" t="s">
        <v>26</v>
      </c>
      <c r="AA881" s="12" t="s">
        <v>31</v>
      </c>
    </row>
    <row r="882" spans="1:27" x14ac:dyDescent="0.25">
      <c r="A882" s="10">
        <v>45672</v>
      </c>
      <c r="B882" s="11" t="s">
        <v>2389</v>
      </c>
      <c r="C882" s="11" t="s">
        <v>2390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9" t="s">
        <v>26</v>
      </c>
      <c r="AA882" s="12" t="s">
        <v>31</v>
      </c>
    </row>
    <row r="883" spans="1:27" x14ac:dyDescent="0.25">
      <c r="A883" s="10">
        <v>45672</v>
      </c>
      <c r="B883" s="11" t="s">
        <v>493</v>
      </c>
      <c r="C883" s="11" t="s">
        <v>2391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4465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9" t="s">
        <v>26</v>
      </c>
      <c r="AA883" s="12" t="s">
        <v>31</v>
      </c>
    </row>
    <row r="884" spans="1:27" x14ac:dyDescent="0.25">
      <c r="A884" s="10">
        <v>45672</v>
      </c>
      <c r="B884" s="11" t="s">
        <v>537</v>
      </c>
      <c r="C884" s="11" t="s">
        <v>2392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9" t="s">
        <v>26</v>
      </c>
      <c r="AA884" s="12" t="s">
        <v>31</v>
      </c>
    </row>
    <row r="885" spans="1:27" x14ac:dyDescent="0.25">
      <c r="A885" s="10">
        <v>45672</v>
      </c>
      <c r="B885" s="11" t="s">
        <v>478</v>
      </c>
      <c r="C885" s="11" t="s">
        <v>2393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4440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9" t="s">
        <v>26</v>
      </c>
      <c r="AA885" s="12" t="s">
        <v>31</v>
      </c>
    </row>
    <row r="886" spans="1:27" x14ac:dyDescent="0.25">
      <c r="A886" s="10">
        <v>45672</v>
      </c>
      <c r="B886" s="11" t="s">
        <v>2394</v>
      </c>
      <c r="C886" s="11" t="s">
        <v>2395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9" t="s">
        <v>26</v>
      </c>
      <c r="AA886" s="12" t="s">
        <v>31</v>
      </c>
    </row>
    <row r="887" spans="1:27" x14ac:dyDescent="0.25">
      <c r="A887" s="10">
        <v>45672</v>
      </c>
      <c r="B887" s="11" t="s">
        <v>523</v>
      </c>
      <c r="C887" s="11" t="s">
        <v>2396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9" t="s">
        <v>26</v>
      </c>
      <c r="AA887" s="12" t="s">
        <v>31</v>
      </c>
    </row>
    <row r="888" spans="1:27" x14ac:dyDescent="0.25">
      <c r="A888" s="10">
        <v>45672</v>
      </c>
      <c r="B888" s="11" t="s">
        <v>528</v>
      </c>
      <c r="C888" s="11" t="s">
        <v>2397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9" t="s">
        <v>26</v>
      </c>
      <c r="AA888" s="12" t="s">
        <v>31</v>
      </c>
    </row>
    <row r="889" spans="1:27" x14ac:dyDescent="0.25">
      <c r="A889" s="10">
        <v>45672</v>
      </c>
      <c r="B889" s="11" t="s">
        <v>2398</v>
      </c>
      <c r="C889" s="11" t="s">
        <v>2399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4440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9" t="s">
        <v>26</v>
      </c>
      <c r="AA889" s="12" t="s">
        <v>31</v>
      </c>
    </row>
    <row r="890" spans="1:27" x14ac:dyDescent="0.25">
      <c r="A890" s="10">
        <v>45672</v>
      </c>
      <c r="B890" s="11" t="s">
        <v>2400</v>
      </c>
      <c r="C890" s="11" t="s">
        <v>2401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6345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9" t="s">
        <v>26</v>
      </c>
      <c r="AA890" s="12" t="s">
        <v>31</v>
      </c>
    </row>
    <row r="891" spans="1:27" x14ac:dyDescent="0.25">
      <c r="A891" s="10">
        <v>45672</v>
      </c>
      <c r="B891" s="11" t="s">
        <v>2402</v>
      </c>
      <c r="C891" s="11" t="s">
        <v>2403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9" t="s">
        <v>26</v>
      </c>
      <c r="AA891" s="12" t="s">
        <v>31</v>
      </c>
    </row>
    <row r="892" spans="1:27" x14ac:dyDescent="0.25">
      <c r="A892" s="10">
        <v>45672</v>
      </c>
      <c r="B892" s="11" t="s">
        <v>488</v>
      </c>
      <c r="C892" s="11" t="s">
        <v>2404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9" t="s">
        <v>26</v>
      </c>
      <c r="AA892" s="12" t="s">
        <v>31</v>
      </c>
    </row>
    <row r="893" spans="1:27" x14ac:dyDescent="0.25">
      <c r="A893" s="10">
        <v>45672</v>
      </c>
      <c r="B893" s="11" t="s">
        <v>2405</v>
      </c>
      <c r="C893" s="11" t="s">
        <v>2406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4439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9" t="s">
        <v>141</v>
      </c>
      <c r="AA893" s="12" t="s">
        <v>78</v>
      </c>
    </row>
    <row r="894" spans="1:27" x14ac:dyDescent="0.25">
      <c r="A894" s="10">
        <v>45672</v>
      </c>
      <c r="B894" s="11" t="s">
        <v>2407</v>
      </c>
      <c r="C894" s="11" t="s">
        <v>2408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9" t="s">
        <v>26</v>
      </c>
      <c r="AA894" s="12" t="s">
        <v>31</v>
      </c>
    </row>
    <row r="895" spans="1:27" x14ac:dyDescent="0.25">
      <c r="A895" s="10">
        <v>45672</v>
      </c>
      <c r="B895" s="11" t="s">
        <v>2409</v>
      </c>
      <c r="C895" s="11" t="s">
        <v>2410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6345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9" t="s">
        <v>26</v>
      </c>
      <c r="AA895" s="12" t="s">
        <v>31</v>
      </c>
    </row>
    <row r="896" spans="1:27" x14ac:dyDescent="0.25">
      <c r="A896" s="10">
        <v>45672</v>
      </c>
      <c r="B896" s="11" t="s">
        <v>2411</v>
      </c>
      <c r="C896" s="11" t="s">
        <v>2412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9" t="s">
        <v>26</v>
      </c>
      <c r="AA896" s="12" t="s">
        <v>31</v>
      </c>
    </row>
    <row r="897" spans="1:27" x14ac:dyDescent="0.25">
      <c r="A897" s="10">
        <v>45672</v>
      </c>
      <c r="B897" s="11" t="s">
        <v>2413</v>
      </c>
      <c r="C897" s="11" t="s">
        <v>2414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9" t="s">
        <v>26</v>
      </c>
      <c r="AA897" s="12" t="s">
        <v>31</v>
      </c>
    </row>
    <row r="898" spans="1:27" x14ac:dyDescent="0.25">
      <c r="A898" s="10">
        <v>45672</v>
      </c>
      <c r="B898" s="11" t="s">
        <v>2415</v>
      </c>
      <c r="C898" s="11" t="s">
        <v>2416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4463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9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2417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9" t="s">
        <v>26</v>
      </c>
      <c r="AA899" s="12" t="s">
        <v>31</v>
      </c>
    </row>
    <row r="900" spans="1:27" x14ac:dyDescent="0.25">
      <c r="A900" s="10">
        <v>45672</v>
      </c>
      <c r="B900" s="11" t="s">
        <v>547</v>
      </c>
      <c r="C900" s="11" t="s">
        <v>2418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9" t="s">
        <v>26</v>
      </c>
      <c r="AA900" s="12" t="s">
        <v>31</v>
      </c>
    </row>
    <row r="901" spans="1:27" x14ac:dyDescent="0.25">
      <c r="A901" s="10">
        <v>45672</v>
      </c>
      <c r="B901" s="11" t="s">
        <v>2419</v>
      </c>
      <c r="C901" s="11" t="s">
        <v>2420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4465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9" t="s">
        <v>26</v>
      </c>
      <c r="AA901" s="12" t="s">
        <v>31</v>
      </c>
    </row>
    <row r="902" spans="1:27" x14ac:dyDescent="0.25">
      <c r="A902" s="10">
        <v>45672</v>
      </c>
      <c r="B902" s="11" t="s">
        <v>555</v>
      </c>
      <c r="C902" s="11" t="s">
        <v>2421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4463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9" t="s">
        <v>26</v>
      </c>
      <c r="AA902" s="12" t="s">
        <v>31</v>
      </c>
    </row>
    <row r="903" spans="1:27" x14ac:dyDescent="0.25">
      <c r="A903" s="10">
        <v>45672</v>
      </c>
      <c r="B903" s="11" t="s">
        <v>2422</v>
      </c>
      <c r="C903" s="11" t="s">
        <v>2423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9" t="s">
        <v>26</v>
      </c>
      <c r="AA903" s="12" t="s">
        <v>31</v>
      </c>
    </row>
    <row r="904" spans="1:27" x14ac:dyDescent="0.25">
      <c r="A904" s="10">
        <v>45672</v>
      </c>
      <c r="B904" s="11" t="s">
        <v>2424</v>
      </c>
      <c r="C904" s="11" t="s">
        <v>2425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4465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9" t="s">
        <v>26</v>
      </c>
      <c r="AA904" s="12" t="s">
        <v>31</v>
      </c>
    </row>
    <row r="905" spans="1:27" x14ac:dyDescent="0.25">
      <c r="A905" s="10">
        <v>45672</v>
      </c>
      <c r="B905" s="11" t="s">
        <v>2426</v>
      </c>
      <c r="C905" s="11" t="s">
        <v>2427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4440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9" t="s">
        <v>26</v>
      </c>
      <c r="AA905" s="12" t="s">
        <v>31</v>
      </c>
    </row>
    <row r="906" spans="1:27" x14ac:dyDescent="0.25">
      <c r="A906" s="10">
        <v>45672</v>
      </c>
      <c r="B906" s="11" t="s">
        <v>225</v>
      </c>
      <c r="C906" s="11" t="s">
        <v>2428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4440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9" t="s">
        <v>26</v>
      </c>
      <c r="AA906" s="12" t="s">
        <v>31</v>
      </c>
    </row>
    <row r="907" spans="1:27" x14ac:dyDescent="0.25">
      <c r="A907" s="10">
        <v>45672</v>
      </c>
      <c r="B907" s="11" t="s">
        <v>2429</v>
      </c>
      <c r="C907" s="11" t="s">
        <v>2430</v>
      </c>
      <c r="D907" s="11" t="s">
        <v>26</v>
      </c>
      <c r="E907" s="11" t="s">
        <v>1217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9" t="s">
        <v>26</v>
      </c>
      <c r="AA907" s="12" t="s">
        <v>31</v>
      </c>
    </row>
    <row r="908" spans="1:27" x14ac:dyDescent="0.25">
      <c r="A908" s="10">
        <v>45672</v>
      </c>
      <c r="B908" s="11" t="s">
        <v>178</v>
      </c>
      <c r="C908" s="11" t="s">
        <v>2431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4463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9" t="s">
        <v>26</v>
      </c>
      <c r="AA908" s="12" t="s">
        <v>31</v>
      </c>
    </row>
    <row r="909" spans="1:27" x14ac:dyDescent="0.25">
      <c r="A909" s="10">
        <v>45672</v>
      </c>
      <c r="B909" s="11" t="s">
        <v>2432</v>
      </c>
      <c r="C909" s="11" t="s">
        <v>2433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9" t="s">
        <v>26</v>
      </c>
      <c r="AA909" s="12" t="s">
        <v>31</v>
      </c>
    </row>
    <row r="910" spans="1:27" x14ac:dyDescent="0.25">
      <c r="A910" s="10">
        <v>45672</v>
      </c>
      <c r="B910" s="11" t="s">
        <v>2434</v>
      </c>
      <c r="C910" s="11" t="s">
        <v>2435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9" t="s">
        <v>26</v>
      </c>
      <c r="AA910" s="12" t="s">
        <v>31</v>
      </c>
    </row>
    <row r="911" spans="1:27" x14ac:dyDescent="0.25">
      <c r="A911" s="10">
        <v>45672</v>
      </c>
      <c r="B911" s="11" t="s">
        <v>522</v>
      </c>
      <c r="C911" s="11" t="s">
        <v>2436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9" t="s">
        <v>26</v>
      </c>
      <c r="AA911" s="12" t="s">
        <v>31</v>
      </c>
    </row>
    <row r="912" spans="1:27" x14ac:dyDescent="0.25">
      <c r="A912" s="10">
        <v>45672</v>
      </c>
      <c r="B912" s="11" t="s">
        <v>2437</v>
      </c>
      <c r="C912" s="11" t="s">
        <v>2438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4440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9" t="s">
        <v>26</v>
      </c>
      <c r="AA912" s="12" t="s">
        <v>31</v>
      </c>
    </row>
    <row r="913" spans="1:27" x14ac:dyDescent="0.25">
      <c r="A913" s="10">
        <v>45672</v>
      </c>
      <c r="B913" s="11" t="s">
        <v>2439</v>
      </c>
      <c r="C913" s="11" t="s">
        <v>2440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4440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9" t="s">
        <v>26</v>
      </c>
      <c r="AA913" s="12" t="s">
        <v>31</v>
      </c>
    </row>
    <row r="914" spans="1:27" x14ac:dyDescent="0.25">
      <c r="A914" s="10">
        <v>45672</v>
      </c>
      <c r="B914" s="11" t="s">
        <v>2441</v>
      </c>
      <c r="C914" s="11" t="s">
        <v>2442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9" t="s">
        <v>26</v>
      </c>
      <c r="AA914" s="12" t="s">
        <v>31</v>
      </c>
    </row>
    <row r="915" spans="1:27" x14ac:dyDescent="0.25">
      <c r="A915" s="10">
        <v>45672</v>
      </c>
      <c r="B915" s="11" t="s">
        <v>2443</v>
      </c>
      <c r="C915" s="11" t="s">
        <v>2444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9" t="s">
        <v>26</v>
      </c>
      <c r="AA915" s="12" t="s">
        <v>31</v>
      </c>
    </row>
    <row r="916" spans="1:27" x14ac:dyDescent="0.25">
      <c r="A916" s="10">
        <v>45672</v>
      </c>
      <c r="B916" s="11" t="s">
        <v>756</v>
      </c>
      <c r="C916" s="11" t="s">
        <v>2445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9" t="s">
        <v>26</v>
      </c>
      <c r="AA916" s="12" t="s">
        <v>31</v>
      </c>
    </row>
    <row r="917" spans="1:27" x14ac:dyDescent="0.25">
      <c r="A917" s="10">
        <v>45672</v>
      </c>
      <c r="B917" s="11" t="s">
        <v>2446</v>
      </c>
      <c r="C917" s="11" t="s">
        <v>2447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9" t="s">
        <v>26</v>
      </c>
      <c r="AA917" s="12" t="s">
        <v>31</v>
      </c>
    </row>
    <row r="918" spans="1:27" x14ac:dyDescent="0.25">
      <c r="A918" s="10">
        <v>45672</v>
      </c>
      <c r="B918" s="11" t="s">
        <v>2448</v>
      </c>
      <c r="C918" s="11" t="s">
        <v>2449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9" t="s">
        <v>26</v>
      </c>
      <c r="AA918" s="12" t="s">
        <v>31</v>
      </c>
    </row>
    <row r="919" spans="1:27" x14ac:dyDescent="0.25">
      <c r="A919" s="10">
        <v>45672</v>
      </c>
      <c r="B919" s="11" t="s">
        <v>2450</v>
      </c>
      <c r="C919" s="11" t="s">
        <v>2451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9" t="s">
        <v>26</v>
      </c>
      <c r="AA919" s="12" t="s">
        <v>31</v>
      </c>
    </row>
    <row r="920" spans="1:27" x14ac:dyDescent="0.25">
      <c r="A920" s="10">
        <v>45672</v>
      </c>
      <c r="B920" s="11" t="s">
        <v>2452</v>
      </c>
      <c r="C920" s="11" t="s">
        <v>2453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9" t="s">
        <v>26</v>
      </c>
      <c r="AA920" s="12" t="s">
        <v>31</v>
      </c>
    </row>
    <row r="921" spans="1:27" x14ac:dyDescent="0.25">
      <c r="A921" s="10">
        <v>45672</v>
      </c>
      <c r="B921" s="11" t="s">
        <v>2454</v>
      </c>
      <c r="C921" s="11" t="s">
        <v>2455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4440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9" t="s">
        <v>26</v>
      </c>
      <c r="AA921" s="12" t="s">
        <v>31</v>
      </c>
    </row>
    <row r="922" spans="1:27" x14ac:dyDescent="0.25">
      <c r="A922" s="10">
        <v>45672</v>
      </c>
      <c r="B922" s="11" t="s">
        <v>2456</v>
      </c>
      <c r="C922" s="11" t="s">
        <v>2457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4439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9" t="s">
        <v>41</v>
      </c>
      <c r="AA922" s="12" t="s">
        <v>78</v>
      </c>
    </row>
    <row r="923" spans="1:27" x14ac:dyDescent="0.25">
      <c r="A923" s="10">
        <v>45672</v>
      </c>
      <c r="B923" s="11" t="s">
        <v>2458</v>
      </c>
      <c r="C923" s="11" t="s">
        <v>2459</v>
      </c>
      <c r="D923" s="11" t="s">
        <v>26</v>
      </c>
      <c r="E923" s="11" t="s">
        <v>1217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9" t="s">
        <v>26</v>
      </c>
      <c r="AA923" s="12" t="s">
        <v>31</v>
      </c>
    </row>
    <row r="924" spans="1:27" x14ac:dyDescent="0.25">
      <c r="A924" s="10">
        <v>45672</v>
      </c>
      <c r="B924" s="11" t="s">
        <v>2460</v>
      </c>
      <c r="C924" s="11" t="s">
        <v>2461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9" t="s">
        <v>26</v>
      </c>
      <c r="AA924" s="12" t="s">
        <v>31</v>
      </c>
    </row>
    <row r="925" spans="1:27" x14ac:dyDescent="0.25">
      <c r="A925" s="10">
        <v>45672</v>
      </c>
      <c r="B925" s="11" t="s">
        <v>2462</v>
      </c>
      <c r="C925" s="11" t="s">
        <v>2463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4439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9" t="s">
        <v>140</v>
      </c>
      <c r="AA925" s="12" t="s">
        <v>78</v>
      </c>
    </row>
    <row r="926" spans="1:27" x14ac:dyDescent="0.25">
      <c r="A926" s="10">
        <v>45673</v>
      </c>
      <c r="B926" s="11" t="s">
        <v>696</v>
      </c>
      <c r="C926" s="11" t="s">
        <v>2464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4465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9" t="s">
        <v>26</v>
      </c>
      <c r="AA926" s="12" t="s">
        <v>31</v>
      </c>
    </row>
    <row r="927" spans="1:27" x14ac:dyDescent="0.25">
      <c r="A927" s="10">
        <v>45673</v>
      </c>
      <c r="B927" s="11" t="s">
        <v>2465</v>
      </c>
      <c r="C927" s="11" t="s">
        <v>2466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4465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9" t="s">
        <v>26</v>
      </c>
      <c r="AA927" s="12" t="s">
        <v>31</v>
      </c>
    </row>
    <row r="928" spans="1:27" x14ac:dyDescent="0.25">
      <c r="A928" s="10">
        <v>45673</v>
      </c>
      <c r="B928" s="11" t="s">
        <v>2467</v>
      </c>
      <c r="C928" s="11" t="s">
        <v>2468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4440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9" t="s">
        <v>26</v>
      </c>
      <c r="AA928" s="12" t="s">
        <v>31</v>
      </c>
    </row>
    <row r="929" spans="1:27" x14ac:dyDescent="0.25">
      <c r="A929" s="10">
        <v>45673</v>
      </c>
      <c r="B929" s="11" t="s">
        <v>266</v>
      </c>
      <c r="C929" s="11" t="s">
        <v>2469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4439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9" t="s">
        <v>141</v>
      </c>
      <c r="AA929" s="12" t="s">
        <v>78</v>
      </c>
    </row>
    <row r="930" spans="1:27" x14ac:dyDescent="0.25">
      <c r="A930" s="10">
        <v>45673</v>
      </c>
      <c r="B930" s="11" t="s">
        <v>2470</v>
      </c>
      <c r="C930" s="11" t="s">
        <v>2471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4465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9" t="s">
        <v>26</v>
      </c>
      <c r="AA930" s="12" t="s">
        <v>31</v>
      </c>
    </row>
    <row r="931" spans="1:27" x14ac:dyDescent="0.25">
      <c r="A931" s="10">
        <v>45673</v>
      </c>
      <c r="B931" s="11" t="s">
        <v>2472</v>
      </c>
      <c r="C931" s="11" t="s">
        <v>2473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4439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9" t="s">
        <v>141</v>
      </c>
      <c r="AA931" s="12" t="s">
        <v>78</v>
      </c>
    </row>
    <row r="932" spans="1:27" x14ac:dyDescent="0.25">
      <c r="A932" s="10">
        <v>45673</v>
      </c>
      <c r="B932" s="11" t="s">
        <v>1377</v>
      </c>
      <c r="C932" s="11" t="s">
        <v>2474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9" t="s">
        <v>26</v>
      </c>
      <c r="AA932" s="12" t="s">
        <v>31</v>
      </c>
    </row>
    <row r="933" spans="1:27" x14ac:dyDescent="0.25">
      <c r="A933" s="10">
        <v>45673</v>
      </c>
      <c r="B933" s="11" t="s">
        <v>2475</v>
      </c>
      <c r="C933" s="11" t="s">
        <v>2476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4439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9" t="s">
        <v>140</v>
      </c>
      <c r="AA933" s="12" t="s">
        <v>78</v>
      </c>
    </row>
    <row r="934" spans="1:27" x14ac:dyDescent="0.25">
      <c r="A934" s="10">
        <v>45673</v>
      </c>
      <c r="B934" s="11" t="s">
        <v>2477</v>
      </c>
      <c r="C934" s="11" t="s">
        <v>2478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4440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9" t="s">
        <v>26</v>
      </c>
      <c r="AA934" s="12" t="s">
        <v>31</v>
      </c>
    </row>
    <row r="935" spans="1:27" x14ac:dyDescent="0.25">
      <c r="A935" s="10">
        <v>45673</v>
      </c>
      <c r="B935" s="11" t="s">
        <v>2479</v>
      </c>
      <c r="C935" s="11" t="s">
        <v>2480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9" t="s">
        <v>26</v>
      </c>
      <c r="AA935" s="12" t="s">
        <v>31</v>
      </c>
    </row>
    <row r="936" spans="1:27" x14ac:dyDescent="0.25">
      <c r="A936" s="10">
        <v>45673</v>
      </c>
      <c r="B936" s="11" t="s">
        <v>2481</v>
      </c>
      <c r="C936" s="11" t="s">
        <v>2482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9" t="s">
        <v>26</v>
      </c>
      <c r="AA936" s="12" t="s">
        <v>31</v>
      </c>
    </row>
    <row r="937" spans="1:27" x14ac:dyDescent="0.25">
      <c r="A937" s="10">
        <v>45673</v>
      </c>
      <c r="B937" s="11" t="s">
        <v>683</v>
      </c>
      <c r="C937" s="11" t="s">
        <v>2483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9" t="s">
        <v>26</v>
      </c>
      <c r="AA937" s="12" t="s">
        <v>31</v>
      </c>
    </row>
    <row r="938" spans="1:27" x14ac:dyDescent="0.25">
      <c r="A938" s="10">
        <v>45673</v>
      </c>
      <c r="B938" s="11" t="s">
        <v>472</v>
      </c>
      <c r="C938" s="11" t="s">
        <v>2484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9" t="s">
        <v>26</v>
      </c>
      <c r="AA938" s="12" t="s">
        <v>31</v>
      </c>
    </row>
    <row r="939" spans="1:27" x14ac:dyDescent="0.25">
      <c r="A939" s="10">
        <v>45673</v>
      </c>
      <c r="B939" s="11" t="s">
        <v>737</v>
      </c>
      <c r="C939" s="11" t="s">
        <v>2485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4440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9" t="s">
        <v>26</v>
      </c>
      <c r="AA939" s="12" t="s">
        <v>31</v>
      </c>
    </row>
    <row r="940" spans="1:27" x14ac:dyDescent="0.25">
      <c r="A940" s="10">
        <v>45673</v>
      </c>
      <c r="B940" s="11" t="s">
        <v>754</v>
      </c>
      <c r="C940" s="11" t="s">
        <v>2486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4440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9" t="s">
        <v>26</v>
      </c>
      <c r="AA940" s="12" t="s">
        <v>31</v>
      </c>
    </row>
    <row r="941" spans="1:27" x14ac:dyDescent="0.25">
      <c r="A941" s="10">
        <v>45673</v>
      </c>
      <c r="B941" s="11" t="s">
        <v>2487</v>
      </c>
      <c r="C941" s="11" t="s">
        <v>2488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9" t="s">
        <v>26</v>
      </c>
      <c r="AA941" s="12" t="s">
        <v>31</v>
      </c>
    </row>
    <row r="942" spans="1:27" x14ac:dyDescent="0.25">
      <c r="A942" s="10">
        <v>45673</v>
      </c>
      <c r="B942" s="11" t="s">
        <v>1449</v>
      </c>
      <c r="C942" s="11" t="s">
        <v>2489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4439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9" t="s">
        <v>140</v>
      </c>
      <c r="AA942" s="12" t="s">
        <v>78</v>
      </c>
    </row>
    <row r="943" spans="1:27" x14ac:dyDescent="0.25">
      <c r="A943" s="10">
        <v>45673</v>
      </c>
      <c r="B943" s="11" t="s">
        <v>188</v>
      </c>
      <c r="C943" s="11" t="s">
        <v>2490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9" t="s">
        <v>26</v>
      </c>
      <c r="AA943" s="12" t="s">
        <v>31</v>
      </c>
    </row>
    <row r="944" spans="1:27" x14ac:dyDescent="0.25">
      <c r="A944" s="10">
        <v>45673</v>
      </c>
      <c r="B944" s="11" t="s">
        <v>391</v>
      </c>
      <c r="C944" s="11" t="s">
        <v>2491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4439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9" t="s">
        <v>140</v>
      </c>
      <c r="AA944" s="12" t="s">
        <v>78</v>
      </c>
    </row>
    <row r="945" spans="1:27" x14ac:dyDescent="0.25">
      <c r="A945" s="10">
        <v>45673</v>
      </c>
      <c r="B945" s="11" t="s">
        <v>2492</v>
      </c>
      <c r="C945" s="11" t="s">
        <v>2493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9" t="s">
        <v>26</v>
      </c>
      <c r="AA945" s="12" t="s">
        <v>31</v>
      </c>
    </row>
    <row r="946" spans="1:27" x14ac:dyDescent="0.25">
      <c r="A946" s="10">
        <v>45673</v>
      </c>
      <c r="B946" s="11" t="s">
        <v>2494</v>
      </c>
      <c r="C946" s="11" t="s">
        <v>2495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9" t="s">
        <v>41</v>
      </c>
      <c r="AA946" s="12" t="s">
        <v>79</v>
      </c>
    </row>
    <row r="947" spans="1:27" x14ac:dyDescent="0.25">
      <c r="A947" s="10">
        <v>45673</v>
      </c>
      <c r="B947" s="11" t="s">
        <v>2496</v>
      </c>
      <c r="C947" s="11" t="s">
        <v>2497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4440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9" t="s">
        <v>26</v>
      </c>
      <c r="AA947" s="12" t="s">
        <v>31</v>
      </c>
    </row>
    <row r="948" spans="1:27" x14ac:dyDescent="0.25">
      <c r="A948" s="10">
        <v>45673</v>
      </c>
      <c r="B948" s="11" t="s">
        <v>468</v>
      </c>
      <c r="C948" s="11" t="s">
        <v>2498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4463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9" t="s">
        <v>26</v>
      </c>
      <c r="AA948" s="12" t="s">
        <v>31</v>
      </c>
    </row>
    <row r="949" spans="1:27" x14ac:dyDescent="0.25">
      <c r="A949" s="10">
        <v>45673</v>
      </c>
      <c r="B949" s="11" t="s">
        <v>387</v>
      </c>
      <c r="C949" s="11" t="s">
        <v>2499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4463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9" t="s">
        <v>26</v>
      </c>
      <c r="AA949" s="12" t="s">
        <v>31</v>
      </c>
    </row>
    <row r="950" spans="1:27" x14ac:dyDescent="0.25">
      <c r="A950" s="10">
        <v>45673</v>
      </c>
      <c r="B950" s="11" t="s">
        <v>1213</v>
      </c>
      <c r="C950" s="11" t="s">
        <v>2500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4463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9" t="s">
        <v>26</v>
      </c>
      <c r="AA950" s="12" t="s">
        <v>31</v>
      </c>
    </row>
    <row r="951" spans="1:27" x14ac:dyDescent="0.25">
      <c r="A951" s="10">
        <v>45673</v>
      </c>
      <c r="B951" s="11" t="s">
        <v>464</v>
      </c>
      <c r="C951" s="11" t="s">
        <v>2501</v>
      </c>
      <c r="D951" s="11" t="s">
        <v>26</v>
      </c>
      <c r="E951" s="11" t="s">
        <v>1217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9" t="s">
        <v>26</v>
      </c>
      <c r="AA951" s="12" t="s">
        <v>31</v>
      </c>
    </row>
    <row r="952" spans="1:27" x14ac:dyDescent="0.25">
      <c r="A952" s="10">
        <v>45673</v>
      </c>
      <c r="B952" s="11" t="s">
        <v>729</v>
      </c>
      <c r="C952" s="11" t="s">
        <v>2502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9" t="s">
        <v>26</v>
      </c>
      <c r="AA952" s="12" t="s">
        <v>31</v>
      </c>
    </row>
    <row r="953" spans="1:27" x14ac:dyDescent="0.25">
      <c r="A953" s="10">
        <v>45673</v>
      </c>
      <c r="B953" s="11" t="s">
        <v>703</v>
      </c>
      <c r="C953" s="11" t="s">
        <v>2503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4439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9" t="s">
        <v>565</v>
      </c>
      <c r="AA953" s="12" t="s">
        <v>78</v>
      </c>
    </row>
    <row r="954" spans="1:27" x14ac:dyDescent="0.25">
      <c r="A954" s="10">
        <v>45673</v>
      </c>
      <c r="B954" s="11" t="s">
        <v>428</v>
      </c>
      <c r="C954" s="11" t="s">
        <v>2504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4465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9" t="s">
        <v>26</v>
      </c>
      <c r="AA954" s="12" t="s">
        <v>31</v>
      </c>
    </row>
    <row r="955" spans="1:27" x14ac:dyDescent="0.25">
      <c r="A955" s="10">
        <v>45673</v>
      </c>
      <c r="B955" s="11" t="s">
        <v>2505</v>
      </c>
      <c r="C955" s="11" t="s">
        <v>2506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4465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9" t="s">
        <v>26</v>
      </c>
      <c r="AA955" s="12" t="s">
        <v>31</v>
      </c>
    </row>
    <row r="956" spans="1:27" x14ac:dyDescent="0.25">
      <c r="A956" s="10">
        <v>45673</v>
      </c>
      <c r="B956" s="11" t="s">
        <v>452</v>
      </c>
      <c r="C956" s="11" t="s">
        <v>2507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4439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9" t="s">
        <v>141</v>
      </c>
      <c r="AA956" s="12" t="s">
        <v>78</v>
      </c>
    </row>
    <row r="957" spans="1:27" x14ac:dyDescent="0.25">
      <c r="A957" s="10">
        <v>45673</v>
      </c>
      <c r="B957" s="11" t="s">
        <v>423</v>
      </c>
      <c r="C957" s="11" t="s">
        <v>2508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9" t="s">
        <v>26</v>
      </c>
      <c r="AA957" s="12" t="s">
        <v>31</v>
      </c>
    </row>
    <row r="958" spans="1:27" x14ac:dyDescent="0.25">
      <c r="A958" s="10">
        <v>45673</v>
      </c>
      <c r="B958" s="11" t="s">
        <v>274</v>
      </c>
      <c r="C958" s="11" t="s">
        <v>2509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9" t="s">
        <v>26</v>
      </c>
      <c r="AA958" s="12" t="s">
        <v>31</v>
      </c>
    </row>
    <row r="959" spans="1:27" x14ac:dyDescent="0.25">
      <c r="A959" s="10">
        <v>45673</v>
      </c>
      <c r="B959" s="11" t="s">
        <v>2510</v>
      </c>
      <c r="C959" s="11" t="s">
        <v>2511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9" t="s">
        <v>26</v>
      </c>
      <c r="AA959" s="12" t="s">
        <v>31</v>
      </c>
    </row>
    <row r="960" spans="1:27" x14ac:dyDescent="0.25">
      <c r="A960" s="10">
        <v>45673</v>
      </c>
      <c r="B960" s="11" t="s">
        <v>2512</v>
      </c>
      <c r="C960" s="11" t="s">
        <v>2513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4440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9" t="s">
        <v>26</v>
      </c>
      <c r="AA960" s="12" t="s">
        <v>31</v>
      </c>
    </row>
    <row r="961" spans="1:27" x14ac:dyDescent="0.25">
      <c r="A961" s="10">
        <v>45673</v>
      </c>
      <c r="B961" s="11" t="s">
        <v>2514</v>
      </c>
      <c r="C961" s="11" t="s">
        <v>2515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9" t="s">
        <v>26</v>
      </c>
      <c r="AA961" s="12" t="s">
        <v>31</v>
      </c>
    </row>
    <row r="962" spans="1:27" x14ac:dyDescent="0.25">
      <c r="A962" s="10">
        <v>45673</v>
      </c>
      <c r="B962" s="11" t="s">
        <v>627</v>
      </c>
      <c r="C962" s="11" t="s">
        <v>2516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9" t="s">
        <v>26</v>
      </c>
      <c r="AA962" s="12" t="s">
        <v>31</v>
      </c>
    </row>
    <row r="963" spans="1:27" x14ac:dyDescent="0.25">
      <c r="A963" s="10">
        <v>45673</v>
      </c>
      <c r="B963" s="11" t="s">
        <v>386</v>
      </c>
      <c r="C963" s="11" t="s">
        <v>2517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9" t="s">
        <v>26</v>
      </c>
      <c r="AA963" s="12" t="s">
        <v>31</v>
      </c>
    </row>
    <row r="964" spans="1:27" x14ac:dyDescent="0.25">
      <c r="A964" s="10">
        <v>45673</v>
      </c>
      <c r="B964" s="11" t="s">
        <v>2487</v>
      </c>
      <c r="C964" s="11" t="s">
        <v>2518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9" t="s">
        <v>26</v>
      </c>
      <c r="AA964" s="12" t="s">
        <v>31</v>
      </c>
    </row>
    <row r="965" spans="1:27" x14ac:dyDescent="0.25">
      <c r="A965" s="10">
        <v>45673</v>
      </c>
      <c r="B965" s="11" t="s">
        <v>2519</v>
      </c>
      <c r="C965" s="11" t="s">
        <v>2520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9" t="s">
        <v>26</v>
      </c>
      <c r="AA965" s="12" t="s">
        <v>31</v>
      </c>
    </row>
    <row r="966" spans="1:27" x14ac:dyDescent="0.25">
      <c r="A966" s="10">
        <v>45673</v>
      </c>
      <c r="B966" s="11" t="s">
        <v>365</v>
      </c>
      <c r="C966" s="11" t="s">
        <v>2521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9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2522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9" t="s">
        <v>26</v>
      </c>
      <c r="AA967" s="12" t="s">
        <v>31</v>
      </c>
    </row>
    <row r="968" spans="1:27" x14ac:dyDescent="0.25">
      <c r="A968" s="10">
        <v>45673</v>
      </c>
      <c r="B968" s="11" t="s">
        <v>2523</v>
      </c>
      <c r="C968" s="11" t="s">
        <v>2524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4440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9" t="s">
        <v>26</v>
      </c>
      <c r="AA968" s="12" t="s">
        <v>31</v>
      </c>
    </row>
    <row r="969" spans="1:27" x14ac:dyDescent="0.25">
      <c r="A969" s="10">
        <v>45673</v>
      </c>
      <c r="B969" s="11" t="s">
        <v>2022</v>
      </c>
      <c r="C969" s="11" t="s">
        <v>2525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9" t="s">
        <v>26</v>
      </c>
      <c r="AA969" s="12" t="s">
        <v>31</v>
      </c>
    </row>
    <row r="970" spans="1:27" x14ac:dyDescent="0.25">
      <c r="A970" s="10">
        <v>45673</v>
      </c>
      <c r="B970" s="11" t="s">
        <v>1332</v>
      </c>
      <c r="C970" s="11" t="s">
        <v>2526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4463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9" t="s">
        <v>26</v>
      </c>
      <c r="AA970" s="12" t="s">
        <v>31</v>
      </c>
    </row>
    <row r="971" spans="1:27" x14ac:dyDescent="0.25">
      <c r="A971" s="10">
        <v>45673</v>
      </c>
      <c r="B971" s="11" t="s">
        <v>2527</v>
      </c>
      <c r="C971" s="11" t="s">
        <v>2528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9" t="s">
        <v>26</v>
      </c>
      <c r="AA971" s="12" t="s">
        <v>31</v>
      </c>
    </row>
    <row r="972" spans="1:27" x14ac:dyDescent="0.25">
      <c r="A972" s="10">
        <v>45673</v>
      </c>
      <c r="B972" s="11" t="s">
        <v>1318</v>
      </c>
      <c r="C972" s="11" t="s">
        <v>2529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4439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9" t="s">
        <v>565</v>
      </c>
      <c r="AA972" s="12" t="s">
        <v>78</v>
      </c>
    </row>
    <row r="973" spans="1:27" x14ac:dyDescent="0.25">
      <c r="A973" s="10">
        <v>45673</v>
      </c>
      <c r="B973" s="11" t="s">
        <v>2530</v>
      </c>
      <c r="C973" s="11" t="s">
        <v>2531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4465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9" t="s">
        <v>26</v>
      </c>
      <c r="AA973" s="12" t="s">
        <v>31</v>
      </c>
    </row>
    <row r="974" spans="1:27" x14ac:dyDescent="0.25">
      <c r="A974" s="10">
        <v>45673</v>
      </c>
      <c r="B974" s="11" t="s">
        <v>2532</v>
      </c>
      <c r="C974" s="11" t="s">
        <v>2533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9" t="s">
        <v>26</v>
      </c>
      <c r="AA974" s="12" t="s">
        <v>31</v>
      </c>
    </row>
    <row r="975" spans="1:27" x14ac:dyDescent="0.25">
      <c r="A975" s="10">
        <v>45673</v>
      </c>
      <c r="B975" s="11" t="s">
        <v>715</v>
      </c>
      <c r="C975" s="11" t="s">
        <v>2534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9" t="s">
        <v>26</v>
      </c>
      <c r="AA975" s="12" t="s">
        <v>31</v>
      </c>
    </row>
    <row r="976" spans="1:27" x14ac:dyDescent="0.25">
      <c r="A976" s="10">
        <v>45673</v>
      </c>
      <c r="B976" s="11" t="s">
        <v>2535</v>
      </c>
      <c r="C976" s="11" t="s">
        <v>2536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9" t="s">
        <v>26</v>
      </c>
      <c r="AA976" s="12" t="s">
        <v>31</v>
      </c>
    </row>
    <row r="977" spans="1:27" x14ac:dyDescent="0.25">
      <c r="A977" s="10">
        <v>45673</v>
      </c>
      <c r="B977" s="11" t="s">
        <v>2481</v>
      </c>
      <c r="C977" s="11" t="s">
        <v>2537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9" t="s">
        <v>26</v>
      </c>
      <c r="AA977" s="12" t="s">
        <v>31</v>
      </c>
    </row>
    <row r="978" spans="1:27" x14ac:dyDescent="0.25">
      <c r="A978" s="10">
        <v>45673</v>
      </c>
      <c r="B978" s="11" t="s">
        <v>234</v>
      </c>
      <c r="C978" s="11" t="s">
        <v>2538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4439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9" t="s">
        <v>140</v>
      </c>
      <c r="AA978" s="12" t="s">
        <v>78</v>
      </c>
    </row>
    <row r="979" spans="1:27" x14ac:dyDescent="0.25">
      <c r="A979" s="10">
        <v>45673</v>
      </c>
      <c r="B979" s="11" t="s">
        <v>234</v>
      </c>
      <c r="C979" s="11" t="s">
        <v>2539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4440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9" t="s">
        <v>26</v>
      </c>
      <c r="AA979" s="12" t="s">
        <v>31</v>
      </c>
    </row>
    <row r="980" spans="1:27" x14ac:dyDescent="0.25">
      <c r="A980" s="10">
        <v>45673</v>
      </c>
      <c r="B980" s="11" t="s">
        <v>234</v>
      </c>
      <c r="C980" s="11" t="s">
        <v>2540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9" t="s">
        <v>26</v>
      </c>
      <c r="AA980" s="12" t="s">
        <v>31</v>
      </c>
    </row>
    <row r="981" spans="1:27" x14ac:dyDescent="0.25">
      <c r="A981" s="10">
        <v>45673</v>
      </c>
      <c r="B981" s="11" t="s">
        <v>2027</v>
      </c>
      <c r="C981" s="11" t="s">
        <v>2541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9" t="s">
        <v>26</v>
      </c>
      <c r="AA981" s="12" t="s">
        <v>31</v>
      </c>
    </row>
    <row r="982" spans="1:27" x14ac:dyDescent="0.25">
      <c r="A982" s="10">
        <v>45673</v>
      </c>
      <c r="B982" s="11" t="s">
        <v>2542</v>
      </c>
      <c r="C982" s="11" t="s">
        <v>2543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4440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9" t="s">
        <v>26</v>
      </c>
      <c r="AA982" s="12" t="s">
        <v>31</v>
      </c>
    </row>
    <row r="983" spans="1:27" x14ac:dyDescent="0.25">
      <c r="A983" s="10">
        <v>45673</v>
      </c>
      <c r="B983" s="11" t="s">
        <v>339</v>
      </c>
      <c r="C983" s="11" t="s">
        <v>2544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9" t="s">
        <v>26</v>
      </c>
      <c r="AA983" s="12" t="s">
        <v>31</v>
      </c>
    </row>
    <row r="984" spans="1:27" x14ac:dyDescent="0.25">
      <c r="A984" s="10">
        <v>45673</v>
      </c>
      <c r="B984" s="11" t="s">
        <v>364</v>
      </c>
      <c r="C984" s="11" t="s">
        <v>2545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4464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9" t="s">
        <v>26</v>
      </c>
      <c r="AA984" s="12" t="s">
        <v>31</v>
      </c>
    </row>
    <row r="985" spans="1:27" x14ac:dyDescent="0.25">
      <c r="A985" s="10">
        <v>45673</v>
      </c>
      <c r="B985" s="11" t="s">
        <v>2546</v>
      </c>
      <c r="C985" s="11" t="s">
        <v>2547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4439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9" t="s">
        <v>141</v>
      </c>
      <c r="AA985" s="12" t="s">
        <v>78</v>
      </c>
    </row>
    <row r="986" spans="1:27" x14ac:dyDescent="0.25">
      <c r="A986" s="10">
        <v>45673</v>
      </c>
      <c r="B986" s="11" t="s">
        <v>2548</v>
      </c>
      <c r="C986" s="11" t="s">
        <v>2549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9" t="s">
        <v>26</v>
      </c>
      <c r="AA986" s="12" t="s">
        <v>31</v>
      </c>
    </row>
    <row r="987" spans="1:27" x14ac:dyDescent="0.25">
      <c r="A987" s="10">
        <v>45673</v>
      </c>
      <c r="B987" s="11" t="s">
        <v>2550</v>
      </c>
      <c r="C987" s="11" t="s">
        <v>2551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9" t="s">
        <v>26</v>
      </c>
      <c r="AA987" s="12" t="s">
        <v>31</v>
      </c>
    </row>
    <row r="988" spans="1:27" x14ac:dyDescent="0.25">
      <c r="A988" s="10">
        <v>45673</v>
      </c>
      <c r="B988" s="11" t="s">
        <v>2552</v>
      </c>
      <c r="C988" s="11" t="s">
        <v>2553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9" t="s">
        <v>26</v>
      </c>
      <c r="AA988" s="12" t="s">
        <v>31</v>
      </c>
    </row>
    <row r="989" spans="1:27" x14ac:dyDescent="0.25">
      <c r="A989" s="10">
        <v>45673</v>
      </c>
      <c r="B989" s="11" t="s">
        <v>689</v>
      </c>
      <c r="C989" s="11" t="s">
        <v>2554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9" t="s">
        <v>26</v>
      </c>
      <c r="AA989" s="12" t="s">
        <v>31</v>
      </c>
    </row>
    <row r="990" spans="1:27" x14ac:dyDescent="0.25">
      <c r="A990" s="10">
        <v>45673</v>
      </c>
      <c r="B990" s="11" t="s">
        <v>2555</v>
      </c>
      <c r="C990" s="11" t="s">
        <v>2556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9" t="s">
        <v>26</v>
      </c>
      <c r="AA990" s="12" t="s">
        <v>31</v>
      </c>
    </row>
    <row r="991" spans="1:27" x14ac:dyDescent="0.25">
      <c r="A991" s="10">
        <v>45673</v>
      </c>
      <c r="B991" s="11" t="s">
        <v>2557</v>
      </c>
      <c r="C991" s="11" t="s">
        <v>2558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9" t="s">
        <v>26</v>
      </c>
      <c r="AA991" s="12" t="s">
        <v>31</v>
      </c>
    </row>
    <row r="992" spans="1:27" x14ac:dyDescent="0.25">
      <c r="A992" s="10">
        <v>45673</v>
      </c>
      <c r="B992" s="11" t="s">
        <v>2559</v>
      </c>
      <c r="C992" s="11" t="s">
        <v>2560</v>
      </c>
      <c r="D992" s="11" t="s">
        <v>26</v>
      </c>
      <c r="E992" s="11" t="s">
        <v>659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9" t="s">
        <v>26</v>
      </c>
      <c r="AA992" s="12" t="s">
        <v>31</v>
      </c>
    </row>
    <row r="993" spans="1:27" x14ac:dyDescent="0.25">
      <c r="A993" s="10">
        <v>45673</v>
      </c>
      <c r="B993" s="11" t="s">
        <v>2561</v>
      </c>
      <c r="C993" s="11" t="s">
        <v>2562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4463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9" t="s">
        <v>26</v>
      </c>
      <c r="AA993" s="12" t="s">
        <v>31</v>
      </c>
    </row>
    <row r="994" spans="1:27" x14ac:dyDescent="0.25">
      <c r="A994" s="10">
        <v>45673</v>
      </c>
      <c r="B994" s="11" t="s">
        <v>719</v>
      </c>
      <c r="C994" s="11" t="s">
        <v>2563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9" t="s">
        <v>26</v>
      </c>
      <c r="AA994" s="12" t="s">
        <v>31</v>
      </c>
    </row>
    <row r="995" spans="1:27" x14ac:dyDescent="0.25">
      <c r="A995" s="10">
        <v>45673</v>
      </c>
      <c r="B995" s="11" t="s">
        <v>416</v>
      </c>
      <c r="C995" s="11" t="s">
        <v>2564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9" t="s">
        <v>26</v>
      </c>
      <c r="AA995" s="12" t="s">
        <v>31</v>
      </c>
    </row>
    <row r="996" spans="1:27" x14ac:dyDescent="0.25">
      <c r="A996" s="10">
        <v>45674</v>
      </c>
      <c r="B996" s="11" t="s">
        <v>452</v>
      </c>
      <c r="C996" s="11" t="s">
        <v>2565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4465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9" t="s">
        <v>26</v>
      </c>
      <c r="AA996" s="12" t="s">
        <v>31</v>
      </c>
    </row>
    <row r="997" spans="1:27" x14ac:dyDescent="0.25">
      <c r="A997" s="10">
        <v>45674</v>
      </c>
      <c r="B997" s="11" t="s">
        <v>2566</v>
      </c>
      <c r="C997" s="11" t="s">
        <v>2567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4439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9" t="s">
        <v>141</v>
      </c>
      <c r="AA997" s="12" t="s">
        <v>78</v>
      </c>
    </row>
    <row r="998" spans="1:27" x14ac:dyDescent="0.25">
      <c r="A998" s="10">
        <v>45674</v>
      </c>
      <c r="B998" s="11" t="s">
        <v>1068</v>
      </c>
      <c r="C998" s="11" t="s">
        <v>2568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4439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9" t="s">
        <v>141</v>
      </c>
      <c r="AA998" s="12" t="s">
        <v>78</v>
      </c>
    </row>
    <row r="999" spans="1:27" x14ac:dyDescent="0.25">
      <c r="A999" s="10">
        <v>45674</v>
      </c>
      <c r="B999" s="11" t="s">
        <v>2569</v>
      </c>
      <c r="C999" s="11" t="s">
        <v>2570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4440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9" t="s">
        <v>26</v>
      </c>
      <c r="AA999" s="12" t="s">
        <v>31</v>
      </c>
    </row>
    <row r="1000" spans="1:27" x14ac:dyDescent="0.25">
      <c r="A1000" s="10">
        <v>45674</v>
      </c>
      <c r="B1000" s="11" t="s">
        <v>744</v>
      </c>
      <c r="C1000" s="11" t="s">
        <v>2571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4440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9" t="s">
        <v>26</v>
      </c>
      <c r="AA1000" s="12" t="s">
        <v>31</v>
      </c>
    </row>
    <row r="1001" spans="1:27" x14ac:dyDescent="0.25">
      <c r="A1001" s="10">
        <v>45674</v>
      </c>
      <c r="B1001" s="11" t="s">
        <v>683</v>
      </c>
      <c r="C1001" s="11" t="s">
        <v>2572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4439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9" t="s">
        <v>141</v>
      </c>
      <c r="AA1001" s="12" t="s">
        <v>78</v>
      </c>
    </row>
    <row r="1002" spans="1:27" x14ac:dyDescent="0.25">
      <c r="A1002" s="10">
        <v>45674</v>
      </c>
      <c r="B1002" s="11" t="s">
        <v>2573</v>
      </c>
      <c r="C1002" s="11" t="s">
        <v>2574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4440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9" t="s">
        <v>26</v>
      </c>
      <c r="AA1002" s="12" t="s">
        <v>31</v>
      </c>
    </row>
    <row r="1003" spans="1:27" x14ac:dyDescent="0.25">
      <c r="A1003" s="10">
        <v>45674</v>
      </c>
      <c r="B1003" s="11" t="s">
        <v>200</v>
      </c>
      <c r="C1003" s="11" t="s">
        <v>2575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9" t="s">
        <v>26</v>
      </c>
      <c r="AA1003" s="12" t="s">
        <v>31</v>
      </c>
    </row>
    <row r="1004" spans="1:27" x14ac:dyDescent="0.25">
      <c r="A1004" s="10">
        <v>45674</v>
      </c>
      <c r="B1004" s="11" t="s">
        <v>2576</v>
      </c>
      <c r="C1004" s="11" t="s">
        <v>2577</v>
      </c>
      <c r="D1004" s="11" t="s">
        <v>26</v>
      </c>
      <c r="E1004" s="11" t="s">
        <v>2126</v>
      </c>
      <c r="F1004" s="11" t="s">
        <v>26</v>
      </c>
      <c r="G1004" s="11" t="s">
        <v>26</v>
      </c>
      <c r="H1004" s="12" t="s">
        <v>4439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9" t="s">
        <v>140</v>
      </c>
      <c r="AA1004" s="12" t="s">
        <v>78</v>
      </c>
    </row>
    <row r="1005" spans="1:27" x14ac:dyDescent="0.25">
      <c r="A1005" s="10">
        <v>45674</v>
      </c>
      <c r="B1005" s="11" t="s">
        <v>1873</v>
      </c>
      <c r="C1005" s="11" t="s">
        <v>2578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4440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9" t="s">
        <v>26</v>
      </c>
      <c r="AA1005" s="12" t="s">
        <v>31</v>
      </c>
    </row>
    <row r="1006" spans="1:27" x14ac:dyDescent="0.25">
      <c r="A1006" s="10">
        <v>45674</v>
      </c>
      <c r="B1006" s="11" t="s">
        <v>463</v>
      </c>
      <c r="C1006" s="11" t="s">
        <v>2579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9" t="s">
        <v>26</v>
      </c>
      <c r="AA1006" s="12" t="s">
        <v>31</v>
      </c>
    </row>
    <row r="1007" spans="1:27" x14ac:dyDescent="0.25">
      <c r="A1007" s="10">
        <v>45674</v>
      </c>
      <c r="B1007" s="11" t="s">
        <v>706</v>
      </c>
      <c r="C1007" s="11" t="s">
        <v>2580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9" t="s">
        <v>26</v>
      </c>
      <c r="AA1007" s="12" t="s">
        <v>31</v>
      </c>
    </row>
    <row r="1008" spans="1:27" x14ac:dyDescent="0.25">
      <c r="A1008" s="10">
        <v>45674</v>
      </c>
      <c r="B1008" s="11" t="s">
        <v>2581</v>
      </c>
      <c r="C1008" s="11" t="s">
        <v>2582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9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2583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9" t="s">
        <v>26</v>
      </c>
      <c r="AA1009" s="12" t="s">
        <v>31</v>
      </c>
    </row>
    <row r="1010" spans="1:27" x14ac:dyDescent="0.25">
      <c r="A1010" s="10">
        <v>45674</v>
      </c>
      <c r="B1010" s="11" t="s">
        <v>718</v>
      </c>
      <c r="C1010" s="11" t="s">
        <v>2584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4463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9" t="s">
        <v>26</v>
      </c>
      <c r="AA1010" s="12" t="s">
        <v>31</v>
      </c>
    </row>
    <row r="1011" spans="1:27" x14ac:dyDescent="0.25">
      <c r="A1011" s="10">
        <v>45674</v>
      </c>
      <c r="B1011" s="11" t="s">
        <v>2585</v>
      </c>
      <c r="C1011" s="11" t="s">
        <v>2586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4441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9" t="s">
        <v>141</v>
      </c>
      <c r="AA1011" s="12" t="s">
        <v>658</v>
      </c>
    </row>
    <row r="1012" spans="1:27" x14ac:dyDescent="0.25">
      <c r="A1012" s="10">
        <v>45674</v>
      </c>
      <c r="B1012" s="11" t="s">
        <v>2587</v>
      </c>
      <c r="C1012" s="11" t="s">
        <v>2588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4440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9" t="s">
        <v>26</v>
      </c>
      <c r="AA1012" s="12" t="s">
        <v>31</v>
      </c>
    </row>
    <row r="1013" spans="1:27" x14ac:dyDescent="0.25">
      <c r="A1013" s="10">
        <v>45674</v>
      </c>
      <c r="B1013" s="11" t="s">
        <v>405</v>
      </c>
      <c r="C1013" s="11" t="s">
        <v>2589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9" t="s">
        <v>26</v>
      </c>
      <c r="AA1013" s="12" t="s">
        <v>31</v>
      </c>
    </row>
    <row r="1014" spans="1:27" x14ac:dyDescent="0.25">
      <c r="A1014" s="10">
        <v>45674</v>
      </c>
      <c r="B1014" s="11" t="s">
        <v>2590</v>
      </c>
      <c r="C1014" s="11" t="s">
        <v>2591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4439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9" t="s">
        <v>140</v>
      </c>
      <c r="AA1014" s="12" t="s">
        <v>78</v>
      </c>
    </row>
    <row r="1015" spans="1:27" x14ac:dyDescent="0.25">
      <c r="A1015" s="10">
        <v>45674</v>
      </c>
      <c r="B1015" s="11" t="s">
        <v>2592</v>
      </c>
      <c r="C1015" s="11" t="s">
        <v>2593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4440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9" t="s">
        <v>26</v>
      </c>
      <c r="AA1015" s="12" t="s">
        <v>31</v>
      </c>
    </row>
    <row r="1016" spans="1:27" x14ac:dyDescent="0.25">
      <c r="A1016" s="10">
        <v>45674</v>
      </c>
      <c r="B1016" s="11" t="s">
        <v>262</v>
      </c>
      <c r="C1016" s="11" t="s">
        <v>2594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4440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9" t="s">
        <v>26</v>
      </c>
      <c r="AA1016" s="12" t="s">
        <v>31</v>
      </c>
    </row>
    <row r="1017" spans="1:27" x14ac:dyDescent="0.25">
      <c r="A1017" s="10">
        <v>45674</v>
      </c>
      <c r="B1017" s="11" t="s">
        <v>2595</v>
      </c>
      <c r="C1017" s="11" t="s">
        <v>2596</v>
      </c>
      <c r="D1017" s="11" t="s">
        <v>26</v>
      </c>
      <c r="E1017" s="11" t="s">
        <v>659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9" t="s">
        <v>26</v>
      </c>
      <c r="AA1017" s="12" t="s">
        <v>31</v>
      </c>
    </row>
    <row r="1018" spans="1:27" x14ac:dyDescent="0.25">
      <c r="A1018" s="10">
        <v>45674</v>
      </c>
      <c r="B1018" s="11" t="s">
        <v>310</v>
      </c>
      <c r="C1018" s="11" t="s">
        <v>2597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9" t="s">
        <v>26</v>
      </c>
      <c r="AA1018" s="12" t="s">
        <v>31</v>
      </c>
    </row>
    <row r="1019" spans="1:27" x14ac:dyDescent="0.25">
      <c r="A1019" s="10">
        <v>45674</v>
      </c>
      <c r="B1019" s="11" t="s">
        <v>644</v>
      </c>
      <c r="C1019" s="11" t="s">
        <v>2598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4440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9" t="s">
        <v>26</v>
      </c>
      <c r="AA1019" s="12" t="s">
        <v>31</v>
      </c>
    </row>
    <row r="1020" spans="1:27" x14ac:dyDescent="0.25">
      <c r="A1020" s="10">
        <v>45674</v>
      </c>
      <c r="B1020" s="11" t="s">
        <v>2599</v>
      </c>
      <c r="C1020" s="11" t="s">
        <v>2600</v>
      </c>
      <c r="D1020" s="11" t="s">
        <v>26</v>
      </c>
      <c r="E1020" s="11" t="s">
        <v>2143</v>
      </c>
      <c r="F1020" s="11" t="s">
        <v>26</v>
      </c>
      <c r="G1020" s="11">
        <v>112132</v>
      </c>
      <c r="H1020" s="12" t="s">
        <v>4463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9" t="s">
        <v>26</v>
      </c>
      <c r="AA1020" s="12" t="s">
        <v>31</v>
      </c>
    </row>
    <row r="1021" spans="1:27" x14ac:dyDescent="0.25">
      <c r="A1021" s="10">
        <v>45674</v>
      </c>
      <c r="B1021" s="11" t="s">
        <v>1722</v>
      </c>
      <c r="C1021" s="11" t="s">
        <v>2601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4463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9" t="s">
        <v>26</v>
      </c>
      <c r="AA1021" s="12" t="s">
        <v>31</v>
      </c>
    </row>
    <row r="1022" spans="1:27" x14ac:dyDescent="0.25">
      <c r="A1022" s="10">
        <v>45674</v>
      </c>
      <c r="B1022" s="11" t="s">
        <v>709</v>
      </c>
      <c r="C1022" s="11" t="s">
        <v>2602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9" t="s">
        <v>26</v>
      </c>
      <c r="AA1022" s="12" t="s">
        <v>31</v>
      </c>
    </row>
    <row r="1023" spans="1:27" x14ac:dyDescent="0.25">
      <c r="A1023" s="10">
        <v>45674</v>
      </c>
      <c r="B1023" s="11" t="s">
        <v>731</v>
      </c>
      <c r="C1023" s="11" t="s">
        <v>2603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9" t="s">
        <v>26</v>
      </c>
      <c r="AA1023" s="12" t="s">
        <v>31</v>
      </c>
    </row>
    <row r="1024" spans="1:27" x14ac:dyDescent="0.25">
      <c r="A1024" s="10">
        <v>45674</v>
      </c>
      <c r="B1024" s="11" t="s">
        <v>2604</v>
      </c>
      <c r="C1024" s="11" t="s">
        <v>2605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4439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9" t="s">
        <v>140</v>
      </c>
      <c r="AA1024" s="12" t="s">
        <v>78</v>
      </c>
    </row>
    <row r="1025" spans="1:27" x14ac:dyDescent="0.25">
      <c r="A1025" s="10">
        <v>45674</v>
      </c>
      <c r="B1025" s="11" t="s">
        <v>283</v>
      </c>
      <c r="C1025" s="11" t="s">
        <v>2606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4440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9" t="s">
        <v>26</v>
      </c>
      <c r="AA1025" s="12" t="s">
        <v>31</v>
      </c>
    </row>
    <row r="1026" spans="1:27" x14ac:dyDescent="0.25">
      <c r="A1026" s="10">
        <v>45674</v>
      </c>
      <c r="B1026" s="11" t="s">
        <v>2607</v>
      </c>
      <c r="C1026" s="11" t="s">
        <v>2608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4465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9" t="s">
        <v>26</v>
      </c>
      <c r="AA1026" s="12" t="s">
        <v>31</v>
      </c>
    </row>
    <row r="1027" spans="1:27" x14ac:dyDescent="0.25">
      <c r="A1027" s="10">
        <v>45674</v>
      </c>
      <c r="B1027" s="11" t="s">
        <v>2609</v>
      </c>
      <c r="C1027" s="11" t="s">
        <v>2610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9" t="s">
        <v>26</v>
      </c>
      <c r="AA1027" s="12" t="s">
        <v>31</v>
      </c>
    </row>
    <row r="1028" spans="1:27" x14ac:dyDescent="0.25">
      <c r="A1028" s="10">
        <v>45674</v>
      </c>
      <c r="B1028" s="11" t="s">
        <v>2611</v>
      </c>
      <c r="C1028" s="11" t="s">
        <v>2612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4440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9" t="s">
        <v>26</v>
      </c>
      <c r="AA1028" s="12" t="s">
        <v>31</v>
      </c>
    </row>
    <row r="1029" spans="1:27" x14ac:dyDescent="0.25">
      <c r="A1029" s="10">
        <v>45674</v>
      </c>
      <c r="B1029" s="11" t="s">
        <v>234</v>
      </c>
      <c r="C1029" s="11" t="s">
        <v>2613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9" t="s">
        <v>26</v>
      </c>
      <c r="AA1029" s="12" t="s">
        <v>31</v>
      </c>
    </row>
    <row r="1030" spans="1:27" x14ac:dyDescent="0.25">
      <c r="A1030" s="10">
        <v>45674</v>
      </c>
      <c r="B1030" s="11" t="s">
        <v>274</v>
      </c>
      <c r="C1030" s="11" t="s">
        <v>2614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4440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9" t="s">
        <v>26</v>
      </c>
      <c r="AA1030" s="12" t="s">
        <v>31</v>
      </c>
    </row>
    <row r="1031" spans="1:27" x14ac:dyDescent="0.25">
      <c r="A1031" s="10">
        <v>45674</v>
      </c>
      <c r="B1031" s="11" t="s">
        <v>392</v>
      </c>
      <c r="C1031" s="11" t="s">
        <v>2615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9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2616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4463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9" t="s">
        <v>26</v>
      </c>
      <c r="AA1032" s="12" t="s">
        <v>31</v>
      </c>
    </row>
    <row r="1033" spans="1:27" x14ac:dyDescent="0.25">
      <c r="A1033" s="10">
        <v>45674</v>
      </c>
      <c r="B1033" s="11" t="s">
        <v>2617</v>
      </c>
      <c r="C1033" s="11" t="s">
        <v>2618</v>
      </c>
      <c r="D1033" s="11" t="s">
        <v>26</v>
      </c>
      <c r="E1033" s="11" t="s">
        <v>2126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9" t="s">
        <v>26</v>
      </c>
      <c r="AA1033" s="12" t="s">
        <v>31</v>
      </c>
    </row>
    <row r="1034" spans="1:27" x14ac:dyDescent="0.25">
      <c r="A1034" s="10">
        <v>45674</v>
      </c>
      <c r="B1034" s="11" t="s">
        <v>2619</v>
      </c>
      <c r="C1034" s="11" t="s">
        <v>2620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9" t="s">
        <v>26</v>
      </c>
      <c r="AA1034" s="12" t="s">
        <v>31</v>
      </c>
    </row>
    <row r="1035" spans="1:27" x14ac:dyDescent="0.25">
      <c r="A1035" s="10">
        <v>45674</v>
      </c>
      <c r="B1035" s="11" t="s">
        <v>722</v>
      </c>
      <c r="C1035" s="11" t="s">
        <v>2621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9" t="s">
        <v>26</v>
      </c>
      <c r="AA1035" s="12" t="s">
        <v>31</v>
      </c>
    </row>
    <row r="1036" spans="1:27" x14ac:dyDescent="0.25">
      <c r="A1036" s="10">
        <v>45674</v>
      </c>
      <c r="B1036" s="11" t="s">
        <v>328</v>
      </c>
      <c r="C1036" s="11" t="s">
        <v>2622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4440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9" t="s">
        <v>26</v>
      </c>
      <c r="AA1036" s="12" t="s">
        <v>31</v>
      </c>
    </row>
    <row r="1037" spans="1:27" x14ac:dyDescent="0.25">
      <c r="A1037" s="10">
        <v>45674</v>
      </c>
      <c r="B1037" s="11" t="s">
        <v>346</v>
      </c>
      <c r="C1037" s="11" t="s">
        <v>2623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1926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9" t="s">
        <v>26</v>
      </c>
      <c r="AA1037" s="12" t="s">
        <v>31</v>
      </c>
    </row>
    <row r="1038" spans="1:27" x14ac:dyDescent="0.25">
      <c r="A1038" s="10">
        <v>45674</v>
      </c>
      <c r="B1038" s="11" t="s">
        <v>2624</v>
      </c>
      <c r="C1038" s="11" t="s">
        <v>2625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9" t="s">
        <v>41</v>
      </c>
      <c r="AA1038" s="12" t="s">
        <v>79</v>
      </c>
    </row>
    <row r="1039" spans="1:27" x14ac:dyDescent="0.25">
      <c r="A1039" s="10">
        <v>45674</v>
      </c>
      <c r="B1039" s="11" t="s">
        <v>2626</v>
      </c>
      <c r="C1039" s="11" t="s">
        <v>2627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4465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9" t="s">
        <v>26</v>
      </c>
      <c r="AA1039" s="12" t="s">
        <v>31</v>
      </c>
    </row>
    <row r="1040" spans="1:27" x14ac:dyDescent="0.25">
      <c r="A1040" s="10">
        <v>45674</v>
      </c>
      <c r="B1040" s="11" t="s">
        <v>2628</v>
      </c>
      <c r="C1040" s="11" t="s">
        <v>2629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9" t="s">
        <v>26</v>
      </c>
      <c r="AA1040" s="12" t="s">
        <v>31</v>
      </c>
    </row>
    <row r="1041" spans="1:27" x14ac:dyDescent="0.25">
      <c r="A1041" s="10">
        <v>45674</v>
      </c>
      <c r="B1041" s="11" t="s">
        <v>415</v>
      </c>
      <c r="C1041" s="11" t="s">
        <v>2630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9" t="s">
        <v>26</v>
      </c>
      <c r="AA1041" s="12" t="s">
        <v>31</v>
      </c>
    </row>
    <row r="1042" spans="1:27" x14ac:dyDescent="0.25">
      <c r="A1042" s="10">
        <v>45674</v>
      </c>
      <c r="B1042" s="11" t="s">
        <v>316</v>
      </c>
      <c r="C1042" s="11" t="s">
        <v>2631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9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2632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4440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9" t="s">
        <v>26</v>
      </c>
      <c r="AA1043" s="12" t="s">
        <v>31</v>
      </c>
    </row>
    <row r="1044" spans="1:27" x14ac:dyDescent="0.25">
      <c r="A1044" s="10">
        <v>45674</v>
      </c>
      <c r="B1044" s="11" t="s">
        <v>2633</v>
      </c>
      <c r="C1044" s="11" t="s">
        <v>2634</v>
      </c>
      <c r="D1044" s="11" t="s">
        <v>26</v>
      </c>
      <c r="E1044" s="11" t="s">
        <v>2635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9" t="s">
        <v>26</v>
      </c>
      <c r="AA1044" s="12" t="s">
        <v>31</v>
      </c>
    </row>
    <row r="1045" spans="1:27" x14ac:dyDescent="0.25">
      <c r="A1045" s="10">
        <v>45674</v>
      </c>
      <c r="B1045" s="11" t="s">
        <v>1284</v>
      </c>
      <c r="C1045" s="11" t="s">
        <v>2636</v>
      </c>
      <c r="D1045" s="11" t="s">
        <v>26</v>
      </c>
      <c r="E1045" s="11" t="s">
        <v>659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9" t="s">
        <v>26</v>
      </c>
      <c r="AA1045" s="12" t="s">
        <v>31</v>
      </c>
    </row>
    <row r="1046" spans="1:27" x14ac:dyDescent="0.25">
      <c r="A1046" s="10">
        <v>45674</v>
      </c>
      <c r="B1046" s="11" t="s">
        <v>390</v>
      </c>
      <c r="C1046" s="11" t="s">
        <v>2637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1926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9" t="s">
        <v>26</v>
      </c>
      <c r="AA1046" s="12" t="s">
        <v>31</v>
      </c>
    </row>
    <row r="1047" spans="1:27" x14ac:dyDescent="0.25">
      <c r="A1047" s="10">
        <v>45674</v>
      </c>
      <c r="B1047" s="11" t="s">
        <v>2638</v>
      </c>
      <c r="C1047" s="11" t="s">
        <v>2639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4440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9" t="s">
        <v>26</v>
      </c>
      <c r="AA1047" s="12" t="s">
        <v>31</v>
      </c>
    </row>
    <row r="1048" spans="1:27" x14ac:dyDescent="0.25">
      <c r="A1048" s="10">
        <v>45674</v>
      </c>
      <c r="B1048" s="11" t="s">
        <v>2640</v>
      </c>
      <c r="C1048" s="11" t="s">
        <v>2641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9" t="s">
        <v>26</v>
      </c>
      <c r="AA1048" s="12" t="s">
        <v>31</v>
      </c>
    </row>
    <row r="1049" spans="1:27" x14ac:dyDescent="0.25">
      <c r="A1049" s="10">
        <v>45674</v>
      </c>
      <c r="B1049" s="11" t="s">
        <v>271</v>
      </c>
      <c r="C1049" s="11" t="s">
        <v>2642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4463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9" t="s">
        <v>26</v>
      </c>
      <c r="AA1049" s="12" t="s">
        <v>31</v>
      </c>
    </row>
    <row r="1050" spans="1:27" x14ac:dyDescent="0.25">
      <c r="A1050" s="10">
        <v>45674</v>
      </c>
      <c r="B1050" s="11" t="s">
        <v>470</v>
      </c>
      <c r="C1050" s="11" t="s">
        <v>2643</v>
      </c>
      <c r="D1050" s="11" t="s">
        <v>26</v>
      </c>
      <c r="E1050" s="11" t="s">
        <v>1217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9" t="s">
        <v>26</v>
      </c>
      <c r="AA1050" s="12" t="s">
        <v>31</v>
      </c>
    </row>
    <row r="1051" spans="1:27" x14ac:dyDescent="0.25">
      <c r="A1051" s="10">
        <v>45674</v>
      </c>
      <c r="B1051" s="11" t="s">
        <v>2644</v>
      </c>
      <c r="C1051" s="11" t="s">
        <v>2645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9" t="s">
        <v>26</v>
      </c>
      <c r="AA1051" s="12" t="s">
        <v>31</v>
      </c>
    </row>
    <row r="1052" spans="1:27" x14ac:dyDescent="0.25">
      <c r="A1052" s="10">
        <v>45674</v>
      </c>
      <c r="B1052" s="11" t="s">
        <v>2646</v>
      </c>
      <c r="C1052" s="11" t="s">
        <v>2647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4439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9" t="s">
        <v>140</v>
      </c>
      <c r="AA1052" s="12" t="s">
        <v>78</v>
      </c>
    </row>
    <row r="1053" spans="1:27" x14ac:dyDescent="0.25">
      <c r="A1053" s="10">
        <v>45674</v>
      </c>
      <c r="B1053" s="11" t="s">
        <v>2648</v>
      </c>
      <c r="C1053" s="11" t="s">
        <v>2649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9" t="s">
        <v>26</v>
      </c>
      <c r="AA1053" s="12" t="s">
        <v>31</v>
      </c>
    </row>
    <row r="1054" spans="1:27" x14ac:dyDescent="0.25">
      <c r="A1054" s="10">
        <v>45674</v>
      </c>
      <c r="B1054" s="11" t="s">
        <v>720</v>
      </c>
      <c r="C1054" s="11" t="s">
        <v>2650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4440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9" t="s">
        <v>26</v>
      </c>
      <c r="AA1054" s="12" t="s">
        <v>31</v>
      </c>
    </row>
    <row r="1055" spans="1:27" x14ac:dyDescent="0.25">
      <c r="A1055" s="10">
        <v>45674</v>
      </c>
      <c r="B1055" s="11" t="s">
        <v>327</v>
      </c>
      <c r="C1055" s="11" t="s">
        <v>2651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9" t="s">
        <v>26</v>
      </c>
      <c r="AA1055" s="12" t="s">
        <v>31</v>
      </c>
    </row>
    <row r="1056" spans="1:27" x14ac:dyDescent="0.25">
      <c r="A1056" s="10">
        <v>45674</v>
      </c>
      <c r="B1056" s="11" t="s">
        <v>1765</v>
      </c>
      <c r="C1056" s="11" t="s">
        <v>2652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9" t="s">
        <v>26</v>
      </c>
      <c r="AA1056" s="12" t="s">
        <v>31</v>
      </c>
    </row>
    <row r="1057" spans="1:27" x14ac:dyDescent="0.25">
      <c r="A1057" s="10">
        <v>45674</v>
      </c>
      <c r="B1057" s="11" t="s">
        <v>2653</v>
      </c>
      <c r="C1057" s="11" t="s">
        <v>2654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4463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9" t="s">
        <v>26</v>
      </c>
      <c r="AA1057" s="12" t="s">
        <v>31</v>
      </c>
    </row>
    <row r="1058" spans="1:27" x14ac:dyDescent="0.25">
      <c r="A1058" s="10">
        <v>45674</v>
      </c>
      <c r="B1058" s="11" t="s">
        <v>2655</v>
      </c>
      <c r="C1058" s="11" t="s">
        <v>2656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9" t="s">
        <v>26</v>
      </c>
      <c r="AA1058" s="12" t="s">
        <v>31</v>
      </c>
    </row>
    <row r="1059" spans="1:27" x14ac:dyDescent="0.25">
      <c r="A1059" s="10">
        <v>45674</v>
      </c>
      <c r="B1059" s="11" t="s">
        <v>2657</v>
      </c>
      <c r="C1059" s="11" t="s">
        <v>2658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4465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9" t="s">
        <v>26</v>
      </c>
      <c r="AA1059" s="12" t="s">
        <v>31</v>
      </c>
    </row>
    <row r="1060" spans="1:27" x14ac:dyDescent="0.25">
      <c r="A1060" s="10">
        <v>45674</v>
      </c>
      <c r="B1060" s="11" t="s">
        <v>2659</v>
      </c>
      <c r="C1060" s="11" t="s">
        <v>2660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9" t="s">
        <v>26</v>
      </c>
      <c r="AA1060" s="12" t="s">
        <v>31</v>
      </c>
    </row>
    <row r="1061" spans="1:27" x14ac:dyDescent="0.25">
      <c r="A1061" s="10">
        <v>45674</v>
      </c>
      <c r="B1061" s="11" t="s">
        <v>2661</v>
      </c>
      <c r="C1061" s="11" t="s">
        <v>2662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9" t="s">
        <v>26</v>
      </c>
      <c r="AA1061" s="12" t="s">
        <v>31</v>
      </c>
    </row>
    <row r="1062" spans="1:27" x14ac:dyDescent="0.25">
      <c r="A1062" s="10">
        <v>45674</v>
      </c>
      <c r="B1062" s="11" t="s">
        <v>2663</v>
      </c>
      <c r="C1062" s="11" t="s">
        <v>2664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9" t="s">
        <v>26</v>
      </c>
      <c r="AA1062" s="12" t="s">
        <v>31</v>
      </c>
    </row>
    <row r="1063" spans="1:27" x14ac:dyDescent="0.25">
      <c r="A1063" s="10">
        <v>45674</v>
      </c>
      <c r="B1063" s="11" t="s">
        <v>2665</v>
      </c>
      <c r="C1063" s="11" t="s">
        <v>2666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4463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9" t="s">
        <v>26</v>
      </c>
      <c r="AA1063" s="12" t="s">
        <v>31</v>
      </c>
    </row>
    <row r="1064" spans="1:27" x14ac:dyDescent="0.25">
      <c r="A1064" s="10">
        <v>45674</v>
      </c>
      <c r="B1064" s="11" t="s">
        <v>1836</v>
      </c>
      <c r="C1064" s="11" t="s">
        <v>2667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9" t="s">
        <v>26</v>
      </c>
      <c r="AA1064" s="12" t="s">
        <v>31</v>
      </c>
    </row>
    <row r="1065" spans="1:27" x14ac:dyDescent="0.25">
      <c r="A1065" s="10">
        <v>45674</v>
      </c>
      <c r="B1065" s="11" t="s">
        <v>2668</v>
      </c>
      <c r="C1065" s="11" t="s">
        <v>2669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4439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9" t="s">
        <v>41</v>
      </c>
      <c r="AA1065" s="12" t="s">
        <v>78</v>
      </c>
    </row>
    <row r="1066" spans="1:27" x14ac:dyDescent="0.25">
      <c r="A1066" s="10">
        <v>45674</v>
      </c>
      <c r="B1066" s="11" t="s">
        <v>2670</v>
      </c>
      <c r="C1066" s="11" t="s">
        <v>2671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9" t="s">
        <v>26</v>
      </c>
      <c r="AA1066" s="12" t="s">
        <v>31</v>
      </c>
    </row>
    <row r="1067" spans="1:27" x14ac:dyDescent="0.25">
      <c r="A1067" s="10">
        <v>45674</v>
      </c>
      <c r="B1067" s="11" t="s">
        <v>2672</v>
      </c>
      <c r="C1067" s="11" t="s">
        <v>2673</v>
      </c>
      <c r="D1067" s="11" t="s">
        <v>26</v>
      </c>
      <c r="E1067" s="11" t="s">
        <v>1742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9" t="s">
        <v>26</v>
      </c>
      <c r="AA1067" s="12" t="s">
        <v>31</v>
      </c>
    </row>
    <row r="1068" spans="1:27" x14ac:dyDescent="0.25">
      <c r="A1068" s="10">
        <v>45674</v>
      </c>
      <c r="B1068" s="11" t="s">
        <v>2674</v>
      </c>
      <c r="C1068" s="11" t="s">
        <v>2675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9" t="s">
        <v>26</v>
      </c>
      <c r="AA1068" s="12" t="s">
        <v>31</v>
      </c>
    </row>
    <row r="1069" spans="1:27" x14ac:dyDescent="0.25">
      <c r="A1069" s="10">
        <v>45674</v>
      </c>
      <c r="B1069" s="11" t="s">
        <v>2676</v>
      </c>
      <c r="C1069" s="11" t="s">
        <v>2677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1926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9" t="s">
        <v>26</v>
      </c>
      <c r="AA1069" s="12" t="s">
        <v>31</v>
      </c>
    </row>
    <row r="1070" spans="1:27" x14ac:dyDescent="0.25">
      <c r="A1070" s="10">
        <v>45674</v>
      </c>
      <c r="B1070" s="11" t="s">
        <v>1400</v>
      </c>
      <c r="C1070" s="11" t="s">
        <v>2678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9" t="s">
        <v>26</v>
      </c>
      <c r="AA1070" s="12" t="s">
        <v>31</v>
      </c>
    </row>
    <row r="1071" spans="1:27" x14ac:dyDescent="0.25">
      <c r="A1071" s="10">
        <v>45674</v>
      </c>
      <c r="B1071" s="11" t="s">
        <v>2679</v>
      </c>
      <c r="C1071" s="11" t="s">
        <v>2680</v>
      </c>
      <c r="D1071" s="11" t="s">
        <v>26</v>
      </c>
      <c r="E1071" s="11" t="s">
        <v>2635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9" t="s">
        <v>26</v>
      </c>
      <c r="AA1071" s="12" t="s">
        <v>31</v>
      </c>
    </row>
    <row r="1072" spans="1:27" x14ac:dyDescent="0.25">
      <c r="A1072" s="10">
        <v>45674</v>
      </c>
      <c r="B1072" s="11" t="s">
        <v>2681</v>
      </c>
      <c r="C1072" s="11" t="s">
        <v>2682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9" t="s">
        <v>26</v>
      </c>
      <c r="AA1072" s="12" t="s">
        <v>31</v>
      </c>
    </row>
    <row r="1073" spans="1:27" x14ac:dyDescent="0.25">
      <c r="A1073" s="10">
        <v>45674</v>
      </c>
      <c r="B1073" s="11" t="s">
        <v>414</v>
      </c>
      <c r="C1073" s="11" t="s">
        <v>2683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9" t="s">
        <v>26</v>
      </c>
      <c r="AA1073" s="12" t="s">
        <v>31</v>
      </c>
    </row>
    <row r="1074" spans="1:27" x14ac:dyDescent="0.25">
      <c r="A1074" s="10">
        <v>45674</v>
      </c>
      <c r="B1074" s="11" t="s">
        <v>2684</v>
      </c>
      <c r="C1074" s="11" t="s">
        <v>2685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9" t="s">
        <v>26</v>
      </c>
      <c r="AA1074" s="12" t="s">
        <v>31</v>
      </c>
    </row>
    <row r="1075" spans="1:27" x14ac:dyDescent="0.25">
      <c r="A1075" s="10">
        <v>45674</v>
      </c>
      <c r="B1075" s="11" t="s">
        <v>1076</v>
      </c>
      <c r="C1075" s="11" t="s">
        <v>2686</v>
      </c>
      <c r="D1075" s="11" t="s">
        <v>26</v>
      </c>
      <c r="E1075" s="11" t="s">
        <v>659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9" t="s">
        <v>26</v>
      </c>
      <c r="AA1075" s="12" t="s">
        <v>31</v>
      </c>
    </row>
    <row r="1076" spans="1:27" x14ac:dyDescent="0.25">
      <c r="A1076" s="10">
        <v>45674</v>
      </c>
      <c r="B1076" s="11" t="s">
        <v>2687</v>
      </c>
      <c r="C1076" s="11" t="s">
        <v>2688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9" t="s">
        <v>26</v>
      </c>
      <c r="AA1076" s="12" t="s">
        <v>31</v>
      </c>
    </row>
    <row r="1077" spans="1:27" x14ac:dyDescent="0.25">
      <c r="A1077" s="10">
        <v>45674</v>
      </c>
      <c r="B1077" s="11" t="s">
        <v>2689</v>
      </c>
      <c r="C1077" s="11" t="s">
        <v>2690</v>
      </c>
      <c r="D1077" s="11" t="s">
        <v>26</v>
      </c>
      <c r="E1077" s="11" t="s">
        <v>2126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9" t="s">
        <v>26</v>
      </c>
      <c r="AA1077" s="12" t="s">
        <v>31</v>
      </c>
    </row>
    <row r="1078" spans="1:27" x14ac:dyDescent="0.25">
      <c r="A1078" s="10">
        <v>45674</v>
      </c>
      <c r="B1078" s="11" t="s">
        <v>2691</v>
      </c>
      <c r="C1078" s="11" t="s">
        <v>2692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9" t="s">
        <v>26</v>
      </c>
      <c r="AA1078" s="12" t="s">
        <v>31</v>
      </c>
    </row>
    <row r="1079" spans="1:27" x14ac:dyDescent="0.25">
      <c r="A1079" s="10">
        <v>45674</v>
      </c>
      <c r="B1079" s="11" t="s">
        <v>2693</v>
      </c>
      <c r="C1079" s="11" t="s">
        <v>2694</v>
      </c>
      <c r="D1079" s="11" t="s">
        <v>26</v>
      </c>
      <c r="E1079" s="11" t="s">
        <v>1742</v>
      </c>
      <c r="F1079" s="11" t="s">
        <v>26</v>
      </c>
      <c r="G1079" s="11">
        <v>3293</v>
      </c>
      <c r="H1079" s="12" t="s">
        <v>4465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9" t="s">
        <v>26</v>
      </c>
      <c r="AA1079" s="12" t="s">
        <v>31</v>
      </c>
    </row>
    <row r="1080" spans="1:27" x14ac:dyDescent="0.25">
      <c r="A1080" s="10">
        <v>45674</v>
      </c>
      <c r="B1080" s="11" t="s">
        <v>2695</v>
      </c>
      <c r="C1080" s="11" t="s">
        <v>2696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1926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9" t="s">
        <v>26</v>
      </c>
      <c r="AA1080" s="12" t="s">
        <v>31</v>
      </c>
    </row>
    <row r="1081" spans="1:27" x14ac:dyDescent="0.25">
      <c r="A1081" s="10">
        <v>45674</v>
      </c>
      <c r="B1081" s="11" t="s">
        <v>413</v>
      </c>
      <c r="C1081" s="11" t="s">
        <v>2697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9" t="s">
        <v>26</v>
      </c>
      <c r="AA1081" s="12" t="s">
        <v>31</v>
      </c>
    </row>
    <row r="1082" spans="1:27" x14ac:dyDescent="0.25">
      <c r="A1082" s="10">
        <v>45674</v>
      </c>
      <c r="B1082" s="11" t="s">
        <v>2698</v>
      </c>
      <c r="C1082" s="11" t="s">
        <v>2699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9" t="s">
        <v>26</v>
      </c>
      <c r="AA1082" s="12" t="s">
        <v>31</v>
      </c>
    </row>
    <row r="1083" spans="1:27" x14ac:dyDescent="0.25">
      <c r="A1083" s="10">
        <v>45674</v>
      </c>
      <c r="B1083" s="11" t="s">
        <v>471</v>
      </c>
      <c r="C1083" s="11" t="s">
        <v>2700</v>
      </c>
      <c r="D1083" s="11" t="s">
        <v>26</v>
      </c>
      <c r="E1083" s="11" t="s">
        <v>2635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9" t="s">
        <v>26</v>
      </c>
      <c r="AA1083" s="12" t="s">
        <v>31</v>
      </c>
    </row>
    <row r="1084" spans="1:27" x14ac:dyDescent="0.25">
      <c r="A1084" s="10">
        <v>45674</v>
      </c>
      <c r="B1084" s="11" t="s">
        <v>2701</v>
      </c>
      <c r="C1084" s="11" t="s">
        <v>2702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9" t="s">
        <v>26</v>
      </c>
      <c r="AA1084" s="12" t="s">
        <v>31</v>
      </c>
    </row>
    <row r="1085" spans="1:27" x14ac:dyDescent="0.25">
      <c r="A1085" s="10">
        <v>45674</v>
      </c>
      <c r="B1085" s="11" t="s">
        <v>2703</v>
      </c>
      <c r="C1085" s="11" t="s">
        <v>2704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9" t="s">
        <v>26</v>
      </c>
      <c r="AA1085" s="12" t="s">
        <v>31</v>
      </c>
    </row>
    <row r="1086" spans="1:27" x14ac:dyDescent="0.25">
      <c r="A1086" s="10">
        <v>45674</v>
      </c>
      <c r="B1086" s="11" t="s">
        <v>1400</v>
      </c>
      <c r="C1086" s="11" t="s">
        <v>2705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9" t="s">
        <v>26</v>
      </c>
      <c r="AA1086" s="12" t="s">
        <v>31</v>
      </c>
    </row>
    <row r="1087" spans="1:27" x14ac:dyDescent="0.25">
      <c r="A1087" s="10">
        <v>45674</v>
      </c>
      <c r="B1087" s="11" t="s">
        <v>2706</v>
      </c>
      <c r="C1087" s="11" t="s">
        <v>2707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9" t="s">
        <v>26</v>
      </c>
      <c r="AA1087" s="12" t="s">
        <v>31</v>
      </c>
    </row>
    <row r="1088" spans="1:27" x14ac:dyDescent="0.25">
      <c r="A1088" s="10">
        <v>45674</v>
      </c>
      <c r="B1088" s="11" t="s">
        <v>2708</v>
      </c>
      <c r="C1088" s="11" t="s">
        <v>2709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9" t="s">
        <v>26</v>
      </c>
      <c r="AA1088" s="12" t="s">
        <v>31</v>
      </c>
    </row>
    <row r="1089" spans="1:27" x14ac:dyDescent="0.25">
      <c r="A1089" s="10">
        <v>45674</v>
      </c>
      <c r="B1089" s="11" t="s">
        <v>2710</v>
      </c>
      <c r="C1089" s="11" t="s">
        <v>2711</v>
      </c>
      <c r="D1089" s="11" t="s">
        <v>26</v>
      </c>
      <c r="E1089" s="11" t="s">
        <v>1217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9" t="s">
        <v>26</v>
      </c>
      <c r="AA1089" s="12" t="s">
        <v>31</v>
      </c>
    </row>
    <row r="1090" spans="1:27" x14ac:dyDescent="0.25">
      <c r="A1090" s="10">
        <v>45674</v>
      </c>
      <c r="B1090" s="11" t="s">
        <v>2712</v>
      </c>
      <c r="C1090" s="11" t="s">
        <v>2713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9" t="s">
        <v>26</v>
      </c>
      <c r="AA1090" s="12" t="s">
        <v>31</v>
      </c>
    </row>
    <row r="1091" spans="1:27" x14ac:dyDescent="0.25">
      <c r="A1091" s="10">
        <v>45674</v>
      </c>
      <c r="B1091" s="11" t="s">
        <v>2714</v>
      </c>
      <c r="C1091" s="11" t="s">
        <v>2715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9" t="s">
        <v>26</v>
      </c>
      <c r="AA1091" s="12" t="s">
        <v>31</v>
      </c>
    </row>
    <row r="1092" spans="1:27" x14ac:dyDescent="0.25">
      <c r="A1092" s="10">
        <v>45675</v>
      </c>
      <c r="B1092" s="11" t="s">
        <v>2716</v>
      </c>
      <c r="C1092" s="11" t="s">
        <v>2717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4465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9" t="s">
        <v>26</v>
      </c>
      <c r="AA1092" s="12" t="s">
        <v>31</v>
      </c>
    </row>
    <row r="1093" spans="1:27" x14ac:dyDescent="0.25">
      <c r="A1093" s="10">
        <v>45675</v>
      </c>
      <c r="B1093" s="11" t="s">
        <v>688</v>
      </c>
      <c r="C1093" s="11" t="s">
        <v>2718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4439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9" t="s">
        <v>141</v>
      </c>
      <c r="AA1093" s="12" t="s">
        <v>78</v>
      </c>
    </row>
    <row r="1094" spans="1:27" x14ac:dyDescent="0.25">
      <c r="A1094" s="10">
        <v>45675</v>
      </c>
      <c r="B1094" s="11" t="s">
        <v>2719</v>
      </c>
      <c r="C1094" s="11" t="s">
        <v>2720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4465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9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2721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4440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9" t="s">
        <v>26</v>
      </c>
      <c r="AA1095" s="12" t="s">
        <v>31</v>
      </c>
    </row>
    <row r="1096" spans="1:27" x14ac:dyDescent="0.25">
      <c r="A1096" s="10">
        <v>45675</v>
      </c>
      <c r="B1096" s="11" t="s">
        <v>2722</v>
      </c>
      <c r="C1096" s="11" t="s">
        <v>2723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4439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9" t="s">
        <v>141</v>
      </c>
      <c r="AA1096" s="12" t="s">
        <v>78</v>
      </c>
    </row>
    <row r="1097" spans="1:27" x14ac:dyDescent="0.25">
      <c r="A1097" s="10">
        <v>45675</v>
      </c>
      <c r="B1097" s="11" t="s">
        <v>2724</v>
      </c>
      <c r="C1097" s="11" t="s">
        <v>2725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4439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9" t="s">
        <v>140</v>
      </c>
      <c r="AA1097" s="12" t="s">
        <v>78</v>
      </c>
    </row>
    <row r="1098" spans="1:27" x14ac:dyDescent="0.25">
      <c r="A1098" s="10">
        <v>45675</v>
      </c>
      <c r="B1098" s="11" t="s">
        <v>1473</v>
      </c>
      <c r="C1098" s="11" t="s">
        <v>2726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4439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9" t="s">
        <v>140</v>
      </c>
      <c r="AA1098" s="12" t="s">
        <v>78</v>
      </c>
    </row>
    <row r="1099" spans="1:27" x14ac:dyDescent="0.25">
      <c r="A1099" s="10">
        <v>45675</v>
      </c>
      <c r="B1099" s="11" t="s">
        <v>2727</v>
      </c>
      <c r="C1099" s="11" t="s">
        <v>2728</v>
      </c>
      <c r="D1099" s="11" t="s">
        <v>26</v>
      </c>
      <c r="E1099" s="11" t="s">
        <v>2126</v>
      </c>
      <c r="F1099" s="11" t="s">
        <v>26</v>
      </c>
      <c r="G1099" s="11" t="s">
        <v>26</v>
      </c>
      <c r="H1099" s="12" t="s">
        <v>4439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9" t="s">
        <v>140</v>
      </c>
      <c r="AA1099" s="12" t="s">
        <v>78</v>
      </c>
    </row>
    <row r="1100" spans="1:27" x14ac:dyDescent="0.25">
      <c r="A1100" s="10">
        <v>45675</v>
      </c>
      <c r="B1100" s="11" t="s">
        <v>2729</v>
      </c>
      <c r="C1100" s="11" t="s">
        <v>2730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9" t="s">
        <v>26</v>
      </c>
      <c r="AA1100" s="12" t="s">
        <v>31</v>
      </c>
    </row>
    <row r="1101" spans="1:27" x14ac:dyDescent="0.25">
      <c r="A1101" s="10">
        <v>45675</v>
      </c>
      <c r="B1101" s="11" t="s">
        <v>2731</v>
      </c>
      <c r="C1101" s="11" t="s">
        <v>2732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9" t="s">
        <v>26</v>
      </c>
      <c r="AA1101" s="12" t="s">
        <v>31</v>
      </c>
    </row>
    <row r="1102" spans="1:27" x14ac:dyDescent="0.25">
      <c r="A1102" s="10">
        <v>45675</v>
      </c>
      <c r="B1102" s="11" t="s">
        <v>2733</v>
      </c>
      <c r="C1102" s="11" t="s">
        <v>2734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4439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9" t="s">
        <v>41</v>
      </c>
      <c r="AA1102" s="12" t="s">
        <v>78</v>
      </c>
    </row>
    <row r="1103" spans="1:27" x14ac:dyDescent="0.25">
      <c r="A1103" s="10">
        <v>45675</v>
      </c>
      <c r="B1103" s="11" t="s">
        <v>2735</v>
      </c>
      <c r="C1103" s="11" t="s">
        <v>2736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9" t="s">
        <v>26</v>
      </c>
      <c r="AA1103" s="12" t="s">
        <v>31</v>
      </c>
    </row>
    <row r="1104" spans="1:27" x14ac:dyDescent="0.25">
      <c r="A1104" s="10">
        <v>45675</v>
      </c>
      <c r="B1104" s="11" t="s">
        <v>2737</v>
      </c>
      <c r="C1104" s="11" t="s">
        <v>2738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9" t="s">
        <v>26</v>
      </c>
      <c r="AA1104" s="12" t="s">
        <v>31</v>
      </c>
    </row>
    <row r="1105" spans="1:27" x14ac:dyDescent="0.25">
      <c r="A1105" s="10">
        <v>45675</v>
      </c>
      <c r="B1105" s="11" t="s">
        <v>2739</v>
      </c>
      <c r="C1105" s="11" t="s">
        <v>2740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9" t="s">
        <v>26</v>
      </c>
      <c r="AA1105" s="12" t="s">
        <v>31</v>
      </c>
    </row>
    <row r="1106" spans="1:27" x14ac:dyDescent="0.25">
      <c r="A1106" s="10">
        <v>45675</v>
      </c>
      <c r="B1106" s="11" t="s">
        <v>2741</v>
      </c>
      <c r="C1106" s="11" t="s">
        <v>2742</v>
      </c>
      <c r="D1106" s="11" t="s">
        <v>26</v>
      </c>
      <c r="E1106" s="11" t="s">
        <v>659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9" t="s">
        <v>26</v>
      </c>
      <c r="AA1106" s="12" t="s">
        <v>31</v>
      </c>
    </row>
    <row r="1107" spans="1:27" x14ac:dyDescent="0.25">
      <c r="A1107" s="10">
        <v>45675</v>
      </c>
      <c r="B1107" s="11" t="s">
        <v>2743</v>
      </c>
      <c r="C1107" s="11" t="s">
        <v>2744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4439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9" t="s">
        <v>41</v>
      </c>
      <c r="AA1107" s="12" t="s">
        <v>78</v>
      </c>
    </row>
    <row r="1108" spans="1:27" x14ac:dyDescent="0.25">
      <c r="A1108" s="10">
        <v>45675</v>
      </c>
      <c r="B1108" s="11" t="s">
        <v>2745</v>
      </c>
      <c r="C1108" s="11" t="s">
        <v>2746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4439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9" t="s">
        <v>141</v>
      </c>
      <c r="AA1108" s="12" t="s">
        <v>78</v>
      </c>
    </row>
    <row r="1109" spans="1:27" x14ac:dyDescent="0.25">
      <c r="A1109" s="10">
        <v>45675</v>
      </c>
      <c r="B1109" s="11" t="s">
        <v>2747</v>
      </c>
      <c r="C1109" s="11" t="s">
        <v>2748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4440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9" t="s">
        <v>26</v>
      </c>
      <c r="AA1109" s="12" t="s">
        <v>31</v>
      </c>
    </row>
    <row r="1110" spans="1:27" x14ac:dyDescent="0.25">
      <c r="A1110" s="10">
        <v>45675</v>
      </c>
      <c r="B1110" s="11" t="s">
        <v>2749</v>
      </c>
      <c r="C1110" s="11" t="s">
        <v>2750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4440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9" t="s">
        <v>26</v>
      </c>
      <c r="AA1110" s="12" t="s">
        <v>31</v>
      </c>
    </row>
    <row r="1111" spans="1:27" x14ac:dyDescent="0.25">
      <c r="A1111" s="10">
        <v>45675</v>
      </c>
      <c r="B1111" s="11" t="s">
        <v>2751</v>
      </c>
      <c r="C1111" s="11" t="s">
        <v>2752</v>
      </c>
      <c r="D1111" s="11" t="s">
        <v>26</v>
      </c>
      <c r="E1111" s="11" t="s">
        <v>1217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9" t="s">
        <v>26</v>
      </c>
      <c r="AA1111" s="12" t="s">
        <v>31</v>
      </c>
    </row>
    <row r="1112" spans="1:27" x14ac:dyDescent="0.25">
      <c r="A1112" s="10">
        <v>45675</v>
      </c>
      <c r="B1112" s="11" t="s">
        <v>2753</v>
      </c>
      <c r="C1112" s="11" t="s">
        <v>2754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4440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9" t="s">
        <v>26</v>
      </c>
      <c r="AA1112" s="12" t="s">
        <v>31</v>
      </c>
    </row>
    <row r="1113" spans="1:27" x14ac:dyDescent="0.25">
      <c r="A1113" s="10">
        <v>45675</v>
      </c>
      <c r="B1113" s="11" t="s">
        <v>2755</v>
      </c>
      <c r="C1113" s="11" t="s">
        <v>2756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9" t="s">
        <v>26</v>
      </c>
      <c r="AA1113" s="12" t="s">
        <v>31</v>
      </c>
    </row>
    <row r="1114" spans="1:27" x14ac:dyDescent="0.25">
      <c r="A1114" s="10">
        <v>45675</v>
      </c>
      <c r="B1114" s="11" t="s">
        <v>1884</v>
      </c>
      <c r="C1114" s="11" t="s">
        <v>2757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9" t="s">
        <v>26</v>
      </c>
      <c r="AA1114" s="12" t="s">
        <v>31</v>
      </c>
    </row>
    <row r="1115" spans="1:27" x14ac:dyDescent="0.25">
      <c r="A1115" s="10">
        <v>45675</v>
      </c>
      <c r="B1115" s="11" t="s">
        <v>426</v>
      </c>
      <c r="C1115" s="11" t="s">
        <v>2758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9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2759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9" t="s">
        <v>26</v>
      </c>
      <c r="AA1116" s="12" t="s">
        <v>31</v>
      </c>
    </row>
    <row r="1117" spans="1:27" x14ac:dyDescent="0.25">
      <c r="A1117" s="10">
        <v>45675</v>
      </c>
      <c r="B1117" s="11" t="s">
        <v>281</v>
      </c>
      <c r="C1117" s="11" t="s">
        <v>2760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4463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9" t="s">
        <v>26</v>
      </c>
      <c r="AA1117" s="12" t="s">
        <v>31</v>
      </c>
    </row>
    <row r="1118" spans="1:27" x14ac:dyDescent="0.25">
      <c r="A1118" s="10">
        <v>45675</v>
      </c>
      <c r="B1118" s="11" t="s">
        <v>623</v>
      </c>
      <c r="C1118" s="11" t="s">
        <v>2761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4465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9" t="s">
        <v>26</v>
      </c>
      <c r="AA1118" s="12" t="s">
        <v>31</v>
      </c>
    </row>
    <row r="1119" spans="1:27" x14ac:dyDescent="0.25">
      <c r="A1119" s="10">
        <v>45675</v>
      </c>
      <c r="B1119" s="11" t="s">
        <v>724</v>
      </c>
      <c r="C1119" s="11" t="s">
        <v>2762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9" t="s">
        <v>26</v>
      </c>
      <c r="AA1119" s="12" t="s">
        <v>31</v>
      </c>
    </row>
    <row r="1120" spans="1:27" x14ac:dyDescent="0.25">
      <c r="A1120" s="10">
        <v>45675</v>
      </c>
      <c r="B1120" s="11" t="s">
        <v>2763</v>
      </c>
      <c r="C1120" s="11" t="s">
        <v>2764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9" t="s">
        <v>26</v>
      </c>
      <c r="AA1120" s="12" t="s">
        <v>31</v>
      </c>
    </row>
    <row r="1121" spans="1:27" x14ac:dyDescent="0.25">
      <c r="A1121" s="10">
        <v>45675</v>
      </c>
      <c r="B1121" s="11" t="s">
        <v>2765</v>
      </c>
      <c r="C1121" s="11" t="s">
        <v>2766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9" t="s">
        <v>26</v>
      </c>
      <c r="AA1121" s="12" t="s">
        <v>31</v>
      </c>
    </row>
    <row r="1122" spans="1:27" x14ac:dyDescent="0.25">
      <c r="A1122" s="10">
        <v>45675</v>
      </c>
      <c r="B1122" s="11" t="s">
        <v>2767</v>
      </c>
      <c r="C1122" s="11" t="s">
        <v>2768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9" t="s">
        <v>26</v>
      </c>
      <c r="AA1122" s="12" t="s">
        <v>31</v>
      </c>
    </row>
    <row r="1123" spans="1:27" x14ac:dyDescent="0.25">
      <c r="A1123" s="10">
        <v>45675</v>
      </c>
      <c r="B1123" s="11" t="s">
        <v>2769</v>
      </c>
      <c r="C1123" s="11" t="s">
        <v>2770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9" t="s">
        <v>26</v>
      </c>
      <c r="AA1123" s="12" t="s">
        <v>31</v>
      </c>
    </row>
    <row r="1124" spans="1:27" x14ac:dyDescent="0.25">
      <c r="A1124" s="10">
        <v>45675</v>
      </c>
      <c r="B1124" s="11" t="s">
        <v>2771</v>
      </c>
      <c r="C1124" s="11" t="s">
        <v>2772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9" t="s">
        <v>26</v>
      </c>
      <c r="AA1124" s="12" t="s">
        <v>31</v>
      </c>
    </row>
    <row r="1125" spans="1:27" x14ac:dyDescent="0.25">
      <c r="A1125" s="10">
        <v>45675</v>
      </c>
      <c r="B1125" s="11" t="s">
        <v>2773</v>
      </c>
      <c r="C1125" s="11" t="s">
        <v>2774</v>
      </c>
      <c r="D1125" s="11" t="s">
        <v>26</v>
      </c>
      <c r="E1125" s="11" t="s">
        <v>1217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9" t="s">
        <v>26</v>
      </c>
      <c r="AA1125" s="12" t="s">
        <v>31</v>
      </c>
    </row>
    <row r="1126" spans="1:27" x14ac:dyDescent="0.25">
      <c r="A1126" s="10">
        <v>45675</v>
      </c>
      <c r="B1126" s="11" t="s">
        <v>2775</v>
      </c>
      <c r="C1126" s="11" t="s">
        <v>2776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9" t="s">
        <v>26</v>
      </c>
      <c r="AA1126" s="12" t="s">
        <v>31</v>
      </c>
    </row>
    <row r="1127" spans="1:27" x14ac:dyDescent="0.25">
      <c r="A1127" s="10">
        <v>45675</v>
      </c>
      <c r="B1127" s="11" t="s">
        <v>2777</v>
      </c>
      <c r="C1127" s="11" t="s">
        <v>2778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9" t="s">
        <v>26</v>
      </c>
      <c r="AA1127" s="12" t="s">
        <v>31</v>
      </c>
    </row>
    <row r="1128" spans="1:27" x14ac:dyDescent="0.25">
      <c r="A1128" s="10">
        <v>45675</v>
      </c>
      <c r="B1128" s="11" t="s">
        <v>2779</v>
      </c>
      <c r="C1128" s="11" t="s">
        <v>2780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9" t="s">
        <v>26</v>
      </c>
      <c r="AA1128" s="12" t="s">
        <v>31</v>
      </c>
    </row>
    <row r="1129" spans="1:27" x14ac:dyDescent="0.25">
      <c r="A1129" s="10">
        <v>45675</v>
      </c>
      <c r="B1129" s="11" t="s">
        <v>2781</v>
      </c>
      <c r="C1129" s="11" t="s">
        <v>2782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4463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9" t="s">
        <v>26</v>
      </c>
      <c r="AA1129" s="12" t="s">
        <v>31</v>
      </c>
    </row>
    <row r="1130" spans="1:27" x14ac:dyDescent="0.25">
      <c r="A1130" s="10">
        <v>45675</v>
      </c>
      <c r="B1130" s="11" t="s">
        <v>2783</v>
      </c>
      <c r="C1130" s="11" t="s">
        <v>2784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9" t="s">
        <v>26</v>
      </c>
      <c r="AA1130" s="12" t="s">
        <v>31</v>
      </c>
    </row>
    <row r="1131" spans="1:27" x14ac:dyDescent="0.25">
      <c r="A1131" s="10">
        <v>45675</v>
      </c>
      <c r="B1131" s="11" t="s">
        <v>384</v>
      </c>
      <c r="C1131" s="11" t="s">
        <v>2785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9" t="s">
        <v>26</v>
      </c>
      <c r="AA1131" s="12" t="s">
        <v>31</v>
      </c>
    </row>
    <row r="1132" spans="1:27" x14ac:dyDescent="0.25">
      <c r="A1132" s="10">
        <v>45675</v>
      </c>
      <c r="B1132" s="11" t="s">
        <v>616</v>
      </c>
      <c r="C1132" s="11" t="s">
        <v>2786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9" t="s">
        <v>26</v>
      </c>
      <c r="AA1132" s="12" t="s">
        <v>31</v>
      </c>
    </row>
    <row r="1133" spans="1:27" x14ac:dyDescent="0.25">
      <c r="A1133" s="10">
        <v>45675</v>
      </c>
      <c r="B1133" s="11" t="s">
        <v>2787</v>
      </c>
      <c r="C1133" s="11" t="s">
        <v>2788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9" t="s">
        <v>26</v>
      </c>
      <c r="AA1133" s="12" t="s">
        <v>31</v>
      </c>
    </row>
    <row r="1134" spans="1:27" x14ac:dyDescent="0.25">
      <c r="A1134" s="10">
        <v>45675</v>
      </c>
      <c r="B1134" s="11" t="s">
        <v>2789</v>
      </c>
      <c r="C1134" s="11" t="s">
        <v>2790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4439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9" t="s">
        <v>41</v>
      </c>
      <c r="AA1134" s="12" t="s">
        <v>78</v>
      </c>
    </row>
    <row r="1135" spans="1:27" x14ac:dyDescent="0.25">
      <c r="A1135" s="10">
        <v>45675</v>
      </c>
      <c r="B1135" s="11" t="s">
        <v>256</v>
      </c>
      <c r="C1135" s="11" t="s">
        <v>2791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9" t="s">
        <v>26</v>
      </c>
      <c r="AA1135" s="12" t="s">
        <v>31</v>
      </c>
    </row>
    <row r="1136" spans="1:27" x14ac:dyDescent="0.25">
      <c r="A1136" s="10">
        <v>45675</v>
      </c>
      <c r="B1136" s="11" t="s">
        <v>1681</v>
      </c>
      <c r="C1136" s="11" t="s">
        <v>2792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4440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9" t="s">
        <v>26</v>
      </c>
      <c r="AA1136" s="12" t="s">
        <v>31</v>
      </c>
    </row>
    <row r="1137" spans="1:27" x14ac:dyDescent="0.25">
      <c r="A1137" s="10">
        <v>45675</v>
      </c>
      <c r="B1137" s="11" t="s">
        <v>2793</v>
      </c>
      <c r="C1137" s="11" t="s">
        <v>2794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9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2795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9" t="s">
        <v>26</v>
      </c>
      <c r="AA1138" s="12" t="s">
        <v>31</v>
      </c>
    </row>
    <row r="1139" spans="1:27" x14ac:dyDescent="0.25">
      <c r="A1139" s="10">
        <v>45675</v>
      </c>
      <c r="B1139" s="11" t="s">
        <v>460</v>
      </c>
      <c r="C1139" s="11" t="s">
        <v>2796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9" t="s">
        <v>26</v>
      </c>
      <c r="AA1139" s="12" t="s">
        <v>31</v>
      </c>
    </row>
    <row r="1140" spans="1:27" x14ac:dyDescent="0.25">
      <c r="A1140" s="10">
        <v>45675</v>
      </c>
      <c r="B1140" s="11" t="s">
        <v>344</v>
      </c>
      <c r="C1140" s="11" t="s">
        <v>2797</v>
      </c>
      <c r="D1140" s="11" t="s">
        <v>26</v>
      </c>
      <c r="E1140" s="11" t="s">
        <v>1217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9" t="s">
        <v>26</v>
      </c>
      <c r="AA1140" s="12" t="s">
        <v>31</v>
      </c>
    </row>
    <row r="1141" spans="1:27" x14ac:dyDescent="0.25">
      <c r="A1141" s="10">
        <v>45675</v>
      </c>
      <c r="B1141" s="11" t="s">
        <v>2798</v>
      </c>
      <c r="C1141" s="11" t="s">
        <v>2799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9" t="s">
        <v>26</v>
      </c>
      <c r="AA1141" s="12" t="s">
        <v>31</v>
      </c>
    </row>
    <row r="1142" spans="1:27" x14ac:dyDescent="0.25">
      <c r="A1142" s="10">
        <v>45675</v>
      </c>
      <c r="B1142" s="11" t="s">
        <v>2800</v>
      </c>
      <c r="C1142" s="11" t="s">
        <v>2801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9" t="s">
        <v>26</v>
      </c>
      <c r="AA1142" s="12" t="s">
        <v>31</v>
      </c>
    </row>
    <row r="1143" spans="1:27" x14ac:dyDescent="0.25">
      <c r="A1143" s="10">
        <v>45675</v>
      </c>
      <c r="B1143" s="11" t="s">
        <v>2802</v>
      </c>
      <c r="C1143" s="11" t="s">
        <v>2803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9" t="s">
        <v>26</v>
      </c>
      <c r="AA1143" s="12" t="s">
        <v>31</v>
      </c>
    </row>
    <row r="1144" spans="1:27" x14ac:dyDescent="0.25">
      <c r="A1144" s="10">
        <v>45675</v>
      </c>
      <c r="B1144" s="11" t="s">
        <v>675</v>
      </c>
      <c r="C1144" s="11" t="s">
        <v>2804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1926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9" t="s">
        <v>26</v>
      </c>
      <c r="AA1144" s="12" t="s">
        <v>31</v>
      </c>
    </row>
    <row r="1145" spans="1:27" x14ac:dyDescent="0.25">
      <c r="A1145" s="10">
        <v>45675</v>
      </c>
      <c r="B1145" s="11" t="s">
        <v>2805</v>
      </c>
      <c r="C1145" s="11" t="s">
        <v>2806</v>
      </c>
      <c r="D1145" s="11" t="s">
        <v>26</v>
      </c>
      <c r="E1145" s="11" t="s">
        <v>659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9" t="s">
        <v>26</v>
      </c>
      <c r="AA1145" s="12" t="s">
        <v>31</v>
      </c>
    </row>
    <row r="1146" spans="1:27" x14ac:dyDescent="0.25">
      <c r="A1146" s="10">
        <v>45675</v>
      </c>
      <c r="B1146" s="11" t="s">
        <v>1153</v>
      </c>
      <c r="C1146" s="11" t="s">
        <v>2807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9" t="s">
        <v>26</v>
      </c>
      <c r="AA1146" s="12" t="s">
        <v>31</v>
      </c>
    </row>
    <row r="1147" spans="1:27" x14ac:dyDescent="0.25">
      <c r="A1147" s="10">
        <v>45675</v>
      </c>
      <c r="B1147" s="11" t="s">
        <v>1385</v>
      </c>
      <c r="C1147" s="11" t="s">
        <v>2808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4440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9" t="s">
        <v>26</v>
      </c>
      <c r="AA1147" s="12" t="s">
        <v>31</v>
      </c>
    </row>
    <row r="1148" spans="1:27" x14ac:dyDescent="0.25">
      <c r="A1148" s="10">
        <v>45675</v>
      </c>
      <c r="B1148" s="11" t="s">
        <v>2809</v>
      </c>
      <c r="C1148" s="11" t="s">
        <v>2810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9" t="s">
        <v>26</v>
      </c>
      <c r="AA1148" s="12" t="s">
        <v>31</v>
      </c>
    </row>
    <row r="1149" spans="1:27" x14ac:dyDescent="0.25">
      <c r="A1149" s="10">
        <v>45675</v>
      </c>
      <c r="B1149" s="11" t="s">
        <v>1328</v>
      </c>
      <c r="C1149" s="11" t="s">
        <v>2811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4463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9" t="s">
        <v>26</v>
      </c>
      <c r="AA1149" s="12" t="s">
        <v>31</v>
      </c>
    </row>
    <row r="1150" spans="1:27" x14ac:dyDescent="0.25">
      <c r="A1150" s="10">
        <v>45675</v>
      </c>
      <c r="B1150" s="11" t="s">
        <v>365</v>
      </c>
      <c r="C1150" s="11" t="s">
        <v>2812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4441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9" t="s">
        <v>141</v>
      </c>
      <c r="AA1150" s="12" t="s">
        <v>658</v>
      </c>
    </row>
    <row r="1151" spans="1:27" x14ac:dyDescent="0.25">
      <c r="A1151" s="10">
        <v>45675</v>
      </c>
      <c r="B1151" s="11" t="s">
        <v>259</v>
      </c>
      <c r="C1151" s="11" t="s">
        <v>2813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4465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9" t="s">
        <v>26</v>
      </c>
      <c r="AA1151" s="12" t="s">
        <v>31</v>
      </c>
    </row>
    <row r="1152" spans="1:27" x14ac:dyDescent="0.25">
      <c r="A1152" s="10">
        <v>45675</v>
      </c>
      <c r="B1152" s="11" t="s">
        <v>2814</v>
      </c>
      <c r="C1152" s="11" t="s">
        <v>2815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9" t="s">
        <v>26</v>
      </c>
      <c r="AA1152" s="12" t="s">
        <v>31</v>
      </c>
    </row>
    <row r="1153" spans="1:27" x14ac:dyDescent="0.25">
      <c r="A1153" s="10">
        <v>45675</v>
      </c>
      <c r="B1153" s="11" t="s">
        <v>452</v>
      </c>
      <c r="C1153" s="11" t="s">
        <v>2816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9" t="s">
        <v>26</v>
      </c>
      <c r="AA1153" s="12" t="s">
        <v>31</v>
      </c>
    </row>
    <row r="1154" spans="1:27" x14ac:dyDescent="0.25">
      <c r="A1154" s="10">
        <v>45675</v>
      </c>
      <c r="B1154" s="11" t="s">
        <v>2569</v>
      </c>
      <c r="C1154" s="11" t="s">
        <v>2817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9" t="s">
        <v>26</v>
      </c>
      <c r="AA1154" s="12" t="s">
        <v>31</v>
      </c>
    </row>
    <row r="1155" spans="1:27" x14ac:dyDescent="0.25">
      <c r="A1155" s="10">
        <v>45675</v>
      </c>
      <c r="B1155" s="11" t="s">
        <v>1913</v>
      </c>
      <c r="C1155" s="11" t="s">
        <v>2818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9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2819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9" t="s">
        <v>26</v>
      </c>
      <c r="AA1156" s="12" t="s">
        <v>31</v>
      </c>
    </row>
    <row r="1157" spans="1:27" x14ac:dyDescent="0.25">
      <c r="A1157" s="10">
        <v>45675</v>
      </c>
      <c r="B1157" s="11" t="s">
        <v>2733</v>
      </c>
      <c r="C1157" s="11" t="s">
        <v>2820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9" t="s">
        <v>26</v>
      </c>
      <c r="AA1157" s="12" t="s">
        <v>31</v>
      </c>
    </row>
    <row r="1158" spans="1:27" x14ac:dyDescent="0.25">
      <c r="A1158" s="10">
        <v>45675</v>
      </c>
      <c r="B1158" s="11" t="s">
        <v>255</v>
      </c>
      <c r="C1158" s="11" t="s">
        <v>2821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9" t="s">
        <v>26</v>
      </c>
      <c r="AA1158" s="12" t="s">
        <v>31</v>
      </c>
    </row>
    <row r="1159" spans="1:27" x14ac:dyDescent="0.25">
      <c r="A1159" s="10">
        <v>45675</v>
      </c>
      <c r="B1159" s="11" t="s">
        <v>2822</v>
      </c>
      <c r="C1159" s="11" t="s">
        <v>2823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9" t="s">
        <v>26</v>
      </c>
      <c r="AA1159" s="12" t="s">
        <v>31</v>
      </c>
    </row>
    <row r="1160" spans="1:27" x14ac:dyDescent="0.25">
      <c r="A1160" s="10">
        <v>45675</v>
      </c>
      <c r="B1160" s="11" t="s">
        <v>2824</v>
      </c>
      <c r="C1160" s="11" t="s">
        <v>2825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4441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9" t="s">
        <v>141</v>
      </c>
      <c r="AA1160" s="12" t="s">
        <v>658</v>
      </c>
    </row>
    <row r="1161" spans="1:27" x14ac:dyDescent="0.25">
      <c r="A1161" s="10">
        <v>45677</v>
      </c>
      <c r="B1161" s="11" t="s">
        <v>430</v>
      </c>
      <c r="C1161" s="11" t="s">
        <v>2826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9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2827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4439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9" t="s">
        <v>141</v>
      </c>
      <c r="AA1162" s="12" t="s">
        <v>78</v>
      </c>
    </row>
    <row r="1163" spans="1:27" x14ac:dyDescent="0.25">
      <c r="A1163" s="10">
        <v>45677</v>
      </c>
      <c r="B1163" s="11" t="s">
        <v>2326</v>
      </c>
      <c r="C1163" s="11" t="s">
        <v>2828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9" t="s">
        <v>26</v>
      </c>
      <c r="AA1163" s="12" t="s">
        <v>31</v>
      </c>
    </row>
    <row r="1164" spans="1:27" x14ac:dyDescent="0.25">
      <c r="A1164" s="10">
        <v>45677</v>
      </c>
      <c r="B1164" s="11" t="s">
        <v>2246</v>
      </c>
      <c r="C1164" s="11" t="s">
        <v>2829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9" t="s">
        <v>26</v>
      </c>
      <c r="AA1164" s="12" t="s">
        <v>31</v>
      </c>
    </row>
    <row r="1165" spans="1:27" x14ac:dyDescent="0.25">
      <c r="A1165" s="10">
        <v>45677</v>
      </c>
      <c r="B1165" s="11" t="s">
        <v>2576</v>
      </c>
      <c r="C1165" s="11" t="s">
        <v>2830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4439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9" t="s">
        <v>141</v>
      </c>
      <c r="AA1165" s="12" t="s">
        <v>78</v>
      </c>
    </row>
    <row r="1166" spans="1:27" x14ac:dyDescent="0.25">
      <c r="A1166" s="10">
        <v>45677</v>
      </c>
      <c r="B1166" s="11" t="s">
        <v>2831</v>
      </c>
      <c r="C1166" s="11" t="s">
        <v>2832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4439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9" t="s">
        <v>41</v>
      </c>
      <c r="AA1166" s="12" t="s">
        <v>78</v>
      </c>
    </row>
    <row r="1167" spans="1:27" x14ac:dyDescent="0.25">
      <c r="A1167" s="10">
        <v>45677</v>
      </c>
      <c r="B1167" s="11" t="s">
        <v>2833</v>
      </c>
      <c r="C1167" s="11" t="s">
        <v>2834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4465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9" t="s">
        <v>26</v>
      </c>
      <c r="AA1167" s="12" t="s">
        <v>31</v>
      </c>
    </row>
    <row r="1168" spans="1:27" x14ac:dyDescent="0.25">
      <c r="A1168" s="10">
        <v>45677</v>
      </c>
      <c r="B1168" s="11" t="s">
        <v>1888</v>
      </c>
      <c r="C1168" s="11" t="s">
        <v>2835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4439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9" t="s">
        <v>141</v>
      </c>
      <c r="AA1168" s="12" t="s">
        <v>78</v>
      </c>
    </row>
    <row r="1169" spans="1:27" x14ac:dyDescent="0.25">
      <c r="A1169" s="10">
        <v>45677</v>
      </c>
      <c r="B1169" s="11" t="s">
        <v>2836</v>
      </c>
      <c r="C1169" s="11" t="s">
        <v>2837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9" t="s">
        <v>26</v>
      </c>
      <c r="AA1169" s="12" t="s">
        <v>31</v>
      </c>
    </row>
    <row r="1170" spans="1:27" x14ac:dyDescent="0.25">
      <c r="A1170" s="10">
        <v>45677</v>
      </c>
      <c r="B1170" s="11" t="s">
        <v>2838</v>
      </c>
      <c r="C1170" s="11" t="s">
        <v>2839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4439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9" t="s">
        <v>41</v>
      </c>
      <c r="AA1170" s="12" t="s">
        <v>78</v>
      </c>
    </row>
    <row r="1171" spans="1:27" x14ac:dyDescent="0.25">
      <c r="A1171" s="10">
        <v>45677</v>
      </c>
      <c r="B1171" s="11" t="s">
        <v>666</v>
      </c>
      <c r="C1171" s="11" t="s">
        <v>2840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4463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9" t="s">
        <v>26</v>
      </c>
      <c r="AA1171" s="12" t="s">
        <v>31</v>
      </c>
    </row>
    <row r="1172" spans="1:27" x14ac:dyDescent="0.25">
      <c r="A1172" s="10">
        <v>45677</v>
      </c>
      <c r="B1172" s="11" t="s">
        <v>2841</v>
      </c>
      <c r="C1172" s="11" t="s">
        <v>2842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9" t="s">
        <v>26</v>
      </c>
      <c r="AA1172" s="12" t="s">
        <v>31</v>
      </c>
    </row>
    <row r="1173" spans="1:27" x14ac:dyDescent="0.25">
      <c r="A1173" s="10">
        <v>45677</v>
      </c>
      <c r="B1173" s="11" t="s">
        <v>2843</v>
      </c>
      <c r="C1173" s="11" t="s">
        <v>2844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4440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9" t="s">
        <v>26</v>
      </c>
      <c r="AA1173" s="12" t="s">
        <v>31</v>
      </c>
    </row>
    <row r="1174" spans="1:27" x14ac:dyDescent="0.25">
      <c r="A1174" s="10">
        <v>45677</v>
      </c>
      <c r="B1174" s="11" t="s">
        <v>2845</v>
      </c>
      <c r="C1174" s="11" t="s">
        <v>2846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9" t="s">
        <v>26</v>
      </c>
      <c r="AA1174" s="12" t="s">
        <v>31</v>
      </c>
    </row>
    <row r="1175" spans="1:27" x14ac:dyDescent="0.25">
      <c r="A1175" s="10">
        <v>45677</v>
      </c>
      <c r="B1175" s="11" t="s">
        <v>2847</v>
      </c>
      <c r="C1175" s="11" t="s">
        <v>2848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9" t="s">
        <v>26</v>
      </c>
      <c r="AA1175" s="12" t="s">
        <v>31</v>
      </c>
    </row>
    <row r="1176" spans="1:27" x14ac:dyDescent="0.25">
      <c r="A1176" s="10">
        <v>45677</v>
      </c>
      <c r="B1176" s="11" t="s">
        <v>199</v>
      </c>
      <c r="C1176" s="11" t="s">
        <v>2849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9" t="s">
        <v>26</v>
      </c>
      <c r="AA1176" s="12" t="s">
        <v>31</v>
      </c>
    </row>
    <row r="1177" spans="1:27" x14ac:dyDescent="0.25">
      <c r="A1177" s="10">
        <v>45677</v>
      </c>
      <c r="B1177" s="11" t="s">
        <v>354</v>
      </c>
      <c r="C1177" s="11" t="s">
        <v>2850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9" t="s">
        <v>26</v>
      </c>
      <c r="AA1177" s="12" t="s">
        <v>31</v>
      </c>
    </row>
    <row r="1178" spans="1:27" x14ac:dyDescent="0.25">
      <c r="A1178" s="10">
        <v>45677</v>
      </c>
      <c r="B1178" s="11" t="s">
        <v>2851</v>
      </c>
      <c r="C1178" s="11" t="s">
        <v>2852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9" t="s">
        <v>26</v>
      </c>
      <c r="AA1178" s="12" t="s">
        <v>31</v>
      </c>
    </row>
    <row r="1179" spans="1:27" x14ac:dyDescent="0.25">
      <c r="A1179" s="10">
        <v>45677</v>
      </c>
      <c r="B1179" s="11" t="s">
        <v>2853</v>
      </c>
      <c r="C1179" s="11" t="s">
        <v>2854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4439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9" t="s">
        <v>140</v>
      </c>
      <c r="AA1179" s="12" t="s">
        <v>78</v>
      </c>
    </row>
    <row r="1180" spans="1:27" x14ac:dyDescent="0.25">
      <c r="A1180" s="10">
        <v>45677</v>
      </c>
      <c r="B1180" s="11" t="s">
        <v>2855</v>
      </c>
      <c r="C1180" s="11" t="s">
        <v>2856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9" t="s">
        <v>26</v>
      </c>
      <c r="AA1180" s="12" t="s">
        <v>31</v>
      </c>
    </row>
    <row r="1181" spans="1:27" x14ac:dyDescent="0.25">
      <c r="A1181" s="10">
        <v>45677</v>
      </c>
      <c r="B1181" s="11" t="s">
        <v>2857</v>
      </c>
      <c r="C1181" s="11" t="s">
        <v>2858</v>
      </c>
      <c r="D1181" s="11" t="s">
        <v>26</v>
      </c>
      <c r="E1181" s="11" t="s">
        <v>702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9" t="s">
        <v>26</v>
      </c>
      <c r="AA1181" s="12" t="s">
        <v>31</v>
      </c>
    </row>
    <row r="1182" spans="1:27" x14ac:dyDescent="0.25">
      <c r="A1182" s="10">
        <v>45677</v>
      </c>
      <c r="B1182" s="11" t="s">
        <v>2859</v>
      </c>
      <c r="C1182" s="11" t="s">
        <v>2860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9" t="s">
        <v>26</v>
      </c>
      <c r="AA1182" s="12" t="s">
        <v>31</v>
      </c>
    </row>
    <row r="1183" spans="1:27" x14ac:dyDescent="0.25">
      <c r="A1183" s="10">
        <v>45677</v>
      </c>
      <c r="B1183" s="11" t="s">
        <v>2861</v>
      </c>
      <c r="C1183" s="11" t="s">
        <v>2862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9" t="s">
        <v>26</v>
      </c>
      <c r="AA1183" s="12" t="s">
        <v>31</v>
      </c>
    </row>
    <row r="1184" spans="1:27" x14ac:dyDescent="0.25">
      <c r="A1184" s="10">
        <v>45677</v>
      </c>
      <c r="B1184" s="11" t="s">
        <v>2863</v>
      </c>
      <c r="C1184" s="11" t="s">
        <v>2864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9" t="s">
        <v>26</v>
      </c>
      <c r="AA1184" s="12" t="s">
        <v>31</v>
      </c>
    </row>
    <row r="1185" spans="1:27" x14ac:dyDescent="0.25">
      <c r="A1185" s="10">
        <v>45677</v>
      </c>
      <c r="B1185" s="11" t="s">
        <v>2865</v>
      </c>
      <c r="C1185" s="11" t="s">
        <v>2866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9" t="s">
        <v>26</v>
      </c>
      <c r="AA1185" s="12" t="s">
        <v>31</v>
      </c>
    </row>
    <row r="1186" spans="1:27" x14ac:dyDescent="0.25">
      <c r="A1186" s="10">
        <v>45677</v>
      </c>
      <c r="B1186" s="11" t="s">
        <v>2867</v>
      </c>
      <c r="C1186" s="11" t="s">
        <v>2868</v>
      </c>
      <c r="D1186" s="11" t="s">
        <v>26</v>
      </c>
      <c r="E1186" s="11" t="s">
        <v>659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9" t="s">
        <v>26</v>
      </c>
      <c r="AA1186" s="12" t="s">
        <v>31</v>
      </c>
    </row>
    <row r="1187" spans="1:27" x14ac:dyDescent="0.25">
      <c r="A1187" s="10">
        <v>45677</v>
      </c>
      <c r="B1187" s="11" t="s">
        <v>2869</v>
      </c>
      <c r="C1187" s="11" t="s">
        <v>2870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9" t="s">
        <v>26</v>
      </c>
      <c r="AA1187" s="12" t="s">
        <v>31</v>
      </c>
    </row>
    <row r="1188" spans="1:27" x14ac:dyDescent="0.25">
      <c r="A1188" s="10">
        <v>45677</v>
      </c>
      <c r="B1188" s="11" t="s">
        <v>2871</v>
      </c>
      <c r="C1188" s="11" t="s">
        <v>2872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4439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9" t="s">
        <v>41</v>
      </c>
      <c r="AA1188" s="12" t="s">
        <v>78</v>
      </c>
    </row>
    <row r="1189" spans="1:27" x14ac:dyDescent="0.25">
      <c r="A1189" s="10">
        <v>45677</v>
      </c>
      <c r="B1189" s="11" t="s">
        <v>359</v>
      </c>
      <c r="C1189" s="11" t="s">
        <v>2873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9" t="s">
        <v>26</v>
      </c>
      <c r="AA1189" s="12" t="s">
        <v>31</v>
      </c>
    </row>
    <row r="1190" spans="1:27" x14ac:dyDescent="0.25">
      <c r="A1190" s="10">
        <v>45677</v>
      </c>
      <c r="B1190" s="11" t="s">
        <v>674</v>
      </c>
      <c r="C1190" s="11" t="s">
        <v>2874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9" t="s">
        <v>26</v>
      </c>
      <c r="AA1190" s="12" t="s">
        <v>31</v>
      </c>
    </row>
    <row r="1191" spans="1:27" x14ac:dyDescent="0.25">
      <c r="A1191" s="10">
        <v>45677</v>
      </c>
      <c r="B1191" s="11" t="s">
        <v>2875</v>
      </c>
      <c r="C1191" s="11" t="s">
        <v>2876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4440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9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2877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9" t="s">
        <v>26</v>
      </c>
      <c r="AA1192" s="12" t="s">
        <v>31</v>
      </c>
    </row>
    <row r="1193" spans="1:27" x14ac:dyDescent="0.25">
      <c r="A1193" s="10">
        <v>45677</v>
      </c>
      <c r="B1193" s="11" t="s">
        <v>2878</v>
      </c>
      <c r="C1193" s="11" t="s">
        <v>2879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9" t="s">
        <v>26</v>
      </c>
      <c r="AA1193" s="12" t="s">
        <v>31</v>
      </c>
    </row>
    <row r="1194" spans="1:27" x14ac:dyDescent="0.25">
      <c r="A1194" s="10">
        <v>45677</v>
      </c>
      <c r="B1194" s="11" t="s">
        <v>2880</v>
      </c>
      <c r="C1194" s="11" t="s">
        <v>2881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4439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9" t="s">
        <v>140</v>
      </c>
      <c r="AA1194" s="12" t="s">
        <v>78</v>
      </c>
    </row>
    <row r="1195" spans="1:27" x14ac:dyDescent="0.25">
      <c r="A1195" s="10">
        <v>45677</v>
      </c>
      <c r="B1195" s="11" t="s">
        <v>2882</v>
      </c>
      <c r="C1195" s="11" t="s">
        <v>2883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4465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9" t="s">
        <v>26</v>
      </c>
      <c r="AA1195" s="12" t="s">
        <v>31</v>
      </c>
    </row>
    <row r="1196" spans="1:27" x14ac:dyDescent="0.25">
      <c r="A1196" s="10">
        <v>45677</v>
      </c>
      <c r="B1196" s="11" t="s">
        <v>663</v>
      </c>
      <c r="C1196" s="11" t="s">
        <v>2884</v>
      </c>
      <c r="D1196" s="11" t="s">
        <v>26</v>
      </c>
      <c r="E1196" s="11" t="s">
        <v>1217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9" t="s">
        <v>26</v>
      </c>
      <c r="AA1196" s="12" t="s">
        <v>31</v>
      </c>
    </row>
    <row r="1197" spans="1:27" x14ac:dyDescent="0.25">
      <c r="A1197" s="10">
        <v>45677</v>
      </c>
      <c r="B1197" s="11" t="s">
        <v>2885</v>
      </c>
      <c r="C1197" s="11" t="s">
        <v>2886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4439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9" t="s">
        <v>140</v>
      </c>
      <c r="AA1197" s="12" t="s">
        <v>78</v>
      </c>
    </row>
    <row r="1198" spans="1:27" x14ac:dyDescent="0.25">
      <c r="A1198" s="10">
        <v>45677</v>
      </c>
      <c r="B1198" s="11" t="s">
        <v>2887</v>
      </c>
      <c r="C1198" s="11" t="s">
        <v>2888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4463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9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2889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4463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9" t="s">
        <v>26</v>
      </c>
      <c r="AA1199" s="12" t="s">
        <v>31</v>
      </c>
    </row>
    <row r="1200" spans="1:27" x14ac:dyDescent="0.25">
      <c r="A1200" s="10">
        <v>45677</v>
      </c>
      <c r="B1200" s="11" t="s">
        <v>734</v>
      </c>
      <c r="C1200" s="11" t="s">
        <v>2890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9" t="s">
        <v>26</v>
      </c>
      <c r="AA1200" s="12" t="s">
        <v>31</v>
      </c>
    </row>
    <row r="1201" spans="1:27" x14ac:dyDescent="0.25">
      <c r="A1201" s="10">
        <v>45677</v>
      </c>
      <c r="B1201" s="11" t="s">
        <v>636</v>
      </c>
      <c r="C1201" s="11" t="s">
        <v>2891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9" t="s">
        <v>26</v>
      </c>
      <c r="AA1201" s="12" t="s">
        <v>31</v>
      </c>
    </row>
    <row r="1202" spans="1:27" x14ac:dyDescent="0.25">
      <c r="A1202" s="10">
        <v>45677</v>
      </c>
      <c r="B1202" s="11" t="s">
        <v>2892</v>
      </c>
      <c r="C1202" s="11" t="s">
        <v>2893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4463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9" t="s">
        <v>26</v>
      </c>
      <c r="AA1202" s="12" t="s">
        <v>31</v>
      </c>
    </row>
    <row r="1203" spans="1:27" x14ac:dyDescent="0.25">
      <c r="A1203" s="10">
        <v>45677</v>
      </c>
      <c r="B1203" s="11" t="s">
        <v>287</v>
      </c>
      <c r="C1203" s="11" t="s">
        <v>2894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9" t="s">
        <v>26</v>
      </c>
      <c r="AA1203" s="12" t="s">
        <v>31</v>
      </c>
    </row>
    <row r="1204" spans="1:27" x14ac:dyDescent="0.25">
      <c r="A1204" s="10">
        <v>45677</v>
      </c>
      <c r="B1204" s="11" t="s">
        <v>2895</v>
      </c>
      <c r="C1204" s="11" t="s">
        <v>2896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9" t="s">
        <v>26</v>
      </c>
      <c r="AA1204" s="12" t="s">
        <v>31</v>
      </c>
    </row>
    <row r="1205" spans="1:27" x14ac:dyDescent="0.25">
      <c r="A1205" s="10">
        <v>45677</v>
      </c>
      <c r="B1205" s="11" t="s">
        <v>474</v>
      </c>
      <c r="C1205" s="11" t="s">
        <v>2897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9" t="s">
        <v>26</v>
      </c>
      <c r="AA1205" s="12" t="s">
        <v>31</v>
      </c>
    </row>
    <row r="1206" spans="1:27" x14ac:dyDescent="0.25">
      <c r="A1206" s="10">
        <v>45677</v>
      </c>
      <c r="B1206" s="11" t="s">
        <v>2898</v>
      </c>
      <c r="C1206" s="11" t="s">
        <v>2899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4465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9" t="s">
        <v>26</v>
      </c>
      <c r="AA1206" s="12" t="s">
        <v>31</v>
      </c>
    </row>
    <row r="1207" spans="1:27" x14ac:dyDescent="0.25">
      <c r="A1207" s="10">
        <v>45677</v>
      </c>
      <c r="B1207" s="11" t="s">
        <v>467</v>
      </c>
      <c r="C1207" s="11" t="s">
        <v>2900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9" t="s">
        <v>26</v>
      </c>
      <c r="AA1207" s="12" t="s">
        <v>31</v>
      </c>
    </row>
    <row r="1208" spans="1:27" x14ac:dyDescent="0.25">
      <c r="A1208" s="10">
        <v>45677</v>
      </c>
      <c r="B1208" s="11" t="s">
        <v>408</v>
      </c>
      <c r="C1208" s="11" t="s">
        <v>2901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4440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9" t="s">
        <v>26</v>
      </c>
      <c r="AA1208" s="12" t="s">
        <v>31</v>
      </c>
    </row>
    <row r="1209" spans="1:27" x14ac:dyDescent="0.25">
      <c r="A1209" s="10">
        <v>45677</v>
      </c>
      <c r="B1209" s="11" t="s">
        <v>2902</v>
      </c>
      <c r="C1209" s="11" t="s">
        <v>2903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9" t="s">
        <v>26</v>
      </c>
      <c r="AA1209" s="12" t="s">
        <v>31</v>
      </c>
    </row>
    <row r="1210" spans="1:27" x14ac:dyDescent="0.25">
      <c r="A1210" s="10">
        <v>45677</v>
      </c>
      <c r="B1210" s="11" t="s">
        <v>2904</v>
      </c>
      <c r="C1210" s="11" t="s">
        <v>2905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9" t="s">
        <v>26</v>
      </c>
      <c r="AA1210" s="12" t="s">
        <v>31</v>
      </c>
    </row>
    <row r="1211" spans="1:27" x14ac:dyDescent="0.25">
      <c r="A1211" s="10">
        <v>45677</v>
      </c>
      <c r="B1211" s="11" t="s">
        <v>2906</v>
      </c>
      <c r="C1211" s="11" t="s">
        <v>2907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9" t="s">
        <v>26</v>
      </c>
      <c r="AA1211" s="12" t="s">
        <v>31</v>
      </c>
    </row>
    <row r="1212" spans="1:27" x14ac:dyDescent="0.25">
      <c r="A1212" s="10">
        <v>45677</v>
      </c>
      <c r="B1212" s="11" t="s">
        <v>258</v>
      </c>
      <c r="C1212" s="11" t="s">
        <v>2908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9" t="s">
        <v>26</v>
      </c>
      <c r="AA1212" s="12" t="s">
        <v>31</v>
      </c>
    </row>
    <row r="1213" spans="1:27" x14ac:dyDescent="0.25">
      <c r="A1213" s="10">
        <v>45677</v>
      </c>
      <c r="B1213" s="11" t="s">
        <v>2909</v>
      </c>
      <c r="C1213" s="11" t="s">
        <v>2910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9" t="s">
        <v>26</v>
      </c>
      <c r="AA1213" s="12" t="s">
        <v>31</v>
      </c>
    </row>
    <row r="1214" spans="1:27" x14ac:dyDescent="0.25">
      <c r="A1214" s="10">
        <v>45677</v>
      </c>
      <c r="B1214" s="11" t="s">
        <v>2751</v>
      </c>
      <c r="C1214" s="11" t="s">
        <v>2911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9" t="s">
        <v>26</v>
      </c>
      <c r="AA1214" s="12" t="s">
        <v>31</v>
      </c>
    </row>
    <row r="1215" spans="1:27" x14ac:dyDescent="0.25">
      <c r="A1215" s="10">
        <v>45677</v>
      </c>
      <c r="B1215" s="11" t="s">
        <v>2912</v>
      </c>
      <c r="C1215" s="11" t="s">
        <v>2913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9" t="s">
        <v>26</v>
      </c>
      <c r="AA1215" s="12" t="s">
        <v>31</v>
      </c>
    </row>
    <row r="1216" spans="1:27" x14ac:dyDescent="0.25">
      <c r="A1216" s="10">
        <v>45677</v>
      </c>
      <c r="B1216" s="11" t="s">
        <v>1083</v>
      </c>
      <c r="C1216" s="11" t="s">
        <v>2914</v>
      </c>
      <c r="D1216" s="11" t="s">
        <v>26</v>
      </c>
      <c r="E1216" s="11" t="s">
        <v>659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9" t="s">
        <v>26</v>
      </c>
      <c r="AA1216" s="12" t="s">
        <v>31</v>
      </c>
    </row>
    <row r="1217" spans="1:27" x14ac:dyDescent="0.25">
      <c r="A1217" s="10">
        <v>45677</v>
      </c>
      <c r="B1217" s="11" t="s">
        <v>2915</v>
      </c>
      <c r="C1217" s="11" t="s">
        <v>2916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9" t="s">
        <v>26</v>
      </c>
      <c r="AA1217" s="12" t="s">
        <v>31</v>
      </c>
    </row>
    <row r="1218" spans="1:27" x14ac:dyDescent="0.25">
      <c r="A1218" s="10">
        <v>45677</v>
      </c>
      <c r="B1218" s="11" t="s">
        <v>2917</v>
      </c>
      <c r="C1218" s="11" t="s">
        <v>2918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9" t="s">
        <v>26</v>
      </c>
      <c r="AA1218" s="12" t="s">
        <v>31</v>
      </c>
    </row>
    <row r="1219" spans="1:27" x14ac:dyDescent="0.25">
      <c r="A1219" s="10">
        <v>45677</v>
      </c>
      <c r="B1219" s="11" t="s">
        <v>355</v>
      </c>
      <c r="C1219" s="11" t="s">
        <v>2919</v>
      </c>
      <c r="D1219" s="11" t="s">
        <v>26</v>
      </c>
      <c r="E1219" s="11" t="s">
        <v>1217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9" t="s">
        <v>26</v>
      </c>
      <c r="AA1219" s="12" t="s">
        <v>31</v>
      </c>
    </row>
    <row r="1220" spans="1:27" x14ac:dyDescent="0.25">
      <c r="A1220" s="10">
        <v>45677</v>
      </c>
      <c r="B1220" s="11" t="s">
        <v>463</v>
      </c>
      <c r="C1220" s="11" t="s">
        <v>2920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9" t="s">
        <v>26</v>
      </c>
      <c r="AA1220" s="12" t="s">
        <v>31</v>
      </c>
    </row>
    <row r="1221" spans="1:27" x14ac:dyDescent="0.25">
      <c r="A1221" s="10">
        <v>45677</v>
      </c>
      <c r="B1221" s="11" t="s">
        <v>2921</v>
      </c>
      <c r="C1221" s="11" t="s">
        <v>2922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9" t="s">
        <v>26</v>
      </c>
      <c r="AA1221" s="12" t="s">
        <v>31</v>
      </c>
    </row>
    <row r="1222" spans="1:27" x14ac:dyDescent="0.25">
      <c r="A1222" s="10">
        <v>45677</v>
      </c>
      <c r="B1222" s="11" t="s">
        <v>309</v>
      </c>
      <c r="C1222" s="11" t="s">
        <v>2923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9" t="s">
        <v>26</v>
      </c>
      <c r="AA1222" s="12" t="s">
        <v>31</v>
      </c>
    </row>
    <row r="1223" spans="1:27" x14ac:dyDescent="0.25">
      <c r="A1223" s="10">
        <v>45677</v>
      </c>
      <c r="B1223" s="11" t="s">
        <v>2924</v>
      </c>
      <c r="C1223" s="11" t="s">
        <v>2925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9" t="s">
        <v>26</v>
      </c>
      <c r="AA1223" s="12" t="s">
        <v>31</v>
      </c>
    </row>
    <row r="1224" spans="1:27" x14ac:dyDescent="0.25">
      <c r="A1224" s="10">
        <v>45677</v>
      </c>
      <c r="B1224" s="11" t="s">
        <v>2926</v>
      </c>
      <c r="C1224" s="11" t="s">
        <v>2927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9" t="s">
        <v>26</v>
      </c>
      <c r="AA1224" s="12" t="s">
        <v>31</v>
      </c>
    </row>
    <row r="1225" spans="1:27" x14ac:dyDescent="0.25">
      <c r="A1225" s="10">
        <v>45677</v>
      </c>
      <c r="B1225" s="11" t="s">
        <v>360</v>
      </c>
      <c r="C1225" s="11" t="s">
        <v>2928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4464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9" t="s">
        <v>26</v>
      </c>
      <c r="AA1225" s="12" t="s">
        <v>31</v>
      </c>
    </row>
    <row r="1226" spans="1:27" x14ac:dyDescent="0.25">
      <c r="A1226" s="10">
        <v>45677</v>
      </c>
      <c r="B1226" s="11" t="s">
        <v>1727</v>
      </c>
      <c r="C1226" s="11" t="s">
        <v>2929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4463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9" t="s">
        <v>26</v>
      </c>
      <c r="AA1226" s="12" t="s">
        <v>31</v>
      </c>
    </row>
    <row r="1227" spans="1:27" x14ac:dyDescent="0.25">
      <c r="A1227" s="10">
        <v>45677</v>
      </c>
      <c r="B1227" s="11" t="s">
        <v>694</v>
      </c>
      <c r="C1227" s="11" t="s">
        <v>2930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9" t="s">
        <v>26</v>
      </c>
      <c r="AA1227" s="12" t="s">
        <v>31</v>
      </c>
    </row>
    <row r="1228" spans="1:27" x14ac:dyDescent="0.25">
      <c r="A1228" s="10">
        <v>45677</v>
      </c>
      <c r="B1228" s="11" t="s">
        <v>324</v>
      </c>
      <c r="C1228" s="11" t="s">
        <v>2931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4440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9" t="s">
        <v>26</v>
      </c>
      <c r="AA1228" s="12" t="s">
        <v>31</v>
      </c>
    </row>
    <row r="1229" spans="1:27" x14ac:dyDescent="0.25">
      <c r="A1229" s="10">
        <v>45677</v>
      </c>
      <c r="B1229" s="11" t="s">
        <v>289</v>
      </c>
      <c r="C1229" s="11" t="s">
        <v>2932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9" t="s">
        <v>26</v>
      </c>
      <c r="AA1229" s="12" t="s">
        <v>31</v>
      </c>
    </row>
    <row r="1230" spans="1:27" x14ac:dyDescent="0.25">
      <c r="A1230" s="10">
        <v>45677</v>
      </c>
      <c r="B1230" s="11" t="s">
        <v>2933</v>
      </c>
      <c r="C1230" s="11" t="s">
        <v>2934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9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2935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9" t="s">
        <v>26</v>
      </c>
      <c r="AA1231" s="12" t="s">
        <v>31</v>
      </c>
    </row>
    <row r="1232" spans="1:27" x14ac:dyDescent="0.25">
      <c r="A1232" s="10">
        <v>45677</v>
      </c>
      <c r="B1232" s="11" t="s">
        <v>2936</v>
      </c>
      <c r="C1232" s="11" t="s">
        <v>2937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9" t="s">
        <v>26</v>
      </c>
      <c r="AA1232" s="12" t="s">
        <v>31</v>
      </c>
    </row>
    <row r="1233" spans="1:27" x14ac:dyDescent="0.25">
      <c r="A1233" s="10">
        <v>45677</v>
      </c>
      <c r="B1233" s="11" t="s">
        <v>2938</v>
      </c>
      <c r="C1233" s="11" t="s">
        <v>2939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4463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9" t="s">
        <v>26</v>
      </c>
      <c r="AA1233" s="12" t="s">
        <v>31</v>
      </c>
    </row>
    <row r="1234" spans="1:27" x14ac:dyDescent="0.25">
      <c r="A1234" s="10">
        <v>45677</v>
      </c>
      <c r="B1234" s="11" t="s">
        <v>456</v>
      </c>
      <c r="C1234" s="11" t="s">
        <v>2940</v>
      </c>
      <c r="D1234" s="11" t="s">
        <v>26</v>
      </c>
      <c r="E1234" s="11" t="s">
        <v>1677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9" t="s">
        <v>26</v>
      </c>
      <c r="AA1234" s="12" t="s">
        <v>31</v>
      </c>
    </row>
    <row r="1235" spans="1:27" x14ac:dyDescent="0.25">
      <c r="A1235" s="10">
        <v>45677</v>
      </c>
      <c r="B1235" s="11" t="s">
        <v>2941</v>
      </c>
      <c r="C1235" s="11" t="s">
        <v>2942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9" t="s">
        <v>26</v>
      </c>
      <c r="AA1235" s="12" t="s">
        <v>31</v>
      </c>
    </row>
    <row r="1236" spans="1:27" x14ac:dyDescent="0.25">
      <c r="A1236" s="10">
        <v>45677</v>
      </c>
      <c r="B1236" s="11" t="s">
        <v>2943</v>
      </c>
      <c r="C1236" s="11" t="s">
        <v>2944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9" t="s">
        <v>26</v>
      </c>
      <c r="AA1236" s="12" t="s">
        <v>31</v>
      </c>
    </row>
    <row r="1237" spans="1:27" x14ac:dyDescent="0.25">
      <c r="A1237" s="10">
        <v>45677</v>
      </c>
      <c r="B1237" s="11" t="s">
        <v>2945</v>
      </c>
      <c r="C1237" s="11" t="s">
        <v>2946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9" t="s">
        <v>26</v>
      </c>
      <c r="AA1237" s="12" t="s">
        <v>31</v>
      </c>
    </row>
    <row r="1238" spans="1:27" x14ac:dyDescent="0.25">
      <c r="A1238" s="10">
        <v>45677</v>
      </c>
      <c r="B1238" s="11" t="s">
        <v>2947</v>
      </c>
      <c r="C1238" s="11" t="s">
        <v>2948</v>
      </c>
      <c r="D1238" s="11" t="s">
        <v>26</v>
      </c>
      <c r="E1238" s="11" t="s">
        <v>1668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9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2949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1926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9" t="s">
        <v>26</v>
      </c>
      <c r="AA1239" s="12" t="s">
        <v>31</v>
      </c>
    </row>
    <row r="1240" spans="1:27" x14ac:dyDescent="0.25">
      <c r="A1240" s="10">
        <v>45677</v>
      </c>
      <c r="B1240" s="11" t="s">
        <v>2950</v>
      </c>
      <c r="C1240" s="11" t="s">
        <v>2951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1926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9" t="s">
        <v>26</v>
      </c>
      <c r="AA1240" s="12" t="s">
        <v>31</v>
      </c>
    </row>
    <row r="1241" spans="1:27" x14ac:dyDescent="0.25">
      <c r="A1241" s="10">
        <v>45677</v>
      </c>
      <c r="B1241" s="11" t="s">
        <v>2952</v>
      </c>
      <c r="C1241" s="11" t="s">
        <v>2953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9" t="s">
        <v>26</v>
      </c>
      <c r="AA1241" s="12" t="s">
        <v>31</v>
      </c>
    </row>
    <row r="1242" spans="1:27" x14ac:dyDescent="0.25">
      <c r="A1242" s="10">
        <v>45677</v>
      </c>
      <c r="B1242" s="11" t="s">
        <v>1993</v>
      </c>
      <c r="C1242" s="11" t="s">
        <v>2954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9" t="s">
        <v>26</v>
      </c>
      <c r="AA1242" s="12" t="s">
        <v>31</v>
      </c>
    </row>
    <row r="1243" spans="1:27" x14ac:dyDescent="0.25">
      <c r="A1243" s="10">
        <v>45677</v>
      </c>
      <c r="B1243" s="11" t="s">
        <v>2955</v>
      </c>
      <c r="C1243" s="11" t="s">
        <v>2956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4440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9" t="s">
        <v>26</v>
      </c>
      <c r="AA1243" s="12" t="s">
        <v>31</v>
      </c>
    </row>
    <row r="1244" spans="1:27" x14ac:dyDescent="0.25">
      <c r="A1244" s="10">
        <v>45677</v>
      </c>
      <c r="B1244" s="11" t="s">
        <v>2769</v>
      </c>
      <c r="C1244" s="11" t="s">
        <v>2957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4440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9" t="s">
        <v>26</v>
      </c>
      <c r="AA1244" s="12" t="s">
        <v>31</v>
      </c>
    </row>
    <row r="1245" spans="1:27" x14ac:dyDescent="0.25">
      <c r="A1245" s="10">
        <v>45677</v>
      </c>
      <c r="B1245" s="11" t="s">
        <v>2958</v>
      </c>
      <c r="C1245" s="11" t="s">
        <v>2959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9" t="s">
        <v>26</v>
      </c>
      <c r="AA1245" s="12" t="s">
        <v>31</v>
      </c>
    </row>
    <row r="1246" spans="1:27" x14ac:dyDescent="0.25">
      <c r="A1246" s="10">
        <v>45677</v>
      </c>
      <c r="B1246" s="11" t="s">
        <v>730</v>
      </c>
      <c r="C1246" s="11" t="s">
        <v>2960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9" t="s">
        <v>26</v>
      </c>
      <c r="AA1246" s="12" t="s">
        <v>31</v>
      </c>
    </row>
    <row r="1247" spans="1:27" x14ac:dyDescent="0.25">
      <c r="A1247" s="10">
        <v>45677</v>
      </c>
      <c r="B1247" s="11" t="s">
        <v>2961</v>
      </c>
      <c r="C1247" s="11" t="s">
        <v>2962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4440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9" t="s">
        <v>26</v>
      </c>
      <c r="AA1247" s="12" t="s">
        <v>31</v>
      </c>
    </row>
    <row r="1248" spans="1:27" x14ac:dyDescent="0.25">
      <c r="A1248" s="10">
        <v>45677</v>
      </c>
      <c r="B1248" s="11" t="s">
        <v>2963</v>
      </c>
      <c r="C1248" s="11" t="s">
        <v>2964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9" t="s">
        <v>26</v>
      </c>
      <c r="AA1248" s="12" t="s">
        <v>31</v>
      </c>
    </row>
    <row r="1249" spans="1:27" x14ac:dyDescent="0.25">
      <c r="A1249" s="10">
        <v>45677</v>
      </c>
      <c r="B1249" s="11" t="s">
        <v>2965</v>
      </c>
      <c r="C1249" s="11" t="s">
        <v>2966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9" t="s">
        <v>26</v>
      </c>
      <c r="AA1249" s="12" t="s">
        <v>31</v>
      </c>
    </row>
    <row r="1250" spans="1:27" x14ac:dyDescent="0.25">
      <c r="A1250" s="10">
        <v>45677</v>
      </c>
      <c r="B1250" s="11" t="s">
        <v>2967</v>
      </c>
      <c r="C1250" s="11" t="s">
        <v>2968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9" t="s">
        <v>26</v>
      </c>
      <c r="AA1250" s="12" t="s">
        <v>31</v>
      </c>
    </row>
    <row r="1251" spans="1:27" x14ac:dyDescent="0.25">
      <c r="A1251" s="10">
        <v>45677</v>
      </c>
      <c r="B1251" s="11" t="s">
        <v>2969</v>
      </c>
      <c r="C1251" s="11" t="s">
        <v>2970</v>
      </c>
      <c r="D1251" s="11" t="s">
        <v>26</v>
      </c>
      <c r="E1251" s="11" t="s">
        <v>659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9" t="s">
        <v>26</v>
      </c>
      <c r="AA1251" s="12" t="s">
        <v>31</v>
      </c>
    </row>
    <row r="1252" spans="1:27" x14ac:dyDescent="0.25">
      <c r="A1252" s="10">
        <v>45677</v>
      </c>
      <c r="B1252" s="11" t="s">
        <v>340</v>
      </c>
      <c r="C1252" s="11" t="s">
        <v>2971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4440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9" t="s">
        <v>26</v>
      </c>
      <c r="AA1252" s="12" t="s">
        <v>31</v>
      </c>
    </row>
    <row r="1253" spans="1:27" x14ac:dyDescent="0.25">
      <c r="A1253" s="10">
        <v>45677</v>
      </c>
      <c r="B1253" s="11" t="s">
        <v>2972</v>
      </c>
      <c r="C1253" s="11" t="s">
        <v>2973</v>
      </c>
      <c r="D1253" s="11" t="s">
        <v>26</v>
      </c>
      <c r="E1253" s="11" t="s">
        <v>1217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9" t="s">
        <v>26</v>
      </c>
      <c r="AA1253" s="12" t="s">
        <v>31</v>
      </c>
    </row>
    <row r="1254" spans="1:27" x14ac:dyDescent="0.25">
      <c r="A1254" s="10">
        <v>45677</v>
      </c>
      <c r="B1254" s="11" t="s">
        <v>2974</v>
      </c>
      <c r="C1254" s="11" t="s">
        <v>2975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4463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9" t="s">
        <v>26</v>
      </c>
      <c r="AA1254" s="12" t="s">
        <v>31</v>
      </c>
    </row>
    <row r="1255" spans="1:27" x14ac:dyDescent="0.25">
      <c r="A1255" s="10">
        <v>45677</v>
      </c>
      <c r="B1255" s="11" t="s">
        <v>473</v>
      </c>
      <c r="C1255" s="11" t="s">
        <v>2976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4463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9" t="s">
        <v>26</v>
      </c>
      <c r="AA1255" s="12" t="s">
        <v>31</v>
      </c>
    </row>
    <row r="1256" spans="1:27" x14ac:dyDescent="0.25">
      <c r="A1256" s="10">
        <v>45677</v>
      </c>
      <c r="B1256" s="11" t="s">
        <v>2977</v>
      </c>
      <c r="C1256" s="11" t="s">
        <v>2978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9" t="s">
        <v>26</v>
      </c>
      <c r="AA1256" s="12" t="s">
        <v>31</v>
      </c>
    </row>
    <row r="1257" spans="1:27" x14ac:dyDescent="0.25">
      <c r="A1257" s="10">
        <v>45678</v>
      </c>
      <c r="B1257" s="11" t="s">
        <v>2979</v>
      </c>
      <c r="C1257" s="11" t="s">
        <v>2980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9" t="s">
        <v>26</v>
      </c>
      <c r="AA1257" s="12" t="s">
        <v>31</v>
      </c>
    </row>
    <row r="1258" spans="1:27" x14ac:dyDescent="0.25">
      <c r="A1258" s="10">
        <v>45678</v>
      </c>
      <c r="B1258" s="11" t="s">
        <v>382</v>
      </c>
      <c r="C1258" s="11" t="s">
        <v>2981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4440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9" t="s">
        <v>26</v>
      </c>
      <c r="AA1258" s="12" t="s">
        <v>31</v>
      </c>
    </row>
    <row r="1259" spans="1:27" x14ac:dyDescent="0.25">
      <c r="A1259" s="10">
        <v>45678</v>
      </c>
      <c r="B1259" s="11" t="s">
        <v>2982</v>
      </c>
      <c r="C1259" s="11" t="s">
        <v>2983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9" t="s">
        <v>26</v>
      </c>
      <c r="AA1259" s="12" t="s">
        <v>31</v>
      </c>
    </row>
    <row r="1260" spans="1:27" x14ac:dyDescent="0.25">
      <c r="A1260" s="10">
        <v>45678</v>
      </c>
      <c r="B1260" s="11" t="s">
        <v>2984</v>
      </c>
      <c r="C1260" s="11" t="s">
        <v>2985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9" t="s">
        <v>26</v>
      </c>
      <c r="AA1260" s="12" t="s">
        <v>31</v>
      </c>
    </row>
    <row r="1261" spans="1:27" x14ac:dyDescent="0.25">
      <c r="A1261" s="10">
        <v>45678</v>
      </c>
      <c r="B1261" s="11" t="s">
        <v>2986</v>
      </c>
      <c r="C1261" s="11" t="s">
        <v>2987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9" t="s">
        <v>26</v>
      </c>
      <c r="AA1261" s="12" t="s">
        <v>31</v>
      </c>
    </row>
    <row r="1262" spans="1:27" x14ac:dyDescent="0.25">
      <c r="A1262" s="10">
        <v>45678</v>
      </c>
      <c r="B1262" s="11" t="s">
        <v>2988</v>
      </c>
      <c r="C1262" s="11" t="s">
        <v>2989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4463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9" t="s">
        <v>26</v>
      </c>
      <c r="AA1262" s="12" t="s">
        <v>31</v>
      </c>
    </row>
    <row r="1263" spans="1:27" x14ac:dyDescent="0.25">
      <c r="A1263" s="10">
        <v>45678</v>
      </c>
      <c r="B1263" s="11" t="s">
        <v>336</v>
      </c>
      <c r="C1263" s="11" t="s">
        <v>2990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9" t="s">
        <v>26</v>
      </c>
      <c r="AA1263" s="12" t="s">
        <v>31</v>
      </c>
    </row>
    <row r="1264" spans="1:27" x14ac:dyDescent="0.25">
      <c r="A1264" s="10">
        <v>45678</v>
      </c>
      <c r="B1264" s="11" t="s">
        <v>2991</v>
      </c>
      <c r="C1264" s="11" t="s">
        <v>2992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4439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9" t="s">
        <v>41</v>
      </c>
      <c r="AA1264" s="12" t="s">
        <v>78</v>
      </c>
    </row>
    <row r="1265" spans="1:27" x14ac:dyDescent="0.25">
      <c r="A1265" s="10">
        <v>45678</v>
      </c>
      <c r="B1265" s="11" t="s">
        <v>2993</v>
      </c>
      <c r="C1265" s="11" t="s">
        <v>2994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4439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9" t="s">
        <v>140</v>
      </c>
      <c r="AA1265" s="12" t="s">
        <v>78</v>
      </c>
    </row>
    <row r="1266" spans="1:27" x14ac:dyDescent="0.25">
      <c r="A1266" s="10">
        <v>45678</v>
      </c>
      <c r="B1266" s="11" t="s">
        <v>2995</v>
      </c>
      <c r="C1266" s="11" t="s">
        <v>2996</v>
      </c>
      <c r="D1266" s="11" t="s">
        <v>26</v>
      </c>
      <c r="E1266" s="11" t="s">
        <v>2126</v>
      </c>
      <c r="F1266" s="11" t="s">
        <v>26</v>
      </c>
      <c r="G1266" s="11" t="s">
        <v>26</v>
      </c>
      <c r="H1266" s="12" t="s">
        <v>4439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9" t="s">
        <v>140</v>
      </c>
      <c r="AA1266" s="12" t="s">
        <v>78</v>
      </c>
    </row>
    <row r="1267" spans="1:27" x14ac:dyDescent="0.25">
      <c r="A1267" s="10">
        <v>45678</v>
      </c>
      <c r="B1267" s="11" t="s">
        <v>2997</v>
      </c>
      <c r="C1267" s="11" t="s">
        <v>2998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9" t="s">
        <v>26</v>
      </c>
      <c r="AA1267" s="12" t="s">
        <v>31</v>
      </c>
    </row>
    <row r="1268" spans="1:27" x14ac:dyDescent="0.25">
      <c r="A1268" s="10">
        <v>45678</v>
      </c>
      <c r="B1268" s="11" t="s">
        <v>355</v>
      </c>
      <c r="C1268" s="11" t="s">
        <v>2999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4440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9" t="s">
        <v>26</v>
      </c>
      <c r="AA1268" s="12" t="s">
        <v>31</v>
      </c>
    </row>
    <row r="1269" spans="1:27" x14ac:dyDescent="0.25">
      <c r="A1269" s="10">
        <v>45678</v>
      </c>
      <c r="B1269" s="11" t="s">
        <v>3000</v>
      </c>
      <c r="C1269" s="11" t="s">
        <v>3001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4439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9" t="s">
        <v>140</v>
      </c>
      <c r="AA1269" s="12" t="s">
        <v>78</v>
      </c>
    </row>
    <row r="1270" spans="1:27" x14ac:dyDescent="0.25">
      <c r="A1270" s="10">
        <v>45678</v>
      </c>
      <c r="B1270" s="11" t="s">
        <v>411</v>
      </c>
      <c r="C1270" s="11" t="s">
        <v>3002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4439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9" t="s">
        <v>140</v>
      </c>
      <c r="AA1270" s="12" t="s">
        <v>78</v>
      </c>
    </row>
    <row r="1271" spans="1:27" x14ac:dyDescent="0.25">
      <c r="A1271" s="10">
        <v>45678</v>
      </c>
      <c r="B1271" s="11" t="s">
        <v>3003</v>
      </c>
      <c r="C1271" s="11" t="s">
        <v>3004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1926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9" t="s">
        <v>26</v>
      </c>
      <c r="AA1271" s="12" t="s">
        <v>31</v>
      </c>
    </row>
    <row r="1272" spans="1:27" x14ac:dyDescent="0.25">
      <c r="A1272" s="10">
        <v>45678</v>
      </c>
      <c r="B1272" s="11" t="s">
        <v>3005</v>
      </c>
      <c r="C1272" s="11" t="s">
        <v>3006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1926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9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3007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4440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9" t="s">
        <v>26</v>
      </c>
      <c r="AA1273" s="12" t="s">
        <v>31</v>
      </c>
    </row>
    <row r="1274" spans="1:27" x14ac:dyDescent="0.25">
      <c r="A1274" s="10">
        <v>45678</v>
      </c>
      <c r="B1274" s="11" t="s">
        <v>1431</v>
      </c>
      <c r="C1274" s="11" t="s">
        <v>3008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9" t="s">
        <v>26</v>
      </c>
      <c r="AA1274" s="12" t="s">
        <v>31</v>
      </c>
    </row>
    <row r="1275" spans="1:27" x14ac:dyDescent="0.25">
      <c r="A1275" s="10">
        <v>45678</v>
      </c>
      <c r="B1275" s="11" t="s">
        <v>3009</v>
      </c>
      <c r="C1275" s="11" t="s">
        <v>3010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9" t="s">
        <v>26</v>
      </c>
      <c r="AA1275" s="12" t="s">
        <v>31</v>
      </c>
    </row>
    <row r="1276" spans="1:27" x14ac:dyDescent="0.25">
      <c r="A1276" s="10">
        <v>45678</v>
      </c>
      <c r="B1276" s="11" t="s">
        <v>3011</v>
      </c>
      <c r="C1276" s="11" t="s">
        <v>3012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9" t="s">
        <v>41</v>
      </c>
      <c r="AA1276" s="12" t="s">
        <v>79</v>
      </c>
    </row>
    <row r="1277" spans="1:27" x14ac:dyDescent="0.25">
      <c r="A1277" s="10">
        <v>45678</v>
      </c>
      <c r="B1277" s="11" t="s">
        <v>377</v>
      </c>
      <c r="C1277" s="11" t="s">
        <v>3013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9" t="s">
        <v>26</v>
      </c>
      <c r="AA1277" s="12" t="s">
        <v>31</v>
      </c>
    </row>
    <row r="1278" spans="1:27" x14ac:dyDescent="0.25">
      <c r="A1278" s="10">
        <v>45678</v>
      </c>
      <c r="B1278" s="11" t="s">
        <v>1763</v>
      </c>
      <c r="C1278" s="11" t="s">
        <v>3014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4441</v>
      </c>
      <c r="I1278" s="12" t="s">
        <v>755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9" t="s">
        <v>141</v>
      </c>
      <c r="AA1278" s="12" t="s">
        <v>747</v>
      </c>
    </row>
    <row r="1279" spans="1:27" x14ac:dyDescent="0.25">
      <c r="A1279" s="10">
        <v>45678</v>
      </c>
      <c r="B1279" s="11" t="s">
        <v>3015</v>
      </c>
      <c r="C1279" s="11" t="s">
        <v>3016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9" t="s">
        <v>41</v>
      </c>
      <c r="AA1279" s="12" t="s">
        <v>79</v>
      </c>
    </row>
    <row r="1280" spans="1:27" x14ac:dyDescent="0.25">
      <c r="A1280" s="10">
        <v>45678</v>
      </c>
      <c r="B1280" s="11" t="s">
        <v>3017</v>
      </c>
      <c r="C1280" s="11" t="s">
        <v>3018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4439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9" t="s">
        <v>41</v>
      </c>
      <c r="AA1280" s="12" t="s">
        <v>78</v>
      </c>
    </row>
    <row r="1281" spans="1:27" x14ac:dyDescent="0.25">
      <c r="A1281" s="10">
        <v>45678</v>
      </c>
      <c r="B1281" s="11" t="s">
        <v>3019</v>
      </c>
      <c r="C1281" s="11" t="s">
        <v>3020</v>
      </c>
      <c r="D1281" s="11" t="s">
        <v>26</v>
      </c>
      <c r="E1281" s="11" t="s">
        <v>1217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9" t="s">
        <v>26</v>
      </c>
      <c r="AA1281" s="12" t="s">
        <v>31</v>
      </c>
    </row>
    <row r="1282" spans="1:27" x14ac:dyDescent="0.25">
      <c r="A1282" s="10">
        <v>45678</v>
      </c>
      <c r="B1282" s="11" t="s">
        <v>621</v>
      </c>
      <c r="C1282" s="11" t="s">
        <v>3021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9" t="s">
        <v>26</v>
      </c>
      <c r="AA1282" s="12" t="s">
        <v>31</v>
      </c>
    </row>
    <row r="1283" spans="1:27" x14ac:dyDescent="0.25">
      <c r="A1283" s="10">
        <v>45678</v>
      </c>
      <c r="B1283" s="11" t="s">
        <v>3022</v>
      </c>
      <c r="C1283" s="11" t="s">
        <v>3023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4440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9" t="s">
        <v>26</v>
      </c>
      <c r="AA1283" s="12" t="s">
        <v>31</v>
      </c>
    </row>
    <row r="1284" spans="1:27" x14ac:dyDescent="0.25">
      <c r="A1284" s="10">
        <v>45678</v>
      </c>
      <c r="B1284" s="11" t="s">
        <v>3024</v>
      </c>
      <c r="C1284" s="11" t="s">
        <v>3025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4439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9" t="s">
        <v>140</v>
      </c>
      <c r="AA1284" s="12" t="s">
        <v>78</v>
      </c>
    </row>
    <row r="1285" spans="1:27" x14ac:dyDescent="0.25">
      <c r="A1285" s="10">
        <v>45678</v>
      </c>
      <c r="B1285" s="11" t="s">
        <v>342</v>
      </c>
      <c r="C1285" s="11" t="s">
        <v>3026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9" t="s">
        <v>26</v>
      </c>
      <c r="AA1285" s="12" t="s">
        <v>31</v>
      </c>
    </row>
    <row r="1286" spans="1:27" x14ac:dyDescent="0.25">
      <c r="A1286" s="10">
        <v>45678</v>
      </c>
      <c r="B1286" s="11" t="s">
        <v>341</v>
      </c>
      <c r="C1286" s="11" t="s">
        <v>3027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1926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9" t="s">
        <v>26</v>
      </c>
      <c r="AA1286" s="12" t="s">
        <v>31</v>
      </c>
    </row>
    <row r="1287" spans="1:27" x14ac:dyDescent="0.25">
      <c r="A1287" s="10">
        <v>45678</v>
      </c>
      <c r="B1287" s="11" t="s">
        <v>3028</v>
      </c>
      <c r="C1287" s="11" t="s">
        <v>3029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4439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9" t="s">
        <v>565</v>
      </c>
      <c r="AA1287" s="12" t="s">
        <v>78</v>
      </c>
    </row>
    <row r="1288" spans="1:27" x14ac:dyDescent="0.25">
      <c r="A1288" s="10">
        <v>45678</v>
      </c>
      <c r="B1288" s="11" t="s">
        <v>3030</v>
      </c>
      <c r="C1288" s="11" t="s">
        <v>3031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1926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9" t="s">
        <v>26</v>
      </c>
      <c r="AA1288" s="12" t="s">
        <v>31</v>
      </c>
    </row>
    <row r="1289" spans="1:27" x14ac:dyDescent="0.25">
      <c r="A1289" s="10">
        <v>45678</v>
      </c>
      <c r="B1289" s="11" t="s">
        <v>288</v>
      </c>
      <c r="C1289" s="11" t="s">
        <v>3032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9" t="s">
        <v>26</v>
      </c>
      <c r="AA1289" s="12" t="s">
        <v>31</v>
      </c>
    </row>
    <row r="1290" spans="1:27" x14ac:dyDescent="0.25">
      <c r="A1290" s="10">
        <v>45678</v>
      </c>
      <c r="B1290" s="11" t="s">
        <v>320</v>
      </c>
      <c r="C1290" s="11" t="s">
        <v>3033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4463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9" t="s">
        <v>26</v>
      </c>
      <c r="AA1290" s="12" t="s">
        <v>31</v>
      </c>
    </row>
    <row r="1291" spans="1:27" x14ac:dyDescent="0.25">
      <c r="A1291" s="10">
        <v>45678</v>
      </c>
      <c r="B1291" s="11" t="s">
        <v>3034</v>
      </c>
      <c r="C1291" s="11" t="s">
        <v>3035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9" t="s">
        <v>26</v>
      </c>
      <c r="AA1291" s="12" t="s">
        <v>31</v>
      </c>
    </row>
    <row r="1292" spans="1:27" x14ac:dyDescent="0.25">
      <c r="A1292" s="10">
        <v>45678</v>
      </c>
      <c r="B1292" s="11" t="s">
        <v>3036</v>
      </c>
      <c r="C1292" s="11" t="s">
        <v>3037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9" t="s">
        <v>26</v>
      </c>
      <c r="AA1292" s="12" t="s">
        <v>31</v>
      </c>
    </row>
    <row r="1293" spans="1:27" x14ac:dyDescent="0.25">
      <c r="A1293" s="10">
        <v>45678</v>
      </c>
      <c r="B1293" s="11" t="s">
        <v>707</v>
      </c>
      <c r="C1293" s="11" t="s">
        <v>3038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4463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9" t="s">
        <v>26</v>
      </c>
      <c r="AA1293" s="12" t="s">
        <v>31</v>
      </c>
    </row>
    <row r="1294" spans="1:27" x14ac:dyDescent="0.25">
      <c r="A1294" s="10">
        <v>45678</v>
      </c>
      <c r="B1294" s="11" t="s">
        <v>732</v>
      </c>
      <c r="C1294" s="11" t="s">
        <v>3039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4463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9" t="s">
        <v>26</v>
      </c>
      <c r="AA1294" s="12" t="s">
        <v>31</v>
      </c>
    </row>
    <row r="1295" spans="1:27" x14ac:dyDescent="0.25">
      <c r="A1295" s="10">
        <v>45678</v>
      </c>
      <c r="B1295" s="11" t="s">
        <v>738</v>
      </c>
      <c r="C1295" s="11" t="s">
        <v>3040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9" t="s">
        <v>26</v>
      </c>
      <c r="AA1295" s="12" t="s">
        <v>31</v>
      </c>
    </row>
    <row r="1296" spans="1:27" x14ac:dyDescent="0.25">
      <c r="A1296" s="10">
        <v>45678</v>
      </c>
      <c r="B1296" s="11" t="s">
        <v>3041</v>
      </c>
      <c r="C1296" s="11" t="s">
        <v>3042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4441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9" t="s">
        <v>141</v>
      </c>
      <c r="AA1296" s="12" t="s">
        <v>658</v>
      </c>
    </row>
    <row r="1297" spans="1:27" x14ac:dyDescent="0.25">
      <c r="A1297" s="10">
        <v>45678</v>
      </c>
      <c r="B1297" s="11" t="s">
        <v>3043</v>
      </c>
      <c r="C1297" s="11" t="s">
        <v>3044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4465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9" t="s">
        <v>26</v>
      </c>
      <c r="AA1297" s="12" t="s">
        <v>31</v>
      </c>
    </row>
    <row r="1298" spans="1:27" x14ac:dyDescent="0.25">
      <c r="A1298" s="10">
        <v>45678</v>
      </c>
      <c r="B1298" s="11" t="s">
        <v>3045</v>
      </c>
      <c r="C1298" s="11" t="s">
        <v>3046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9" t="s">
        <v>26</v>
      </c>
      <c r="AA1298" s="12" t="s">
        <v>31</v>
      </c>
    </row>
    <row r="1299" spans="1:27" x14ac:dyDescent="0.25">
      <c r="A1299" s="10">
        <v>45678</v>
      </c>
      <c r="B1299" s="11" t="s">
        <v>3047</v>
      </c>
      <c r="C1299" s="11" t="s">
        <v>3048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9" t="s">
        <v>26</v>
      </c>
      <c r="AA1299" s="12" t="s">
        <v>31</v>
      </c>
    </row>
    <row r="1300" spans="1:27" x14ac:dyDescent="0.25">
      <c r="A1300" s="10">
        <v>45678</v>
      </c>
      <c r="B1300" s="11" t="s">
        <v>259</v>
      </c>
      <c r="C1300" s="11" t="s">
        <v>3049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4463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9" t="s">
        <v>26</v>
      </c>
      <c r="AA1300" s="12" t="s">
        <v>31</v>
      </c>
    </row>
    <row r="1301" spans="1:27" x14ac:dyDescent="0.25">
      <c r="A1301" s="10">
        <v>45678</v>
      </c>
      <c r="B1301" s="11" t="s">
        <v>3050</v>
      </c>
      <c r="C1301" s="11" t="s">
        <v>3051</v>
      </c>
      <c r="D1301" s="11" t="s">
        <v>26</v>
      </c>
      <c r="E1301" s="11" t="s">
        <v>1217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9" t="s">
        <v>26</v>
      </c>
      <c r="AA1301" s="12" t="s">
        <v>31</v>
      </c>
    </row>
    <row r="1302" spans="1:27" x14ac:dyDescent="0.25">
      <c r="A1302" s="10">
        <v>45678</v>
      </c>
      <c r="B1302" s="11" t="s">
        <v>3052</v>
      </c>
      <c r="C1302" s="11" t="s">
        <v>3053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9" t="s">
        <v>26</v>
      </c>
      <c r="AA1302" s="12" t="s">
        <v>31</v>
      </c>
    </row>
    <row r="1303" spans="1:27" x14ac:dyDescent="0.25">
      <c r="A1303" s="10">
        <v>45678</v>
      </c>
      <c r="B1303" s="11" t="s">
        <v>3054</v>
      </c>
      <c r="C1303" s="11" t="s">
        <v>3055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4439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9" t="s">
        <v>565</v>
      </c>
      <c r="AA1303" s="12" t="s">
        <v>78</v>
      </c>
    </row>
    <row r="1304" spans="1:27" x14ac:dyDescent="0.25">
      <c r="A1304" s="10">
        <v>45678</v>
      </c>
      <c r="B1304" s="11" t="s">
        <v>3056</v>
      </c>
      <c r="C1304" s="11" t="s">
        <v>3057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9" t="s">
        <v>26</v>
      </c>
      <c r="AA1304" s="12" t="s">
        <v>31</v>
      </c>
    </row>
    <row r="1305" spans="1:27" x14ac:dyDescent="0.25">
      <c r="A1305" s="10">
        <v>45678</v>
      </c>
      <c r="B1305" s="11" t="s">
        <v>3058</v>
      </c>
      <c r="C1305" s="11" t="s">
        <v>3059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9" t="s">
        <v>26</v>
      </c>
      <c r="AA1305" s="12" t="s">
        <v>31</v>
      </c>
    </row>
    <row r="1306" spans="1:27" x14ac:dyDescent="0.25">
      <c r="A1306" s="10">
        <v>45678</v>
      </c>
      <c r="B1306" s="11" t="s">
        <v>709</v>
      </c>
      <c r="C1306" s="11" t="s">
        <v>3060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9" t="s">
        <v>26</v>
      </c>
      <c r="AA1306" s="12" t="s">
        <v>31</v>
      </c>
    </row>
    <row r="1307" spans="1:27" x14ac:dyDescent="0.25">
      <c r="A1307" s="10">
        <v>45678</v>
      </c>
      <c r="B1307" s="11" t="s">
        <v>3061</v>
      </c>
      <c r="C1307" s="11" t="s">
        <v>3062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9" t="s">
        <v>26</v>
      </c>
      <c r="AA1307" s="12" t="s">
        <v>31</v>
      </c>
    </row>
    <row r="1308" spans="1:27" x14ac:dyDescent="0.25">
      <c r="A1308" s="10">
        <v>45678</v>
      </c>
      <c r="B1308" s="11" t="s">
        <v>3063</v>
      </c>
      <c r="C1308" s="11" t="s">
        <v>3064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9" t="s">
        <v>26</v>
      </c>
      <c r="AA1308" s="12" t="s">
        <v>31</v>
      </c>
    </row>
    <row r="1309" spans="1:27" x14ac:dyDescent="0.25">
      <c r="A1309" s="10">
        <v>45678</v>
      </c>
      <c r="B1309" s="11" t="s">
        <v>3065</v>
      </c>
      <c r="C1309" s="11" t="s">
        <v>3066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1926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9" t="s">
        <v>26</v>
      </c>
      <c r="AA1309" s="12" t="s">
        <v>31</v>
      </c>
    </row>
    <row r="1310" spans="1:27" x14ac:dyDescent="0.25">
      <c r="A1310" s="10">
        <v>45678</v>
      </c>
      <c r="B1310" s="11" t="s">
        <v>3067</v>
      </c>
      <c r="C1310" s="11" t="s">
        <v>3068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9" t="s">
        <v>26</v>
      </c>
      <c r="AA1310" s="12" t="s">
        <v>31</v>
      </c>
    </row>
    <row r="1311" spans="1:27" x14ac:dyDescent="0.25">
      <c r="A1311" s="10">
        <v>45678</v>
      </c>
      <c r="B1311" s="11" t="s">
        <v>3069</v>
      </c>
      <c r="C1311" s="11" t="s">
        <v>3070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9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3071</v>
      </c>
      <c r="D1312" s="11" t="s">
        <v>26</v>
      </c>
      <c r="E1312" s="11" t="s">
        <v>2126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9" t="s">
        <v>26</v>
      </c>
      <c r="AA1312" s="12" t="s">
        <v>31</v>
      </c>
    </row>
    <row r="1313" spans="1:27" x14ac:dyDescent="0.25">
      <c r="A1313" s="10">
        <v>45678</v>
      </c>
      <c r="B1313" s="11" t="s">
        <v>3072</v>
      </c>
      <c r="C1313" s="11" t="s">
        <v>3073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9" t="s">
        <v>26</v>
      </c>
      <c r="AA1313" s="12" t="s">
        <v>31</v>
      </c>
    </row>
    <row r="1314" spans="1:27" x14ac:dyDescent="0.25">
      <c r="A1314" s="10">
        <v>45678</v>
      </c>
      <c r="B1314" s="11" t="s">
        <v>403</v>
      </c>
      <c r="C1314" s="11" t="s">
        <v>3074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9" t="s">
        <v>26</v>
      </c>
      <c r="AA1314" s="12" t="s">
        <v>31</v>
      </c>
    </row>
    <row r="1315" spans="1:27" x14ac:dyDescent="0.25">
      <c r="A1315" s="10">
        <v>45678</v>
      </c>
      <c r="B1315" s="11" t="s">
        <v>3075</v>
      </c>
      <c r="C1315" s="11" t="s">
        <v>3076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9" t="s">
        <v>26</v>
      </c>
      <c r="AA1315" s="12" t="s">
        <v>31</v>
      </c>
    </row>
    <row r="1316" spans="1:27" x14ac:dyDescent="0.25">
      <c r="A1316" s="10">
        <v>45678</v>
      </c>
      <c r="B1316" s="11" t="s">
        <v>642</v>
      </c>
      <c r="C1316" s="11" t="s">
        <v>3077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4440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9" t="s">
        <v>26</v>
      </c>
      <c r="AA1316" s="12" t="s">
        <v>31</v>
      </c>
    </row>
    <row r="1317" spans="1:27" x14ac:dyDescent="0.25">
      <c r="A1317" s="10">
        <v>45678</v>
      </c>
      <c r="B1317" s="11" t="s">
        <v>3078</v>
      </c>
      <c r="C1317" s="11" t="s">
        <v>3079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9" t="s">
        <v>26</v>
      </c>
      <c r="AA1317" s="12" t="s">
        <v>31</v>
      </c>
    </row>
    <row r="1318" spans="1:27" x14ac:dyDescent="0.25">
      <c r="A1318" s="10">
        <v>45678</v>
      </c>
      <c r="B1318" s="11" t="s">
        <v>3080</v>
      </c>
      <c r="C1318" s="11" t="s">
        <v>3081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9" t="s">
        <v>26</v>
      </c>
      <c r="AA1318" s="12" t="s">
        <v>31</v>
      </c>
    </row>
    <row r="1319" spans="1:27" x14ac:dyDescent="0.25">
      <c r="A1319" s="10">
        <v>45678</v>
      </c>
      <c r="B1319" s="11" t="s">
        <v>3082</v>
      </c>
      <c r="C1319" s="11" t="s">
        <v>3083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9" t="s">
        <v>26</v>
      </c>
      <c r="AA1319" s="12" t="s">
        <v>31</v>
      </c>
    </row>
    <row r="1320" spans="1:27" x14ac:dyDescent="0.25">
      <c r="A1320" s="10">
        <v>45678</v>
      </c>
      <c r="B1320" s="11" t="s">
        <v>3084</v>
      </c>
      <c r="C1320" s="11" t="s">
        <v>3085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9" t="s">
        <v>26</v>
      </c>
      <c r="AA1320" s="12" t="s">
        <v>31</v>
      </c>
    </row>
    <row r="1321" spans="1:27" x14ac:dyDescent="0.25">
      <c r="A1321" s="10">
        <v>45678</v>
      </c>
      <c r="B1321" s="11" t="s">
        <v>3086</v>
      </c>
      <c r="C1321" s="11" t="s">
        <v>3087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9" t="s">
        <v>26</v>
      </c>
      <c r="AA1321" s="12" t="s">
        <v>31</v>
      </c>
    </row>
    <row r="1322" spans="1:27" x14ac:dyDescent="0.25">
      <c r="A1322" s="10">
        <v>45678</v>
      </c>
      <c r="B1322" s="11" t="s">
        <v>3088</v>
      </c>
      <c r="C1322" s="11" t="s">
        <v>3089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4463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9" t="s">
        <v>26</v>
      </c>
      <c r="AA1322" s="12" t="s">
        <v>31</v>
      </c>
    </row>
    <row r="1323" spans="1:27" x14ac:dyDescent="0.25">
      <c r="A1323" s="10">
        <v>45678</v>
      </c>
      <c r="B1323" s="11" t="s">
        <v>3090</v>
      </c>
      <c r="C1323" s="11" t="s">
        <v>3091</v>
      </c>
      <c r="D1323" s="11" t="s">
        <v>26</v>
      </c>
      <c r="E1323" s="11" t="s">
        <v>1217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9" t="s">
        <v>26</v>
      </c>
      <c r="AA1323" s="12" t="s">
        <v>31</v>
      </c>
    </row>
    <row r="1324" spans="1:27" x14ac:dyDescent="0.25">
      <c r="A1324" s="10">
        <v>45679</v>
      </c>
      <c r="B1324" s="11" t="s">
        <v>3092</v>
      </c>
      <c r="C1324" s="11" t="s">
        <v>3093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4440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9" t="s">
        <v>26</v>
      </c>
      <c r="AA1324" s="12" t="s">
        <v>31</v>
      </c>
    </row>
    <row r="1325" spans="1:27" x14ac:dyDescent="0.25">
      <c r="A1325" s="10">
        <v>45679</v>
      </c>
      <c r="B1325" s="11" t="s">
        <v>437</v>
      </c>
      <c r="C1325" s="11" t="s">
        <v>3094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4441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9" t="s">
        <v>6345</v>
      </c>
      <c r="AA1325" s="12" t="s">
        <v>658</v>
      </c>
    </row>
    <row r="1326" spans="1:27" x14ac:dyDescent="0.25">
      <c r="A1326" s="10">
        <v>45679</v>
      </c>
      <c r="B1326" s="11" t="s">
        <v>3095</v>
      </c>
      <c r="C1326" s="11" t="s">
        <v>3096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9" t="s">
        <v>26</v>
      </c>
      <c r="AA1326" s="12" t="s">
        <v>31</v>
      </c>
    </row>
    <row r="1327" spans="1:27" x14ac:dyDescent="0.25">
      <c r="A1327" s="10">
        <v>45679</v>
      </c>
      <c r="B1327" s="11" t="s">
        <v>229</v>
      </c>
      <c r="C1327" s="11" t="s">
        <v>3097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4439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9" t="s">
        <v>41</v>
      </c>
      <c r="AA1327" s="12" t="s">
        <v>78</v>
      </c>
    </row>
    <row r="1328" spans="1:27" x14ac:dyDescent="0.25">
      <c r="A1328" s="10">
        <v>45679</v>
      </c>
      <c r="B1328" s="11" t="s">
        <v>3098</v>
      </c>
      <c r="C1328" s="11" t="s">
        <v>3099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9" t="s">
        <v>26</v>
      </c>
      <c r="AA1328" s="12" t="s">
        <v>31</v>
      </c>
    </row>
    <row r="1329" spans="1:27" x14ac:dyDescent="0.25">
      <c r="A1329" s="10">
        <v>45679</v>
      </c>
      <c r="B1329" s="11" t="s">
        <v>499</v>
      </c>
      <c r="C1329" s="11" t="s">
        <v>3100</v>
      </c>
      <c r="D1329" s="11" t="s">
        <v>26</v>
      </c>
      <c r="E1329" s="11" t="s">
        <v>1742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9" t="s">
        <v>26</v>
      </c>
      <c r="AA1329" s="12" t="s">
        <v>31</v>
      </c>
    </row>
    <row r="1330" spans="1:27" x14ac:dyDescent="0.25">
      <c r="A1330" s="10">
        <v>45679</v>
      </c>
      <c r="B1330" s="11" t="s">
        <v>3101</v>
      </c>
      <c r="C1330" s="11" t="s">
        <v>3102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4439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9" t="s">
        <v>41</v>
      </c>
      <c r="AA1330" s="12" t="s">
        <v>78</v>
      </c>
    </row>
    <row r="1331" spans="1:27" x14ac:dyDescent="0.25">
      <c r="A1331" s="10">
        <v>45679</v>
      </c>
      <c r="B1331" s="11" t="s">
        <v>239</v>
      </c>
      <c r="C1331" s="11" t="s">
        <v>3103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4439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9" t="s">
        <v>41</v>
      </c>
      <c r="AA1331" s="12" t="s">
        <v>78</v>
      </c>
    </row>
    <row r="1332" spans="1:27" x14ac:dyDescent="0.25">
      <c r="A1332" s="10">
        <v>45679</v>
      </c>
      <c r="B1332" s="11" t="s">
        <v>524</v>
      </c>
      <c r="C1332" s="11" t="s">
        <v>3104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9" t="s">
        <v>26</v>
      </c>
      <c r="AA1332" s="12" t="s">
        <v>31</v>
      </c>
    </row>
    <row r="1333" spans="1:27" x14ac:dyDescent="0.25">
      <c r="A1333" s="10">
        <v>45679</v>
      </c>
      <c r="B1333" s="11" t="s">
        <v>3105</v>
      </c>
      <c r="C1333" s="11" t="s">
        <v>3106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4439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9" t="s">
        <v>41</v>
      </c>
      <c r="AA1333" s="12" t="s">
        <v>78</v>
      </c>
    </row>
    <row r="1334" spans="1:27" x14ac:dyDescent="0.25">
      <c r="A1334" s="10">
        <v>45679</v>
      </c>
      <c r="B1334" s="11" t="s">
        <v>3107</v>
      </c>
      <c r="C1334" s="11" t="s">
        <v>3108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9" t="s">
        <v>26</v>
      </c>
      <c r="AA1334" s="12" t="s">
        <v>31</v>
      </c>
    </row>
    <row r="1335" spans="1:27" x14ac:dyDescent="0.25">
      <c r="A1335" s="10">
        <v>45679</v>
      </c>
      <c r="B1335" s="11" t="s">
        <v>181</v>
      </c>
      <c r="C1335" s="11" t="s">
        <v>3109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4439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9" t="s">
        <v>140</v>
      </c>
      <c r="AA1335" s="12" t="s">
        <v>78</v>
      </c>
    </row>
    <row r="1336" spans="1:27" x14ac:dyDescent="0.25">
      <c r="A1336" s="10">
        <v>45679</v>
      </c>
      <c r="B1336" s="11" t="s">
        <v>594</v>
      </c>
      <c r="C1336" s="11" t="s">
        <v>3110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1926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9" t="s">
        <v>26</v>
      </c>
      <c r="AA1336" s="12" t="s">
        <v>31</v>
      </c>
    </row>
    <row r="1337" spans="1:27" x14ac:dyDescent="0.25">
      <c r="A1337" s="10">
        <v>45679</v>
      </c>
      <c r="B1337" s="11" t="s">
        <v>3111</v>
      </c>
      <c r="C1337" s="11" t="s">
        <v>3112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4439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9" t="s">
        <v>140</v>
      </c>
      <c r="AA1337" s="12" t="s">
        <v>78</v>
      </c>
    </row>
    <row r="1338" spans="1:27" x14ac:dyDescent="0.25">
      <c r="A1338" s="10">
        <v>45679</v>
      </c>
      <c r="B1338" s="11" t="s">
        <v>3113</v>
      </c>
      <c r="C1338" s="11" t="s">
        <v>3114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1926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9" t="s">
        <v>26</v>
      </c>
      <c r="AA1338" s="12" t="s">
        <v>31</v>
      </c>
    </row>
    <row r="1339" spans="1:27" x14ac:dyDescent="0.25">
      <c r="A1339" s="10">
        <v>45679</v>
      </c>
      <c r="B1339" s="11" t="s">
        <v>588</v>
      </c>
      <c r="C1339" s="11" t="s">
        <v>3115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9" t="s">
        <v>26</v>
      </c>
      <c r="AA1339" s="12" t="s">
        <v>31</v>
      </c>
    </row>
    <row r="1340" spans="1:27" x14ac:dyDescent="0.25">
      <c r="A1340" s="10">
        <v>45679</v>
      </c>
      <c r="B1340" s="11" t="s">
        <v>226</v>
      </c>
      <c r="C1340" s="11" t="s">
        <v>3116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4440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9" t="s">
        <v>26</v>
      </c>
      <c r="AA1340" s="12" t="s">
        <v>31</v>
      </c>
    </row>
    <row r="1341" spans="1:27" x14ac:dyDescent="0.25">
      <c r="A1341" s="10">
        <v>45679</v>
      </c>
      <c r="B1341" s="11" t="s">
        <v>3117</v>
      </c>
      <c r="C1341" s="11" t="s">
        <v>3118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9" t="s">
        <v>26</v>
      </c>
      <c r="AA1341" s="12" t="s">
        <v>31</v>
      </c>
    </row>
    <row r="1342" spans="1:27" x14ac:dyDescent="0.25">
      <c r="A1342" s="10">
        <v>45679</v>
      </c>
      <c r="B1342" s="11" t="s">
        <v>3119</v>
      </c>
      <c r="C1342" s="11" t="s">
        <v>3120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4463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9" t="s">
        <v>26</v>
      </c>
      <c r="AA1342" s="12" t="s">
        <v>31</v>
      </c>
    </row>
    <row r="1343" spans="1:27" x14ac:dyDescent="0.25">
      <c r="A1343" s="10">
        <v>45679</v>
      </c>
      <c r="B1343" s="11" t="s">
        <v>3121</v>
      </c>
      <c r="C1343" s="11" t="s">
        <v>3122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4440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9" t="s">
        <v>26</v>
      </c>
      <c r="AA1343" s="12" t="s">
        <v>31</v>
      </c>
    </row>
    <row r="1344" spans="1:27" x14ac:dyDescent="0.25">
      <c r="A1344" s="10">
        <v>45679</v>
      </c>
      <c r="B1344" s="11" t="s">
        <v>513</v>
      </c>
      <c r="C1344" s="11" t="s">
        <v>3123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9" t="s">
        <v>41</v>
      </c>
      <c r="AA1344" s="12" t="s">
        <v>79</v>
      </c>
    </row>
    <row r="1345" spans="1:27" x14ac:dyDescent="0.25">
      <c r="A1345" s="10">
        <v>45679</v>
      </c>
      <c r="B1345" s="11" t="s">
        <v>3124</v>
      </c>
      <c r="C1345" s="11" t="s">
        <v>3125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4466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9" t="s">
        <v>26</v>
      </c>
      <c r="AA1345" s="12" t="s">
        <v>31</v>
      </c>
    </row>
    <row r="1346" spans="1:27" x14ac:dyDescent="0.25">
      <c r="A1346" s="10">
        <v>45679</v>
      </c>
      <c r="B1346" s="11" t="s">
        <v>533</v>
      </c>
      <c r="C1346" s="11" t="s">
        <v>3126</v>
      </c>
      <c r="D1346" s="11" t="s">
        <v>26</v>
      </c>
      <c r="E1346" s="11" t="s">
        <v>1742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9" t="s">
        <v>26</v>
      </c>
      <c r="AA1346" s="12" t="s">
        <v>31</v>
      </c>
    </row>
    <row r="1347" spans="1:27" x14ac:dyDescent="0.25">
      <c r="A1347" s="10">
        <v>45679</v>
      </c>
      <c r="B1347" s="11" t="s">
        <v>3127</v>
      </c>
      <c r="C1347" s="11" t="s">
        <v>3128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9" t="s">
        <v>26</v>
      </c>
      <c r="AA1347" s="12" t="s">
        <v>31</v>
      </c>
    </row>
    <row r="1348" spans="1:27" x14ac:dyDescent="0.25">
      <c r="A1348" s="10">
        <v>45679</v>
      </c>
      <c r="B1348" s="11" t="s">
        <v>3129</v>
      </c>
      <c r="C1348" s="11" t="s">
        <v>3130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9" t="s">
        <v>26</v>
      </c>
      <c r="AA1348" s="12" t="s">
        <v>31</v>
      </c>
    </row>
    <row r="1349" spans="1:27" x14ac:dyDescent="0.25">
      <c r="A1349" s="10">
        <v>45679</v>
      </c>
      <c r="B1349" s="11" t="s">
        <v>3131</v>
      </c>
      <c r="C1349" s="11" t="s">
        <v>3132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9" t="s">
        <v>26</v>
      </c>
      <c r="AA1349" s="12" t="s">
        <v>31</v>
      </c>
    </row>
    <row r="1350" spans="1:27" x14ac:dyDescent="0.25">
      <c r="A1350" s="10">
        <v>45679</v>
      </c>
      <c r="B1350" s="11" t="s">
        <v>3133</v>
      </c>
      <c r="C1350" s="11" t="s">
        <v>3134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4466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9" t="s">
        <v>26</v>
      </c>
      <c r="AA1350" s="12" t="s">
        <v>31</v>
      </c>
    </row>
    <row r="1351" spans="1:27" x14ac:dyDescent="0.25">
      <c r="A1351" s="10">
        <v>45679</v>
      </c>
      <c r="B1351" s="11" t="s">
        <v>3135</v>
      </c>
      <c r="C1351" s="11" t="s">
        <v>3136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9" t="s">
        <v>26</v>
      </c>
      <c r="AA1351" s="12" t="s">
        <v>31</v>
      </c>
    </row>
    <row r="1352" spans="1:27" x14ac:dyDescent="0.25">
      <c r="A1352" s="10">
        <v>45679</v>
      </c>
      <c r="B1352" s="11" t="s">
        <v>540</v>
      </c>
      <c r="C1352" s="11" t="s">
        <v>3137</v>
      </c>
      <c r="D1352" s="11" t="s">
        <v>26</v>
      </c>
      <c r="E1352" s="11" t="s">
        <v>1217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9" t="s">
        <v>26</v>
      </c>
      <c r="AA1352" s="12" t="s">
        <v>31</v>
      </c>
    </row>
    <row r="1353" spans="1:27" x14ac:dyDescent="0.25">
      <c r="A1353" s="10">
        <v>45679</v>
      </c>
      <c r="B1353" s="11" t="s">
        <v>3138</v>
      </c>
      <c r="C1353" s="11" t="s">
        <v>3139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6345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9" t="s">
        <v>26</v>
      </c>
      <c r="AA1353" s="12" t="s">
        <v>31</v>
      </c>
    </row>
    <row r="1354" spans="1:27" x14ac:dyDescent="0.25">
      <c r="A1354" s="10">
        <v>45679</v>
      </c>
      <c r="B1354" s="11" t="s">
        <v>3140</v>
      </c>
      <c r="C1354" s="11" t="s">
        <v>3141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4463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9" t="s">
        <v>26</v>
      </c>
      <c r="AA1354" s="12" t="s">
        <v>31</v>
      </c>
    </row>
    <row r="1355" spans="1:27" x14ac:dyDescent="0.25">
      <c r="A1355" s="10">
        <v>45679</v>
      </c>
      <c r="B1355" s="11" t="s">
        <v>3142</v>
      </c>
      <c r="C1355" s="11" t="s">
        <v>3143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4440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9" t="s">
        <v>26</v>
      </c>
      <c r="AA1355" s="12" t="s">
        <v>31</v>
      </c>
    </row>
    <row r="1356" spans="1:27" x14ac:dyDescent="0.25">
      <c r="A1356" s="10">
        <v>45679</v>
      </c>
      <c r="B1356" s="11" t="s">
        <v>3144</v>
      </c>
      <c r="C1356" s="11" t="s">
        <v>3145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4440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9" t="s">
        <v>26</v>
      </c>
      <c r="AA1356" s="12" t="s">
        <v>31</v>
      </c>
    </row>
    <row r="1357" spans="1:27" x14ac:dyDescent="0.25">
      <c r="A1357" s="10">
        <v>45679</v>
      </c>
      <c r="B1357" s="11" t="s">
        <v>3146</v>
      </c>
      <c r="C1357" s="11" t="s">
        <v>3147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4466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9" t="s">
        <v>26</v>
      </c>
      <c r="AA1357" s="12" t="s">
        <v>31</v>
      </c>
    </row>
    <row r="1358" spans="1:27" x14ac:dyDescent="0.25">
      <c r="A1358" s="10">
        <v>45679</v>
      </c>
      <c r="B1358" s="11" t="s">
        <v>3148</v>
      </c>
      <c r="C1358" s="11" t="s">
        <v>3149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4439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9" t="s">
        <v>140</v>
      </c>
      <c r="AA1358" s="12" t="s">
        <v>78</v>
      </c>
    </row>
    <row r="1359" spans="1:27" x14ac:dyDescent="0.25">
      <c r="A1359" s="10">
        <v>45679</v>
      </c>
      <c r="B1359" s="11" t="s">
        <v>595</v>
      </c>
      <c r="C1359" s="11" t="s">
        <v>3150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9" t="s">
        <v>26</v>
      </c>
      <c r="AA1359" s="12" t="s">
        <v>31</v>
      </c>
    </row>
    <row r="1360" spans="1:27" x14ac:dyDescent="0.25">
      <c r="A1360" s="10">
        <v>45679</v>
      </c>
      <c r="B1360" s="11" t="s">
        <v>606</v>
      </c>
      <c r="C1360" s="11" t="s">
        <v>3151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9" t="s">
        <v>26</v>
      </c>
      <c r="AA1360" s="12" t="s">
        <v>31</v>
      </c>
    </row>
    <row r="1361" spans="1:27" x14ac:dyDescent="0.25">
      <c r="A1361" s="10">
        <v>45679</v>
      </c>
      <c r="B1361" s="11" t="s">
        <v>3152</v>
      </c>
      <c r="C1361" s="11" t="s">
        <v>3153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4440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9" t="s">
        <v>26</v>
      </c>
      <c r="AA1361" s="12" t="s">
        <v>31</v>
      </c>
    </row>
    <row r="1362" spans="1:27" x14ac:dyDescent="0.25">
      <c r="A1362" s="10">
        <v>45679</v>
      </c>
      <c r="B1362" s="11" t="s">
        <v>3154</v>
      </c>
      <c r="C1362" s="11" t="s">
        <v>3155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4439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9" t="s">
        <v>140</v>
      </c>
      <c r="AA1362" s="12" t="s">
        <v>78</v>
      </c>
    </row>
    <row r="1363" spans="1:27" x14ac:dyDescent="0.25">
      <c r="A1363" s="10">
        <v>45679</v>
      </c>
      <c r="B1363" s="11" t="s">
        <v>3156</v>
      </c>
      <c r="C1363" s="11" t="s">
        <v>3157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4466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9" t="s">
        <v>26</v>
      </c>
      <c r="AA1363" s="12" t="s">
        <v>31</v>
      </c>
    </row>
    <row r="1364" spans="1:27" x14ac:dyDescent="0.25">
      <c r="A1364" s="10">
        <v>45679</v>
      </c>
      <c r="B1364" s="11" t="s">
        <v>3158</v>
      </c>
      <c r="C1364" s="11" t="s">
        <v>3159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4439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9" t="s">
        <v>140</v>
      </c>
      <c r="AA1364" s="12" t="s">
        <v>78</v>
      </c>
    </row>
    <row r="1365" spans="1:27" x14ac:dyDescent="0.25">
      <c r="A1365" s="10">
        <v>45679</v>
      </c>
      <c r="B1365" s="11" t="s">
        <v>508</v>
      </c>
      <c r="C1365" s="11" t="s">
        <v>3160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1926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9" t="s">
        <v>26</v>
      </c>
      <c r="AA1365" s="12" t="s">
        <v>31</v>
      </c>
    </row>
    <row r="1366" spans="1:27" x14ac:dyDescent="0.25">
      <c r="A1366" s="10">
        <v>45679</v>
      </c>
      <c r="B1366" s="11" t="s">
        <v>3161</v>
      </c>
      <c r="C1366" s="11" t="s">
        <v>3162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1926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9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3163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9" t="s">
        <v>41</v>
      </c>
      <c r="AA1367" s="12" t="s">
        <v>79</v>
      </c>
    </row>
    <row r="1368" spans="1:27" x14ac:dyDescent="0.25">
      <c r="A1368" s="10">
        <v>45679</v>
      </c>
      <c r="B1368" s="11" t="s">
        <v>510</v>
      </c>
      <c r="C1368" s="11" t="s">
        <v>3164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9" t="s">
        <v>26</v>
      </c>
      <c r="AA1368" s="12" t="s">
        <v>31</v>
      </c>
    </row>
    <row r="1369" spans="1:27" x14ac:dyDescent="0.25">
      <c r="A1369" s="10">
        <v>45679</v>
      </c>
      <c r="B1369" s="11" t="s">
        <v>3165</v>
      </c>
      <c r="C1369" s="11" t="s">
        <v>3166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4441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9" t="s">
        <v>41</v>
      </c>
      <c r="AA1369" s="12" t="s">
        <v>747</v>
      </c>
    </row>
    <row r="1370" spans="1:27" x14ac:dyDescent="0.25">
      <c r="A1370" s="10">
        <v>45679</v>
      </c>
      <c r="B1370" s="11" t="s">
        <v>3167</v>
      </c>
      <c r="C1370" s="11" t="s">
        <v>3168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9" t="s">
        <v>26</v>
      </c>
      <c r="AA1370" s="12" t="s">
        <v>31</v>
      </c>
    </row>
    <row r="1371" spans="1:27" x14ac:dyDescent="0.25">
      <c r="A1371" s="10">
        <v>45679</v>
      </c>
      <c r="B1371" s="11" t="s">
        <v>3169</v>
      </c>
      <c r="C1371" s="11" t="s">
        <v>3170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4466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9" t="s">
        <v>26</v>
      </c>
      <c r="AA1371" s="12" t="s">
        <v>31</v>
      </c>
    </row>
    <row r="1372" spans="1:27" x14ac:dyDescent="0.25">
      <c r="A1372" s="10">
        <v>45679</v>
      </c>
      <c r="B1372" s="11" t="s">
        <v>560</v>
      </c>
      <c r="C1372" s="11" t="s">
        <v>3171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9" t="s">
        <v>26</v>
      </c>
      <c r="AA1372" s="12" t="s">
        <v>31</v>
      </c>
    </row>
    <row r="1373" spans="1:27" x14ac:dyDescent="0.25">
      <c r="A1373" s="10">
        <v>45679</v>
      </c>
      <c r="B1373" s="11" t="s">
        <v>3172</v>
      </c>
      <c r="C1373" s="11" t="s">
        <v>3173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9" t="s">
        <v>26</v>
      </c>
      <c r="AA1373" s="12" t="s">
        <v>31</v>
      </c>
    </row>
    <row r="1374" spans="1:27" x14ac:dyDescent="0.25">
      <c r="A1374" s="10">
        <v>45679</v>
      </c>
      <c r="B1374" s="11" t="s">
        <v>758</v>
      </c>
      <c r="C1374" s="11" t="s">
        <v>3174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4466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9" t="s">
        <v>26</v>
      </c>
      <c r="AA1374" s="12" t="s">
        <v>31</v>
      </c>
    </row>
    <row r="1375" spans="1:27" x14ac:dyDescent="0.25">
      <c r="A1375" s="10">
        <v>45679</v>
      </c>
      <c r="B1375" s="11" t="s">
        <v>578</v>
      </c>
      <c r="C1375" s="11" t="s">
        <v>3175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4463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9" t="s">
        <v>26</v>
      </c>
      <c r="AA1375" s="12" t="s">
        <v>31</v>
      </c>
    </row>
    <row r="1376" spans="1:27" x14ac:dyDescent="0.25">
      <c r="A1376" s="10">
        <v>45679</v>
      </c>
      <c r="B1376" s="11" t="s">
        <v>3176</v>
      </c>
      <c r="C1376" s="11" t="s">
        <v>3177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9" t="s">
        <v>26</v>
      </c>
      <c r="AA1376" s="12" t="s">
        <v>31</v>
      </c>
    </row>
    <row r="1377" spans="1:27" x14ac:dyDescent="0.25">
      <c r="A1377" s="10">
        <v>45679</v>
      </c>
      <c r="B1377" s="11" t="s">
        <v>3178</v>
      </c>
      <c r="C1377" s="11" t="s">
        <v>3179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4440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9" t="s">
        <v>26</v>
      </c>
      <c r="AA1377" s="12" t="s">
        <v>31</v>
      </c>
    </row>
    <row r="1378" spans="1:27" x14ac:dyDescent="0.25">
      <c r="A1378" s="10">
        <v>45679</v>
      </c>
      <c r="B1378" s="11" t="s">
        <v>3180</v>
      </c>
      <c r="C1378" s="11" t="s">
        <v>3181</v>
      </c>
      <c r="D1378" s="11" t="s">
        <v>26</v>
      </c>
      <c r="E1378" s="11" t="s">
        <v>1217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9" t="s">
        <v>26</v>
      </c>
      <c r="AA1378" s="12" t="s">
        <v>31</v>
      </c>
    </row>
    <row r="1379" spans="1:27" x14ac:dyDescent="0.25">
      <c r="A1379" s="10">
        <v>45679</v>
      </c>
      <c r="B1379" s="11" t="s">
        <v>3182</v>
      </c>
      <c r="C1379" s="11" t="s">
        <v>3183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9" t="s">
        <v>26</v>
      </c>
      <c r="AA1379" s="12" t="s">
        <v>31</v>
      </c>
    </row>
    <row r="1380" spans="1:27" x14ac:dyDescent="0.25">
      <c r="A1380" s="10">
        <v>45679</v>
      </c>
      <c r="B1380" s="11" t="s">
        <v>3184</v>
      </c>
      <c r="C1380" s="11" t="s">
        <v>3185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9" t="s">
        <v>26</v>
      </c>
      <c r="AA1380" s="12" t="s">
        <v>31</v>
      </c>
    </row>
    <row r="1381" spans="1:27" x14ac:dyDescent="0.25">
      <c r="A1381" s="10">
        <v>45679</v>
      </c>
      <c r="B1381" s="11" t="s">
        <v>3186</v>
      </c>
      <c r="C1381" s="11" t="s">
        <v>3187</v>
      </c>
      <c r="D1381" s="11" t="s">
        <v>26</v>
      </c>
      <c r="E1381" s="11" t="s">
        <v>659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9" t="s">
        <v>26</v>
      </c>
      <c r="AA1381" s="12" t="s">
        <v>31</v>
      </c>
    </row>
    <row r="1382" spans="1:27" x14ac:dyDescent="0.25">
      <c r="A1382" s="10">
        <v>45679</v>
      </c>
      <c r="B1382" s="11" t="s">
        <v>655</v>
      </c>
      <c r="C1382" s="11" t="s">
        <v>3188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4466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9" t="s">
        <v>26</v>
      </c>
      <c r="AA1382" s="12" t="s">
        <v>31</v>
      </c>
    </row>
    <row r="1383" spans="1:27" x14ac:dyDescent="0.25">
      <c r="A1383" s="10">
        <v>45679</v>
      </c>
      <c r="B1383" s="11" t="s">
        <v>3189</v>
      </c>
      <c r="C1383" s="11" t="s">
        <v>3190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9" t="s">
        <v>26</v>
      </c>
      <c r="AA1383" s="12" t="s">
        <v>31</v>
      </c>
    </row>
    <row r="1384" spans="1:27" x14ac:dyDescent="0.25">
      <c r="A1384" s="10">
        <v>45679</v>
      </c>
      <c r="B1384" s="11" t="s">
        <v>3191</v>
      </c>
      <c r="C1384" s="11" t="s">
        <v>3192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9" t="s">
        <v>26</v>
      </c>
      <c r="AA1384" s="12" t="s">
        <v>31</v>
      </c>
    </row>
    <row r="1385" spans="1:27" x14ac:dyDescent="0.25">
      <c r="A1385" s="10">
        <v>45679</v>
      </c>
      <c r="B1385" s="11" t="s">
        <v>3193</v>
      </c>
      <c r="C1385" s="11" t="s">
        <v>3194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9" t="s">
        <v>26</v>
      </c>
      <c r="AA1385" s="12" t="s">
        <v>31</v>
      </c>
    </row>
    <row r="1386" spans="1:27" x14ac:dyDescent="0.25">
      <c r="A1386" s="10">
        <v>45679</v>
      </c>
      <c r="B1386" s="11" t="s">
        <v>3195</v>
      </c>
      <c r="C1386" s="11" t="s">
        <v>3196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4440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9" t="s">
        <v>26</v>
      </c>
      <c r="AA1386" s="12" t="s">
        <v>31</v>
      </c>
    </row>
    <row r="1387" spans="1:27" x14ac:dyDescent="0.25">
      <c r="A1387" s="10">
        <v>45679</v>
      </c>
      <c r="B1387" s="11" t="s">
        <v>3197</v>
      </c>
      <c r="C1387" s="11" t="s">
        <v>3198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9" t="s">
        <v>26</v>
      </c>
      <c r="AA1387" s="12" t="s">
        <v>31</v>
      </c>
    </row>
    <row r="1388" spans="1:27" x14ac:dyDescent="0.25">
      <c r="A1388" s="10">
        <v>45679</v>
      </c>
      <c r="B1388" s="11" t="s">
        <v>3199</v>
      </c>
      <c r="C1388" s="11" t="s">
        <v>3200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4441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9" t="s">
        <v>41</v>
      </c>
      <c r="AA1388" s="12" t="s">
        <v>747</v>
      </c>
    </row>
    <row r="1389" spans="1:27" x14ac:dyDescent="0.25">
      <c r="A1389" s="10">
        <v>45679</v>
      </c>
      <c r="B1389" s="11" t="s">
        <v>521</v>
      </c>
      <c r="C1389" s="11" t="s">
        <v>3201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1926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9" t="s">
        <v>26</v>
      </c>
      <c r="AA1389" s="12" t="s">
        <v>31</v>
      </c>
    </row>
    <row r="1390" spans="1:27" x14ac:dyDescent="0.25">
      <c r="A1390" s="10">
        <v>45679</v>
      </c>
      <c r="B1390" s="11" t="s">
        <v>3202</v>
      </c>
      <c r="C1390" s="11" t="s">
        <v>3203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9" t="s">
        <v>26</v>
      </c>
      <c r="AA1390" s="12" t="s">
        <v>31</v>
      </c>
    </row>
    <row r="1391" spans="1:27" x14ac:dyDescent="0.25">
      <c r="A1391" s="10">
        <v>45679</v>
      </c>
      <c r="B1391" s="11" t="s">
        <v>245</v>
      </c>
      <c r="C1391" s="11" t="s">
        <v>3204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9" t="s">
        <v>26</v>
      </c>
      <c r="AA1391" s="12" t="s">
        <v>31</v>
      </c>
    </row>
    <row r="1392" spans="1:27" x14ac:dyDescent="0.25">
      <c r="A1392" s="10">
        <v>45679</v>
      </c>
      <c r="B1392" s="11" t="s">
        <v>3205</v>
      </c>
      <c r="C1392" s="11" t="s">
        <v>3206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6345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9" t="s">
        <v>26</v>
      </c>
      <c r="AA1392" s="12" t="s">
        <v>31</v>
      </c>
    </row>
    <row r="1393" spans="1:27" x14ac:dyDescent="0.25">
      <c r="A1393" s="10">
        <v>45679</v>
      </c>
      <c r="B1393" s="11" t="s">
        <v>3207</v>
      </c>
      <c r="C1393" s="11" t="s">
        <v>3208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4466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9" t="s">
        <v>26</v>
      </c>
      <c r="AA1393" s="12" t="s">
        <v>31</v>
      </c>
    </row>
    <row r="1394" spans="1:27" x14ac:dyDescent="0.25">
      <c r="A1394" s="10">
        <v>45679</v>
      </c>
      <c r="B1394" s="11" t="s">
        <v>3209</v>
      </c>
      <c r="C1394" s="11" t="s">
        <v>3210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9" t="s">
        <v>26</v>
      </c>
      <c r="AA1394" s="12" t="s">
        <v>31</v>
      </c>
    </row>
    <row r="1395" spans="1:27" x14ac:dyDescent="0.25">
      <c r="A1395" s="10">
        <v>45679</v>
      </c>
      <c r="B1395" s="11" t="s">
        <v>3211</v>
      </c>
      <c r="C1395" s="11" t="s">
        <v>3212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9" t="s">
        <v>26</v>
      </c>
      <c r="AA1395" s="12" t="s">
        <v>31</v>
      </c>
    </row>
    <row r="1396" spans="1:27" x14ac:dyDescent="0.25">
      <c r="A1396" s="10">
        <v>45679</v>
      </c>
      <c r="B1396" s="11" t="s">
        <v>3213</v>
      </c>
      <c r="C1396" s="11" t="s">
        <v>3214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9" t="s">
        <v>26</v>
      </c>
      <c r="AA1396" s="12" t="s">
        <v>31</v>
      </c>
    </row>
    <row r="1397" spans="1:27" x14ac:dyDescent="0.25">
      <c r="A1397" s="10">
        <v>45679</v>
      </c>
      <c r="B1397" s="11" t="s">
        <v>586</v>
      </c>
      <c r="C1397" s="11" t="s">
        <v>3215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9" t="s">
        <v>26</v>
      </c>
      <c r="AA1397" s="12" t="s">
        <v>31</v>
      </c>
    </row>
    <row r="1398" spans="1:27" x14ac:dyDescent="0.25">
      <c r="A1398" s="10">
        <v>45679</v>
      </c>
      <c r="B1398" s="11" t="s">
        <v>3216</v>
      </c>
      <c r="C1398" s="11" t="s">
        <v>3217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9" t="s">
        <v>26</v>
      </c>
      <c r="AA1398" s="12" t="s">
        <v>31</v>
      </c>
    </row>
    <row r="1399" spans="1:27" x14ac:dyDescent="0.25">
      <c r="A1399" s="10">
        <v>45679</v>
      </c>
      <c r="B1399" s="11" t="s">
        <v>3218</v>
      </c>
      <c r="C1399" s="11" t="s">
        <v>3219</v>
      </c>
      <c r="D1399" s="11" t="s">
        <v>26</v>
      </c>
      <c r="E1399" s="11" t="s">
        <v>2126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9" t="s">
        <v>26</v>
      </c>
      <c r="AA1399" s="12" t="s">
        <v>31</v>
      </c>
    </row>
    <row r="1400" spans="1:27" x14ac:dyDescent="0.25">
      <c r="A1400" s="10">
        <v>45679</v>
      </c>
      <c r="B1400" s="11" t="s">
        <v>3220</v>
      </c>
      <c r="C1400" s="11" t="s">
        <v>3221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4465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9" t="s">
        <v>26</v>
      </c>
      <c r="AA1400" s="12" t="s">
        <v>31</v>
      </c>
    </row>
    <row r="1401" spans="1:27" x14ac:dyDescent="0.25">
      <c r="A1401" s="10">
        <v>45679</v>
      </c>
      <c r="B1401" s="11" t="s">
        <v>3222</v>
      </c>
      <c r="C1401" s="11" t="s">
        <v>3223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9" t="s">
        <v>26</v>
      </c>
      <c r="AA1401" s="12" t="s">
        <v>31</v>
      </c>
    </row>
    <row r="1402" spans="1:27" x14ac:dyDescent="0.25">
      <c r="A1402" s="10">
        <v>45679</v>
      </c>
      <c r="B1402" s="11" t="s">
        <v>3224</v>
      </c>
      <c r="C1402" s="11" t="s">
        <v>3225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9" t="s">
        <v>26</v>
      </c>
      <c r="AA1402" s="12" t="s">
        <v>31</v>
      </c>
    </row>
    <row r="1403" spans="1:27" x14ac:dyDescent="0.25">
      <c r="A1403" s="10">
        <v>45679</v>
      </c>
      <c r="B1403" s="11" t="s">
        <v>584</v>
      </c>
      <c r="C1403" s="11" t="s">
        <v>3226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9" t="s">
        <v>26</v>
      </c>
      <c r="AA1403" s="12" t="s">
        <v>31</v>
      </c>
    </row>
    <row r="1404" spans="1:27" x14ac:dyDescent="0.25">
      <c r="A1404" s="10">
        <v>45679</v>
      </c>
      <c r="B1404" s="11" t="s">
        <v>498</v>
      </c>
      <c r="C1404" s="11" t="s">
        <v>3227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9" t="s">
        <v>26</v>
      </c>
      <c r="AA1404" s="12" t="s">
        <v>31</v>
      </c>
    </row>
    <row r="1405" spans="1:27" x14ac:dyDescent="0.25">
      <c r="A1405" s="10">
        <v>45679</v>
      </c>
      <c r="B1405" s="11" t="s">
        <v>532</v>
      </c>
      <c r="C1405" s="11" t="s">
        <v>3228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9" t="s">
        <v>26</v>
      </c>
      <c r="AA1405" s="12" t="s">
        <v>31</v>
      </c>
    </row>
    <row r="1406" spans="1:27" x14ac:dyDescent="0.25">
      <c r="A1406" s="10">
        <v>45679</v>
      </c>
      <c r="B1406" s="11" t="s">
        <v>3229</v>
      </c>
      <c r="C1406" s="11" t="s">
        <v>3230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4440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9" t="s">
        <v>26</v>
      </c>
      <c r="AA1406" s="12" t="s">
        <v>31</v>
      </c>
    </row>
    <row r="1407" spans="1:27" x14ac:dyDescent="0.25">
      <c r="A1407" s="10">
        <v>45679</v>
      </c>
      <c r="B1407" s="11" t="s">
        <v>3231</v>
      </c>
      <c r="C1407" s="11" t="s">
        <v>3232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4439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9" t="s">
        <v>41</v>
      </c>
      <c r="AA1407" s="12" t="s">
        <v>78</v>
      </c>
    </row>
    <row r="1408" spans="1:27" x14ac:dyDescent="0.25">
      <c r="A1408" s="10">
        <v>45679</v>
      </c>
      <c r="B1408" s="11" t="s">
        <v>660</v>
      </c>
      <c r="C1408" s="11" t="s">
        <v>3233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9" t="s">
        <v>26</v>
      </c>
      <c r="AA1408" s="12" t="s">
        <v>31</v>
      </c>
    </row>
    <row r="1409" spans="1:27" x14ac:dyDescent="0.25">
      <c r="A1409" s="10">
        <v>45679</v>
      </c>
      <c r="B1409" s="11" t="s">
        <v>757</v>
      </c>
      <c r="C1409" s="11" t="s">
        <v>3234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4465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9" t="s">
        <v>26</v>
      </c>
      <c r="AA1409" s="12" t="s">
        <v>31</v>
      </c>
    </row>
    <row r="1410" spans="1:27" x14ac:dyDescent="0.25">
      <c r="A1410" s="10">
        <v>45679</v>
      </c>
      <c r="B1410" s="11" t="s">
        <v>242</v>
      </c>
      <c r="C1410" s="11" t="s">
        <v>3235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4466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9" t="s">
        <v>26</v>
      </c>
      <c r="AA1410" s="12" t="s">
        <v>31</v>
      </c>
    </row>
    <row r="1411" spans="1:27" x14ac:dyDescent="0.25">
      <c r="A1411" s="10">
        <v>45679</v>
      </c>
      <c r="B1411" s="11" t="s">
        <v>548</v>
      </c>
      <c r="C1411" s="11" t="s">
        <v>3236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9" t="s">
        <v>26</v>
      </c>
      <c r="AA1411" s="12" t="s">
        <v>31</v>
      </c>
    </row>
    <row r="1412" spans="1:27" x14ac:dyDescent="0.25">
      <c r="A1412" s="10">
        <v>45679</v>
      </c>
      <c r="B1412" s="11" t="s">
        <v>3237</v>
      </c>
      <c r="C1412" s="11" t="s">
        <v>3238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9" t="s">
        <v>26</v>
      </c>
      <c r="AA1412" s="12" t="s">
        <v>31</v>
      </c>
    </row>
    <row r="1413" spans="1:27" x14ac:dyDescent="0.25">
      <c r="A1413" s="10">
        <v>45679</v>
      </c>
      <c r="B1413" s="11" t="s">
        <v>3239</v>
      </c>
      <c r="C1413" s="11" t="s">
        <v>3240</v>
      </c>
      <c r="D1413" s="11" t="s">
        <v>26</v>
      </c>
      <c r="E1413" s="11" t="s">
        <v>1217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9" t="s">
        <v>26</v>
      </c>
      <c r="AA1413" s="12" t="s">
        <v>31</v>
      </c>
    </row>
    <row r="1414" spans="1:27" x14ac:dyDescent="0.25">
      <c r="A1414" s="10">
        <v>45679</v>
      </c>
      <c r="B1414" s="11" t="s">
        <v>3241</v>
      </c>
      <c r="C1414" s="11" t="s">
        <v>3242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9" t="s">
        <v>26</v>
      </c>
      <c r="AA1414" s="12" t="s">
        <v>31</v>
      </c>
    </row>
    <row r="1415" spans="1:27" x14ac:dyDescent="0.25">
      <c r="A1415" s="10">
        <v>45679</v>
      </c>
      <c r="B1415" s="11" t="s">
        <v>3243</v>
      </c>
      <c r="C1415" s="11" t="s">
        <v>3244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9" t="s">
        <v>26</v>
      </c>
      <c r="AA1415" s="12" t="s">
        <v>31</v>
      </c>
    </row>
    <row r="1416" spans="1:27" x14ac:dyDescent="0.25">
      <c r="A1416" s="10">
        <v>45679</v>
      </c>
      <c r="B1416" s="11" t="s">
        <v>3245</v>
      </c>
      <c r="C1416" s="11" t="s">
        <v>3246</v>
      </c>
      <c r="D1416" s="11" t="s">
        <v>26</v>
      </c>
      <c r="E1416" s="11" t="s">
        <v>1742</v>
      </c>
      <c r="F1416" s="11" t="s">
        <v>26</v>
      </c>
      <c r="G1416" s="11">
        <v>3294</v>
      </c>
      <c r="H1416" s="12" t="s">
        <v>4465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9" t="s">
        <v>26</v>
      </c>
      <c r="AA1416" s="12" t="s">
        <v>31</v>
      </c>
    </row>
    <row r="1417" spans="1:27" x14ac:dyDescent="0.25">
      <c r="A1417" s="10">
        <v>45680</v>
      </c>
      <c r="B1417" s="11" t="s">
        <v>1870</v>
      </c>
      <c r="C1417" s="11" t="s">
        <v>3247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9" t="s">
        <v>26</v>
      </c>
      <c r="AA1417" s="12" t="s">
        <v>31</v>
      </c>
    </row>
    <row r="1418" spans="1:27" x14ac:dyDescent="0.25">
      <c r="A1418" s="10">
        <v>45680</v>
      </c>
      <c r="B1418" s="11" t="s">
        <v>367</v>
      </c>
      <c r="C1418" s="11" t="s">
        <v>3248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4465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9" t="s">
        <v>26</v>
      </c>
      <c r="AA1418" s="12" t="s">
        <v>31</v>
      </c>
    </row>
    <row r="1419" spans="1:27" x14ac:dyDescent="0.25">
      <c r="A1419" s="10">
        <v>45680</v>
      </c>
      <c r="B1419" s="11" t="s">
        <v>308</v>
      </c>
      <c r="C1419" s="11" t="s">
        <v>3249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4439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9" t="s">
        <v>41</v>
      </c>
      <c r="AA1419" s="12" t="s">
        <v>78</v>
      </c>
    </row>
    <row r="1420" spans="1:27" x14ac:dyDescent="0.25">
      <c r="A1420" s="10">
        <v>45680</v>
      </c>
      <c r="B1420" s="11" t="s">
        <v>393</v>
      </c>
      <c r="C1420" s="11" t="s">
        <v>3250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9" t="s">
        <v>26</v>
      </c>
      <c r="AA1420" s="12" t="s">
        <v>31</v>
      </c>
    </row>
    <row r="1421" spans="1:27" x14ac:dyDescent="0.25">
      <c r="A1421" s="10">
        <v>45680</v>
      </c>
      <c r="B1421" s="11" t="s">
        <v>3251</v>
      </c>
      <c r="C1421" s="11" t="s">
        <v>3252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4440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9" t="s">
        <v>26</v>
      </c>
      <c r="AA1421" s="12" t="s">
        <v>31</v>
      </c>
    </row>
    <row r="1422" spans="1:27" x14ac:dyDescent="0.25">
      <c r="A1422" s="10">
        <v>45680</v>
      </c>
      <c r="B1422" s="11" t="s">
        <v>1727</v>
      </c>
      <c r="C1422" s="11" t="s">
        <v>3253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9" t="s">
        <v>26</v>
      </c>
      <c r="AA1422" s="12" t="s">
        <v>31</v>
      </c>
    </row>
    <row r="1423" spans="1:27" x14ac:dyDescent="0.25">
      <c r="A1423" s="10">
        <v>45680</v>
      </c>
      <c r="B1423" s="11" t="s">
        <v>3254</v>
      </c>
      <c r="C1423" s="11" t="s">
        <v>3255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4439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9" t="s">
        <v>41</v>
      </c>
      <c r="AA1423" s="12" t="s">
        <v>78</v>
      </c>
    </row>
    <row r="1424" spans="1:27" x14ac:dyDescent="0.25">
      <c r="A1424" s="10">
        <v>45680</v>
      </c>
      <c r="B1424" s="11" t="s">
        <v>297</v>
      </c>
      <c r="C1424" s="11" t="s">
        <v>3256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4463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9" t="s">
        <v>26</v>
      </c>
      <c r="AA1424" s="12" t="s">
        <v>31</v>
      </c>
    </row>
    <row r="1425" spans="1:27" x14ac:dyDescent="0.25">
      <c r="A1425" s="10">
        <v>45680</v>
      </c>
      <c r="B1425" s="11" t="s">
        <v>3257</v>
      </c>
      <c r="C1425" s="11" t="s">
        <v>3258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9" t="s">
        <v>26</v>
      </c>
      <c r="AA1425" s="12" t="s">
        <v>31</v>
      </c>
    </row>
    <row r="1426" spans="1:27" x14ac:dyDescent="0.25">
      <c r="A1426" s="10">
        <v>45680</v>
      </c>
      <c r="B1426" s="11" t="s">
        <v>261</v>
      </c>
      <c r="C1426" s="11" t="s">
        <v>3259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9" t="s">
        <v>26</v>
      </c>
      <c r="AA1426" s="12" t="s">
        <v>31</v>
      </c>
    </row>
    <row r="1427" spans="1:27" x14ac:dyDescent="0.25">
      <c r="A1427" s="10">
        <v>45680</v>
      </c>
      <c r="B1427" s="11" t="s">
        <v>3260</v>
      </c>
      <c r="C1427" s="11" t="s">
        <v>3261</v>
      </c>
      <c r="D1427" s="11" t="s">
        <v>26</v>
      </c>
      <c r="E1427" s="11" t="s">
        <v>2126</v>
      </c>
      <c r="F1427" s="11" t="s">
        <v>26</v>
      </c>
      <c r="G1427" s="11" t="s">
        <v>26</v>
      </c>
      <c r="H1427" s="12" t="s">
        <v>4439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9" t="s">
        <v>140</v>
      </c>
      <c r="AA1427" s="12" t="s">
        <v>78</v>
      </c>
    </row>
    <row r="1428" spans="1:27" x14ac:dyDescent="0.25">
      <c r="A1428" s="10">
        <v>45680</v>
      </c>
      <c r="B1428" s="11" t="s">
        <v>3262</v>
      </c>
      <c r="C1428" s="11" t="s">
        <v>3263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9" t="s">
        <v>26</v>
      </c>
      <c r="AA1428" s="12" t="s">
        <v>31</v>
      </c>
    </row>
    <row r="1429" spans="1:27" x14ac:dyDescent="0.25">
      <c r="A1429" s="10">
        <v>45680</v>
      </c>
      <c r="B1429" s="11" t="s">
        <v>3264</v>
      </c>
      <c r="C1429" s="11" t="s">
        <v>3265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9" t="s">
        <v>26</v>
      </c>
      <c r="AA1429" s="12" t="s">
        <v>31</v>
      </c>
    </row>
    <row r="1430" spans="1:27" x14ac:dyDescent="0.25">
      <c r="A1430" s="10">
        <v>45680</v>
      </c>
      <c r="B1430" s="11" t="s">
        <v>3266</v>
      </c>
      <c r="C1430" s="11" t="s">
        <v>3267</v>
      </c>
      <c r="D1430" s="11" t="s">
        <v>26</v>
      </c>
      <c r="E1430" s="11" t="s">
        <v>659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9" t="s">
        <v>26</v>
      </c>
      <c r="AA1430" s="12" t="s">
        <v>31</v>
      </c>
    </row>
    <row r="1431" spans="1:27" x14ac:dyDescent="0.25">
      <c r="A1431" s="10">
        <v>45680</v>
      </c>
      <c r="B1431" s="11" t="s">
        <v>3268</v>
      </c>
      <c r="C1431" s="11" t="s">
        <v>3269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9" t="s">
        <v>26</v>
      </c>
      <c r="AA1431" s="12" t="s">
        <v>31</v>
      </c>
    </row>
    <row r="1432" spans="1:27" x14ac:dyDescent="0.25">
      <c r="A1432" s="10">
        <v>45680</v>
      </c>
      <c r="B1432" s="11" t="s">
        <v>192</v>
      </c>
      <c r="C1432" s="11" t="s">
        <v>3270</v>
      </c>
      <c r="D1432" s="11" t="s">
        <v>26</v>
      </c>
      <c r="E1432" s="11" t="s">
        <v>1217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9" t="s">
        <v>26</v>
      </c>
      <c r="AA1432" s="12" t="s">
        <v>31</v>
      </c>
    </row>
    <row r="1433" spans="1:27" x14ac:dyDescent="0.25">
      <c r="A1433" s="10">
        <v>45680</v>
      </c>
      <c r="B1433" s="11" t="s">
        <v>3271</v>
      </c>
      <c r="C1433" s="11" t="s">
        <v>3272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9" t="s">
        <v>26</v>
      </c>
      <c r="AA1433" s="12" t="s">
        <v>31</v>
      </c>
    </row>
    <row r="1434" spans="1:27" x14ac:dyDescent="0.25">
      <c r="A1434" s="10">
        <v>45680</v>
      </c>
      <c r="B1434" s="11" t="s">
        <v>3273</v>
      </c>
      <c r="C1434" s="11" t="s">
        <v>3274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4440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9" t="s">
        <v>26</v>
      </c>
      <c r="AA1434" s="12" t="s">
        <v>31</v>
      </c>
    </row>
    <row r="1435" spans="1:27" x14ac:dyDescent="0.25">
      <c r="A1435" s="10">
        <v>45680</v>
      </c>
      <c r="B1435" s="11" t="s">
        <v>3275</v>
      </c>
      <c r="C1435" s="11" t="s">
        <v>3276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9" t="s">
        <v>26</v>
      </c>
      <c r="AA1435" s="12" t="s">
        <v>31</v>
      </c>
    </row>
    <row r="1436" spans="1:27" x14ac:dyDescent="0.25">
      <c r="A1436" s="10">
        <v>45680</v>
      </c>
      <c r="B1436" s="11" t="s">
        <v>1242</v>
      </c>
      <c r="C1436" s="11" t="s">
        <v>3277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9" t="s">
        <v>26</v>
      </c>
      <c r="AA1436" s="12" t="s">
        <v>31</v>
      </c>
    </row>
    <row r="1437" spans="1:27" x14ac:dyDescent="0.25">
      <c r="A1437" s="10">
        <v>45680</v>
      </c>
      <c r="B1437" s="11" t="s">
        <v>742</v>
      </c>
      <c r="C1437" s="11" t="s">
        <v>3278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4440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9" t="s">
        <v>26</v>
      </c>
      <c r="AA1437" s="12" t="s">
        <v>31</v>
      </c>
    </row>
    <row r="1438" spans="1:27" x14ac:dyDescent="0.25">
      <c r="A1438" s="10">
        <v>45680</v>
      </c>
      <c r="B1438" s="11" t="s">
        <v>3279</v>
      </c>
      <c r="C1438" s="11" t="s">
        <v>3280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4441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9" t="s">
        <v>41</v>
      </c>
      <c r="AA1438" s="12" t="s">
        <v>747</v>
      </c>
    </row>
    <row r="1439" spans="1:27" x14ac:dyDescent="0.25">
      <c r="A1439" s="10">
        <v>45680</v>
      </c>
      <c r="B1439" s="11" t="s">
        <v>3281</v>
      </c>
      <c r="C1439" s="11" t="s">
        <v>3282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4440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9" t="s">
        <v>26</v>
      </c>
      <c r="AA1439" s="12" t="s">
        <v>31</v>
      </c>
    </row>
    <row r="1440" spans="1:27" x14ac:dyDescent="0.25">
      <c r="A1440" s="10">
        <v>45680</v>
      </c>
      <c r="B1440" s="11" t="s">
        <v>3283</v>
      </c>
      <c r="C1440" s="11" t="s">
        <v>3284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4466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9" t="s">
        <v>26</v>
      </c>
      <c r="AA1440" s="12" t="s">
        <v>31</v>
      </c>
    </row>
    <row r="1441" spans="1:27" x14ac:dyDescent="0.25">
      <c r="A1441" s="10">
        <v>45680</v>
      </c>
      <c r="B1441" s="11" t="s">
        <v>3285</v>
      </c>
      <c r="C1441" s="11" t="s">
        <v>3286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9" t="s">
        <v>26</v>
      </c>
      <c r="AA1441" s="12" t="s">
        <v>31</v>
      </c>
    </row>
    <row r="1442" spans="1:27" x14ac:dyDescent="0.25">
      <c r="A1442" s="10">
        <v>45680</v>
      </c>
      <c r="B1442" s="11" t="s">
        <v>3287</v>
      </c>
      <c r="C1442" s="11" t="s">
        <v>3288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4440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9" t="s">
        <v>26</v>
      </c>
      <c r="AA1442" s="12" t="s">
        <v>31</v>
      </c>
    </row>
    <row r="1443" spans="1:27" x14ac:dyDescent="0.25">
      <c r="A1443" s="10">
        <v>45680</v>
      </c>
      <c r="B1443" s="11" t="s">
        <v>427</v>
      </c>
      <c r="C1443" s="11" t="s">
        <v>3289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9" t="s">
        <v>26</v>
      </c>
      <c r="AA1443" s="12" t="s">
        <v>31</v>
      </c>
    </row>
    <row r="1444" spans="1:27" x14ac:dyDescent="0.25">
      <c r="A1444" s="10">
        <v>45680</v>
      </c>
      <c r="B1444" s="11" t="s">
        <v>721</v>
      </c>
      <c r="C1444" s="11" t="s">
        <v>3290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9" t="s">
        <v>26</v>
      </c>
      <c r="AA1444" s="12" t="s">
        <v>31</v>
      </c>
    </row>
    <row r="1445" spans="1:27" x14ac:dyDescent="0.25">
      <c r="A1445" s="10">
        <v>45680</v>
      </c>
      <c r="B1445" s="11" t="s">
        <v>3291</v>
      </c>
      <c r="C1445" s="11" t="s">
        <v>3292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4465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9" t="s">
        <v>26</v>
      </c>
      <c r="AA1445" s="12" t="s">
        <v>31</v>
      </c>
    </row>
    <row r="1446" spans="1:27" x14ac:dyDescent="0.25">
      <c r="A1446" s="10">
        <v>45680</v>
      </c>
      <c r="B1446" s="11" t="s">
        <v>3293</v>
      </c>
      <c r="C1446" s="11" t="s">
        <v>3294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4439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9" t="s">
        <v>565</v>
      </c>
      <c r="AA1446" s="12" t="s">
        <v>78</v>
      </c>
    </row>
    <row r="1447" spans="1:27" x14ac:dyDescent="0.25">
      <c r="A1447" s="10">
        <v>45680</v>
      </c>
      <c r="B1447" s="11" t="s">
        <v>345</v>
      </c>
      <c r="C1447" s="11" t="s">
        <v>3295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9" t="s">
        <v>26</v>
      </c>
      <c r="AA1447" s="12" t="s">
        <v>31</v>
      </c>
    </row>
    <row r="1448" spans="1:27" x14ac:dyDescent="0.25">
      <c r="A1448" s="10">
        <v>45680</v>
      </c>
      <c r="B1448" s="11" t="s">
        <v>3296</v>
      </c>
      <c r="C1448" s="11" t="s">
        <v>3297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9" t="s">
        <v>26</v>
      </c>
      <c r="AA1448" s="12" t="s">
        <v>31</v>
      </c>
    </row>
    <row r="1449" spans="1:27" x14ac:dyDescent="0.25">
      <c r="A1449" s="10">
        <v>45680</v>
      </c>
      <c r="B1449" s="11" t="s">
        <v>694</v>
      </c>
      <c r="C1449" s="11" t="s">
        <v>3298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4466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9" t="s">
        <v>26</v>
      </c>
      <c r="AA1449" s="12" t="s">
        <v>31</v>
      </c>
    </row>
    <row r="1450" spans="1:27" x14ac:dyDescent="0.25">
      <c r="A1450" s="10">
        <v>45680</v>
      </c>
      <c r="B1450" s="11" t="s">
        <v>743</v>
      </c>
      <c r="C1450" s="11" t="s">
        <v>3299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4466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9" t="s">
        <v>26</v>
      </c>
      <c r="AA1450" s="12" t="s">
        <v>31</v>
      </c>
    </row>
    <row r="1451" spans="1:27" x14ac:dyDescent="0.25">
      <c r="A1451" s="10">
        <v>45680</v>
      </c>
      <c r="B1451" s="11" t="s">
        <v>3300</v>
      </c>
      <c r="C1451" s="11" t="s">
        <v>3301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9" t="s">
        <v>26</v>
      </c>
      <c r="AA1451" s="12" t="s">
        <v>31</v>
      </c>
    </row>
    <row r="1452" spans="1:27" x14ac:dyDescent="0.25">
      <c r="A1452" s="10">
        <v>45680</v>
      </c>
      <c r="B1452" s="11" t="s">
        <v>260</v>
      </c>
      <c r="C1452" s="11" t="s">
        <v>3302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4465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9" t="s">
        <v>26</v>
      </c>
      <c r="AA1452" s="12" t="s">
        <v>31</v>
      </c>
    </row>
    <row r="1453" spans="1:27" x14ac:dyDescent="0.25">
      <c r="A1453" s="10">
        <v>45680</v>
      </c>
      <c r="B1453" s="11" t="s">
        <v>2909</v>
      </c>
      <c r="C1453" s="11" t="s">
        <v>3303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4440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9" t="s">
        <v>26</v>
      </c>
      <c r="AA1453" s="12" t="s">
        <v>31</v>
      </c>
    </row>
    <row r="1454" spans="1:27" x14ac:dyDescent="0.25">
      <c r="A1454" s="10">
        <v>45680</v>
      </c>
      <c r="B1454" s="11" t="s">
        <v>3304</v>
      </c>
      <c r="C1454" s="11" t="s">
        <v>3305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9" t="s">
        <v>26</v>
      </c>
      <c r="AA1454" s="12" t="s">
        <v>31</v>
      </c>
    </row>
    <row r="1455" spans="1:27" x14ac:dyDescent="0.25">
      <c r="A1455" s="10">
        <v>45680</v>
      </c>
      <c r="B1455" s="11" t="s">
        <v>3306</v>
      </c>
      <c r="C1455" s="11" t="s">
        <v>3307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9" t="s">
        <v>26</v>
      </c>
      <c r="AA1455" s="12" t="s">
        <v>31</v>
      </c>
    </row>
    <row r="1456" spans="1:27" x14ac:dyDescent="0.25">
      <c r="A1456" s="10">
        <v>45680</v>
      </c>
      <c r="B1456" s="11" t="s">
        <v>3308</v>
      </c>
      <c r="C1456" s="11" t="s">
        <v>3309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9" t="s">
        <v>26</v>
      </c>
      <c r="AA1456" s="12" t="s">
        <v>31</v>
      </c>
    </row>
    <row r="1457" spans="1:27" x14ac:dyDescent="0.25">
      <c r="A1457" s="10">
        <v>45680</v>
      </c>
      <c r="B1457" s="11" t="s">
        <v>3310</v>
      </c>
      <c r="C1457" s="11" t="s">
        <v>3311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9" t="s">
        <v>26</v>
      </c>
      <c r="AA1457" s="12" t="s">
        <v>31</v>
      </c>
    </row>
    <row r="1458" spans="1:27" x14ac:dyDescent="0.25">
      <c r="A1458" s="10">
        <v>45680</v>
      </c>
      <c r="B1458" s="11" t="s">
        <v>695</v>
      </c>
      <c r="C1458" s="11" t="s">
        <v>3312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9" t="s">
        <v>26</v>
      </c>
      <c r="AA1458" s="12" t="s">
        <v>31</v>
      </c>
    </row>
    <row r="1459" spans="1:27" x14ac:dyDescent="0.25">
      <c r="A1459" s="10">
        <v>45680</v>
      </c>
      <c r="B1459" s="11" t="s">
        <v>3313</v>
      </c>
      <c r="C1459" s="11" t="s">
        <v>3314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9" t="s">
        <v>26</v>
      </c>
      <c r="AA1459" s="12" t="s">
        <v>31</v>
      </c>
    </row>
    <row r="1460" spans="1:27" x14ac:dyDescent="0.25">
      <c r="A1460" s="10">
        <v>45680</v>
      </c>
      <c r="B1460" s="11" t="s">
        <v>3005</v>
      </c>
      <c r="C1460" s="11" t="s">
        <v>3315</v>
      </c>
      <c r="D1460" s="11" t="s">
        <v>26</v>
      </c>
      <c r="E1460" s="11" t="s">
        <v>1217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9" t="s">
        <v>26</v>
      </c>
      <c r="AA1460" s="12" t="s">
        <v>31</v>
      </c>
    </row>
    <row r="1461" spans="1:27" x14ac:dyDescent="0.25">
      <c r="A1461" s="10">
        <v>45680</v>
      </c>
      <c r="B1461" s="11" t="s">
        <v>3316</v>
      </c>
      <c r="C1461" s="11" t="s">
        <v>3317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9" t="s">
        <v>26</v>
      </c>
      <c r="AA1461" s="12" t="s">
        <v>31</v>
      </c>
    </row>
    <row r="1462" spans="1:27" x14ac:dyDescent="0.25">
      <c r="A1462" s="10">
        <v>45680</v>
      </c>
      <c r="B1462" s="11" t="s">
        <v>682</v>
      </c>
      <c r="C1462" s="11" t="s">
        <v>3318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4441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9" t="s">
        <v>41</v>
      </c>
      <c r="AA1462" s="12" t="s">
        <v>747</v>
      </c>
    </row>
    <row r="1463" spans="1:27" x14ac:dyDescent="0.25">
      <c r="A1463" s="10">
        <v>45680</v>
      </c>
      <c r="B1463" s="11" t="s">
        <v>425</v>
      </c>
      <c r="C1463" s="11" t="s">
        <v>3319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4466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9" t="s">
        <v>26</v>
      </c>
      <c r="AA1463" s="12" t="s">
        <v>31</v>
      </c>
    </row>
    <row r="1464" spans="1:27" x14ac:dyDescent="0.25">
      <c r="A1464" s="10">
        <v>45680</v>
      </c>
      <c r="B1464" s="11" t="s">
        <v>3320</v>
      </c>
      <c r="C1464" s="11" t="s">
        <v>3321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4466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9" t="s">
        <v>26</v>
      </c>
      <c r="AA1464" s="12" t="s">
        <v>31</v>
      </c>
    </row>
    <row r="1465" spans="1:27" x14ac:dyDescent="0.25">
      <c r="A1465" s="10">
        <v>45680</v>
      </c>
      <c r="B1465" s="11" t="s">
        <v>253</v>
      </c>
      <c r="C1465" s="11" t="s">
        <v>3322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4463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9" t="s">
        <v>26</v>
      </c>
      <c r="AA1465" s="12" t="s">
        <v>31</v>
      </c>
    </row>
    <row r="1466" spans="1:27" x14ac:dyDescent="0.25">
      <c r="A1466" s="10">
        <v>45680</v>
      </c>
      <c r="B1466" s="11" t="s">
        <v>3323</v>
      </c>
      <c r="C1466" s="11" t="s">
        <v>3324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4463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9" t="s">
        <v>26</v>
      </c>
      <c r="AA1466" s="12" t="s">
        <v>31</v>
      </c>
    </row>
    <row r="1467" spans="1:27" x14ac:dyDescent="0.25">
      <c r="A1467" s="10">
        <v>45680</v>
      </c>
      <c r="B1467" s="11" t="s">
        <v>195</v>
      </c>
      <c r="C1467" s="11" t="s">
        <v>3325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4440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9" t="s">
        <v>26</v>
      </c>
      <c r="AA1467" s="12" t="s">
        <v>31</v>
      </c>
    </row>
    <row r="1468" spans="1:27" x14ac:dyDescent="0.25">
      <c r="A1468" s="10">
        <v>45680</v>
      </c>
      <c r="B1468" s="11" t="s">
        <v>3326</v>
      </c>
      <c r="C1468" s="11" t="s">
        <v>3327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4440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9" t="s">
        <v>26</v>
      </c>
      <c r="AA1468" s="12" t="s">
        <v>31</v>
      </c>
    </row>
    <row r="1469" spans="1:27" x14ac:dyDescent="0.25">
      <c r="A1469" s="10">
        <v>45680</v>
      </c>
      <c r="B1469" s="11" t="s">
        <v>3328</v>
      </c>
      <c r="C1469" s="11" t="s">
        <v>3329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9" t="s">
        <v>26</v>
      </c>
      <c r="AA1469" s="12" t="s">
        <v>31</v>
      </c>
    </row>
    <row r="1470" spans="1:27" x14ac:dyDescent="0.25">
      <c r="A1470" s="10">
        <v>45680</v>
      </c>
      <c r="B1470" s="11" t="s">
        <v>3330</v>
      </c>
      <c r="C1470" s="11" t="s">
        <v>3331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4440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9" t="s">
        <v>26</v>
      </c>
      <c r="AA1470" s="12" t="s">
        <v>31</v>
      </c>
    </row>
    <row r="1471" spans="1:27" x14ac:dyDescent="0.25">
      <c r="A1471" s="10">
        <v>45680</v>
      </c>
      <c r="B1471" s="11" t="s">
        <v>3332</v>
      </c>
      <c r="C1471" s="11" t="s">
        <v>3333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9" t="s">
        <v>26</v>
      </c>
      <c r="AA1471" s="12" t="s">
        <v>31</v>
      </c>
    </row>
    <row r="1472" spans="1:27" x14ac:dyDescent="0.25">
      <c r="A1472" s="10">
        <v>45680</v>
      </c>
      <c r="B1472" s="11" t="s">
        <v>3334</v>
      </c>
      <c r="C1472" s="11" t="s">
        <v>3335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4466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9" t="s">
        <v>26</v>
      </c>
      <c r="AA1472" s="12" t="s">
        <v>31</v>
      </c>
    </row>
    <row r="1473" spans="1:27" x14ac:dyDescent="0.25">
      <c r="A1473" s="10">
        <v>45680</v>
      </c>
      <c r="B1473" s="11" t="s">
        <v>3336</v>
      </c>
      <c r="C1473" s="11" t="s">
        <v>3337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4466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9" t="s">
        <v>26</v>
      </c>
      <c r="AA1473" s="12" t="s">
        <v>31</v>
      </c>
    </row>
    <row r="1474" spans="1:27" x14ac:dyDescent="0.25">
      <c r="A1474" s="10">
        <v>45680</v>
      </c>
      <c r="B1474" s="11" t="s">
        <v>3338</v>
      </c>
      <c r="C1474" s="11" t="s">
        <v>3339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9" t="s">
        <v>26</v>
      </c>
      <c r="AA1474" s="12" t="s">
        <v>31</v>
      </c>
    </row>
    <row r="1475" spans="1:27" x14ac:dyDescent="0.25">
      <c r="A1475" s="10">
        <v>45680</v>
      </c>
      <c r="B1475" s="11" t="s">
        <v>3340</v>
      </c>
      <c r="C1475" s="11" t="s">
        <v>3341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9" t="s">
        <v>26</v>
      </c>
      <c r="AA1475" s="12" t="s">
        <v>31</v>
      </c>
    </row>
    <row r="1476" spans="1:27" x14ac:dyDescent="0.25">
      <c r="A1476" s="10">
        <v>45680</v>
      </c>
      <c r="B1476" s="11" t="s">
        <v>3342</v>
      </c>
      <c r="C1476" s="11" t="s">
        <v>3343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9" t="s">
        <v>26</v>
      </c>
      <c r="AA1476" s="12" t="s">
        <v>31</v>
      </c>
    </row>
    <row r="1477" spans="1:27" x14ac:dyDescent="0.25">
      <c r="A1477" s="10">
        <v>45680</v>
      </c>
      <c r="B1477" s="11" t="s">
        <v>293</v>
      </c>
      <c r="C1477" s="11" t="s">
        <v>3344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9" t="s">
        <v>26</v>
      </c>
      <c r="AA1477" s="12" t="s">
        <v>31</v>
      </c>
    </row>
    <row r="1478" spans="1:27" x14ac:dyDescent="0.25">
      <c r="A1478" s="10">
        <v>45680</v>
      </c>
      <c r="B1478" s="11" t="s">
        <v>3345</v>
      </c>
      <c r="C1478" s="11" t="s">
        <v>3346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4439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9" t="s">
        <v>565</v>
      </c>
      <c r="AA1478" s="12" t="s">
        <v>78</v>
      </c>
    </row>
    <row r="1479" spans="1:27" x14ac:dyDescent="0.25">
      <c r="A1479" s="10">
        <v>45680</v>
      </c>
      <c r="B1479" s="11" t="s">
        <v>3347</v>
      </c>
      <c r="C1479" s="11" t="s">
        <v>3348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4465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9" t="s">
        <v>26</v>
      </c>
      <c r="AA1479" s="12" t="s">
        <v>31</v>
      </c>
    </row>
    <row r="1480" spans="1:27" x14ac:dyDescent="0.25">
      <c r="A1480" s="10">
        <v>45680</v>
      </c>
      <c r="B1480" s="11" t="s">
        <v>3349</v>
      </c>
      <c r="C1480" s="11" t="s">
        <v>3350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9" t="s">
        <v>26</v>
      </c>
      <c r="AA1480" s="12" t="s">
        <v>31</v>
      </c>
    </row>
    <row r="1481" spans="1:27" x14ac:dyDescent="0.25">
      <c r="A1481" s="10">
        <v>45680</v>
      </c>
      <c r="B1481" s="11" t="s">
        <v>3351</v>
      </c>
      <c r="C1481" s="11" t="s">
        <v>3352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9" t="s">
        <v>26</v>
      </c>
      <c r="AA1481" s="12" t="s">
        <v>31</v>
      </c>
    </row>
    <row r="1482" spans="1:27" x14ac:dyDescent="0.25">
      <c r="A1482" s="10">
        <v>45680</v>
      </c>
      <c r="B1482" s="11" t="s">
        <v>3353</v>
      </c>
      <c r="C1482" s="11" t="s">
        <v>3354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9" t="s">
        <v>26</v>
      </c>
      <c r="AA1482" s="12" t="s">
        <v>31</v>
      </c>
    </row>
    <row r="1483" spans="1:27" x14ac:dyDescent="0.25">
      <c r="A1483" s="10">
        <v>45680</v>
      </c>
      <c r="B1483" s="11" t="s">
        <v>1852</v>
      </c>
      <c r="C1483" s="11" t="s">
        <v>3355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4466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9" t="s">
        <v>26</v>
      </c>
      <c r="AA1483" s="12" t="s">
        <v>31</v>
      </c>
    </row>
    <row r="1484" spans="1:27" x14ac:dyDescent="0.25">
      <c r="A1484" s="10">
        <v>45680</v>
      </c>
      <c r="B1484" s="11" t="s">
        <v>3356</v>
      </c>
      <c r="C1484" s="11" t="s">
        <v>3357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9" t="s">
        <v>26</v>
      </c>
      <c r="AA1484" s="12" t="s">
        <v>31</v>
      </c>
    </row>
    <row r="1485" spans="1:27" x14ac:dyDescent="0.25">
      <c r="A1485" s="10">
        <v>45680</v>
      </c>
      <c r="B1485" s="11" t="s">
        <v>3358</v>
      </c>
      <c r="C1485" s="11" t="s">
        <v>3359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9" t="s">
        <v>26</v>
      </c>
      <c r="AA1485" s="12" t="s">
        <v>31</v>
      </c>
    </row>
    <row r="1486" spans="1:27" x14ac:dyDescent="0.25">
      <c r="A1486" s="10">
        <v>45680</v>
      </c>
      <c r="B1486" s="11" t="s">
        <v>3360</v>
      </c>
      <c r="C1486" s="11" t="s">
        <v>3361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9" t="s">
        <v>26</v>
      </c>
      <c r="AA1486" s="12" t="s">
        <v>31</v>
      </c>
    </row>
    <row r="1487" spans="1:27" x14ac:dyDescent="0.25">
      <c r="A1487" s="10">
        <v>45680</v>
      </c>
      <c r="B1487" s="11" t="s">
        <v>3362</v>
      </c>
      <c r="C1487" s="11" t="s">
        <v>3363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9" t="s">
        <v>26</v>
      </c>
      <c r="AA1487" s="12" t="s">
        <v>31</v>
      </c>
    </row>
    <row r="1488" spans="1:27" x14ac:dyDescent="0.25">
      <c r="A1488" s="10">
        <v>45680</v>
      </c>
      <c r="B1488" s="11" t="s">
        <v>1800</v>
      </c>
      <c r="C1488" s="11" t="s">
        <v>3364</v>
      </c>
      <c r="D1488" s="11" t="s">
        <v>26</v>
      </c>
      <c r="E1488" s="11" t="s">
        <v>3365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9" t="s">
        <v>26</v>
      </c>
      <c r="AA1488" s="12" t="s">
        <v>31</v>
      </c>
    </row>
    <row r="1489" spans="1:27" x14ac:dyDescent="0.25">
      <c r="A1489" s="10">
        <v>45680</v>
      </c>
      <c r="B1489" s="11" t="s">
        <v>3366</v>
      </c>
      <c r="C1489" s="11" t="s">
        <v>3367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1926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9" t="s">
        <v>26</v>
      </c>
      <c r="AA1489" s="12" t="s">
        <v>31</v>
      </c>
    </row>
    <row r="1490" spans="1:27" x14ac:dyDescent="0.25">
      <c r="A1490" s="10">
        <v>45680</v>
      </c>
      <c r="B1490" s="11" t="s">
        <v>3368</v>
      </c>
      <c r="C1490" s="11" t="s">
        <v>3369</v>
      </c>
      <c r="D1490" s="11" t="s">
        <v>26</v>
      </c>
      <c r="E1490" s="11" t="s">
        <v>3370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9" t="s">
        <v>26</v>
      </c>
      <c r="AA1490" s="12" t="s">
        <v>31</v>
      </c>
    </row>
    <row r="1491" spans="1:27" x14ac:dyDescent="0.25">
      <c r="A1491" s="10">
        <v>45680</v>
      </c>
      <c r="B1491" s="11" t="s">
        <v>3371</v>
      </c>
      <c r="C1491" s="11" t="s">
        <v>3372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4440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9" t="s">
        <v>26</v>
      </c>
      <c r="AA1491" s="12" t="s">
        <v>31</v>
      </c>
    </row>
    <row r="1492" spans="1:27" x14ac:dyDescent="0.25">
      <c r="A1492" s="10">
        <v>45680</v>
      </c>
      <c r="B1492" s="11" t="s">
        <v>1748</v>
      </c>
      <c r="C1492" s="11" t="s">
        <v>3373</v>
      </c>
      <c r="D1492" s="11" t="s">
        <v>26</v>
      </c>
      <c r="E1492" s="11" t="s">
        <v>2126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9" t="s">
        <v>26</v>
      </c>
      <c r="AA1492" s="12" t="s">
        <v>31</v>
      </c>
    </row>
    <row r="1493" spans="1:27" x14ac:dyDescent="0.25">
      <c r="A1493" s="10">
        <v>45680</v>
      </c>
      <c r="B1493" s="11" t="s">
        <v>3374</v>
      </c>
      <c r="C1493" s="11" t="s">
        <v>3375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9" t="s">
        <v>26</v>
      </c>
      <c r="AA1493" s="12" t="s">
        <v>31</v>
      </c>
    </row>
    <row r="1494" spans="1:27" x14ac:dyDescent="0.25">
      <c r="A1494" s="10">
        <v>45680</v>
      </c>
      <c r="B1494" s="11" t="s">
        <v>697</v>
      </c>
      <c r="C1494" s="11" t="s">
        <v>3376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4440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9" t="s">
        <v>26</v>
      </c>
      <c r="AA1494" s="12" t="s">
        <v>31</v>
      </c>
    </row>
    <row r="1495" spans="1:27" x14ac:dyDescent="0.25">
      <c r="A1495" s="10">
        <v>45680</v>
      </c>
      <c r="B1495" s="11" t="s">
        <v>3036</v>
      </c>
      <c r="C1495" s="11" t="s">
        <v>3377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4466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9" t="s">
        <v>26</v>
      </c>
      <c r="AA1495" s="12" t="s">
        <v>31</v>
      </c>
    </row>
    <row r="1496" spans="1:27" x14ac:dyDescent="0.25">
      <c r="A1496" s="10">
        <v>45680</v>
      </c>
      <c r="B1496" s="11" t="s">
        <v>3378</v>
      </c>
      <c r="C1496" s="11" t="s">
        <v>3379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9" t="s">
        <v>26</v>
      </c>
      <c r="AA1496" s="12" t="s">
        <v>31</v>
      </c>
    </row>
    <row r="1497" spans="1:27" x14ac:dyDescent="0.25">
      <c r="A1497" s="10">
        <v>45680</v>
      </c>
      <c r="B1497" s="11" t="s">
        <v>380</v>
      </c>
      <c r="C1497" s="11" t="s">
        <v>3380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4465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9" t="s">
        <v>26</v>
      </c>
      <c r="AA1497" s="12" t="s">
        <v>31</v>
      </c>
    </row>
    <row r="1498" spans="1:27" x14ac:dyDescent="0.25">
      <c r="A1498" s="10">
        <v>45680</v>
      </c>
      <c r="B1498" s="11" t="s">
        <v>1068</v>
      </c>
      <c r="C1498" s="11" t="s">
        <v>3381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9" t="s">
        <v>26</v>
      </c>
      <c r="AA1498" s="12" t="s">
        <v>31</v>
      </c>
    </row>
    <row r="1499" spans="1:27" x14ac:dyDescent="0.25">
      <c r="A1499" s="10">
        <v>45681</v>
      </c>
      <c r="B1499" s="11" t="s">
        <v>3382</v>
      </c>
      <c r="C1499" s="11" t="s">
        <v>3383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9" t="s">
        <v>26</v>
      </c>
      <c r="AA1499" s="12" t="s">
        <v>31</v>
      </c>
    </row>
    <row r="1500" spans="1:27" x14ac:dyDescent="0.25">
      <c r="A1500" s="10">
        <v>45681</v>
      </c>
      <c r="B1500" s="11" t="s">
        <v>384</v>
      </c>
      <c r="C1500" s="11" t="s">
        <v>3384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4440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9" t="s">
        <v>26</v>
      </c>
      <c r="AA1500" s="12" t="s">
        <v>31</v>
      </c>
    </row>
    <row r="1501" spans="1:27" x14ac:dyDescent="0.25">
      <c r="A1501" s="10">
        <v>45681</v>
      </c>
      <c r="B1501" s="11" t="s">
        <v>3385</v>
      </c>
      <c r="C1501" s="11" t="s">
        <v>3386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9" t="s">
        <v>26</v>
      </c>
      <c r="AA1501" s="12" t="s">
        <v>31</v>
      </c>
    </row>
    <row r="1502" spans="1:27" x14ac:dyDescent="0.25">
      <c r="A1502" s="10">
        <v>45681</v>
      </c>
      <c r="B1502" s="11" t="s">
        <v>3387</v>
      </c>
      <c r="C1502" s="11" t="s">
        <v>3388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9" t="s">
        <v>26</v>
      </c>
      <c r="AA1502" s="12" t="s">
        <v>31</v>
      </c>
    </row>
    <row r="1503" spans="1:27" x14ac:dyDescent="0.25">
      <c r="A1503" s="10">
        <v>45681</v>
      </c>
      <c r="B1503" s="11" t="s">
        <v>3389</v>
      </c>
      <c r="C1503" s="11" t="s">
        <v>3390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4463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9" t="s">
        <v>26</v>
      </c>
      <c r="AA1503" s="12" t="s">
        <v>31</v>
      </c>
    </row>
    <row r="1504" spans="1:27" x14ac:dyDescent="0.25">
      <c r="A1504" s="10">
        <v>45681</v>
      </c>
      <c r="B1504" s="11" t="s">
        <v>613</v>
      </c>
      <c r="C1504" s="11" t="s">
        <v>3391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9" t="s">
        <v>26</v>
      </c>
      <c r="AA1504" s="12" t="s">
        <v>31</v>
      </c>
    </row>
    <row r="1505" spans="1:27" x14ac:dyDescent="0.25">
      <c r="A1505" s="10">
        <v>45681</v>
      </c>
      <c r="B1505" s="11" t="s">
        <v>3366</v>
      </c>
      <c r="C1505" s="11" t="s">
        <v>3392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4465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9" t="s">
        <v>26</v>
      </c>
      <c r="AA1505" s="12" t="s">
        <v>31</v>
      </c>
    </row>
    <row r="1506" spans="1:27" x14ac:dyDescent="0.25">
      <c r="A1506" s="10">
        <v>45681</v>
      </c>
      <c r="B1506" s="11" t="s">
        <v>667</v>
      </c>
      <c r="C1506" s="11" t="s">
        <v>3393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9" t="s">
        <v>26</v>
      </c>
      <c r="AA1506" s="12" t="s">
        <v>31</v>
      </c>
    </row>
    <row r="1507" spans="1:27" x14ac:dyDescent="0.25">
      <c r="A1507" s="10">
        <v>45681</v>
      </c>
      <c r="B1507" s="11" t="s">
        <v>3394</v>
      </c>
      <c r="C1507" s="11" t="s">
        <v>3395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4440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9" t="s">
        <v>26</v>
      </c>
      <c r="AA1507" s="12" t="s">
        <v>31</v>
      </c>
    </row>
    <row r="1508" spans="1:27" x14ac:dyDescent="0.25">
      <c r="A1508" s="10">
        <v>45681</v>
      </c>
      <c r="B1508" s="11" t="s">
        <v>3396</v>
      </c>
      <c r="C1508" s="11" t="s">
        <v>3397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9" t="s">
        <v>26</v>
      </c>
      <c r="AA1508" s="12" t="s">
        <v>31</v>
      </c>
    </row>
    <row r="1509" spans="1:27" x14ac:dyDescent="0.25">
      <c r="A1509" s="10">
        <v>45681</v>
      </c>
      <c r="B1509" s="11" t="s">
        <v>3398</v>
      </c>
      <c r="C1509" s="11" t="s">
        <v>3399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1926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9" t="s">
        <v>26</v>
      </c>
      <c r="AA1509" s="12" t="s">
        <v>31</v>
      </c>
    </row>
    <row r="1510" spans="1:27" x14ac:dyDescent="0.25">
      <c r="A1510" s="10">
        <v>45681</v>
      </c>
      <c r="B1510" s="11" t="s">
        <v>3400</v>
      </c>
      <c r="C1510" s="11" t="s">
        <v>3401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9" t="s">
        <v>26</v>
      </c>
      <c r="AA1510" s="12" t="s">
        <v>31</v>
      </c>
    </row>
    <row r="1511" spans="1:27" x14ac:dyDescent="0.25">
      <c r="A1511" s="10">
        <v>45681</v>
      </c>
      <c r="B1511" s="11" t="s">
        <v>3402</v>
      </c>
      <c r="C1511" s="11" t="s">
        <v>3403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9" t="s">
        <v>26</v>
      </c>
      <c r="AA1511" s="12" t="s">
        <v>31</v>
      </c>
    </row>
    <row r="1512" spans="1:27" x14ac:dyDescent="0.25">
      <c r="A1512" s="10">
        <v>45681</v>
      </c>
      <c r="B1512" s="11" t="s">
        <v>296</v>
      </c>
      <c r="C1512" s="11" t="s">
        <v>3404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4466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9" t="s">
        <v>26</v>
      </c>
      <c r="AA1512" s="12" t="s">
        <v>31</v>
      </c>
    </row>
    <row r="1513" spans="1:27" x14ac:dyDescent="0.25">
      <c r="A1513" s="10">
        <v>45681</v>
      </c>
      <c r="B1513" s="11" t="s">
        <v>3405</v>
      </c>
      <c r="C1513" s="11" t="s">
        <v>3406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9" t="s">
        <v>26</v>
      </c>
      <c r="AA1513" s="12" t="s">
        <v>31</v>
      </c>
    </row>
    <row r="1514" spans="1:27" x14ac:dyDescent="0.25">
      <c r="A1514" s="10">
        <v>45681</v>
      </c>
      <c r="B1514" s="11" t="s">
        <v>3407</v>
      </c>
      <c r="C1514" s="11" t="s">
        <v>3408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1926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9" t="s">
        <v>26</v>
      </c>
      <c r="AA1514" s="12" t="s">
        <v>31</v>
      </c>
    </row>
    <row r="1515" spans="1:27" x14ac:dyDescent="0.25">
      <c r="A1515" s="10">
        <v>45681</v>
      </c>
      <c r="B1515" s="11" t="s">
        <v>3409</v>
      </c>
      <c r="C1515" s="11" t="s">
        <v>3410</v>
      </c>
      <c r="D1515" s="11" t="s">
        <v>26</v>
      </c>
      <c r="E1515" s="11" t="s">
        <v>2126</v>
      </c>
      <c r="F1515" s="11" t="s">
        <v>26</v>
      </c>
      <c r="G1515" s="11" t="s">
        <v>26</v>
      </c>
      <c r="H1515" s="12" t="s">
        <v>4439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9" t="s">
        <v>140</v>
      </c>
      <c r="AA1515" s="12" t="s">
        <v>78</v>
      </c>
    </row>
    <row r="1516" spans="1:27" x14ac:dyDescent="0.25">
      <c r="A1516" s="10">
        <v>45681</v>
      </c>
      <c r="B1516" s="11" t="s">
        <v>3411</v>
      </c>
      <c r="C1516" s="11" t="s">
        <v>3412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9" t="s">
        <v>26</v>
      </c>
      <c r="AA1516" s="12" t="s">
        <v>31</v>
      </c>
    </row>
    <row r="1517" spans="1:27" x14ac:dyDescent="0.25">
      <c r="A1517" s="10">
        <v>45681</v>
      </c>
      <c r="B1517" s="11" t="s">
        <v>3413</v>
      </c>
      <c r="C1517" s="11" t="s">
        <v>3414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4439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9" t="s">
        <v>41</v>
      </c>
      <c r="AA1517" s="12" t="s">
        <v>78</v>
      </c>
    </row>
    <row r="1518" spans="1:27" x14ac:dyDescent="0.25">
      <c r="A1518" s="10">
        <v>45681</v>
      </c>
      <c r="B1518" s="11" t="s">
        <v>3415</v>
      </c>
      <c r="C1518" s="11" t="s">
        <v>3416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4440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9" t="s">
        <v>26</v>
      </c>
      <c r="AA1518" s="12" t="s">
        <v>31</v>
      </c>
    </row>
    <row r="1519" spans="1:27" x14ac:dyDescent="0.25">
      <c r="A1519" s="10">
        <v>45681</v>
      </c>
      <c r="B1519" s="11" t="s">
        <v>3417</v>
      </c>
      <c r="C1519" s="11" t="s">
        <v>3418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4465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9" t="s">
        <v>26</v>
      </c>
      <c r="AA1519" s="12" t="s">
        <v>31</v>
      </c>
    </row>
    <row r="1520" spans="1:27" x14ac:dyDescent="0.25">
      <c r="A1520" s="10">
        <v>45681</v>
      </c>
      <c r="B1520" s="11" t="s">
        <v>3419</v>
      </c>
      <c r="C1520" s="11" t="s">
        <v>3420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4439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9" t="s">
        <v>140</v>
      </c>
      <c r="AA1520" s="12" t="s">
        <v>78</v>
      </c>
    </row>
    <row r="1521" spans="1:27" x14ac:dyDescent="0.25">
      <c r="A1521" s="10">
        <v>45681</v>
      </c>
      <c r="B1521" s="11" t="s">
        <v>3421</v>
      </c>
      <c r="C1521" s="11" t="s">
        <v>3422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4439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9" t="s">
        <v>140</v>
      </c>
      <c r="AA1521" s="12" t="s">
        <v>78</v>
      </c>
    </row>
    <row r="1522" spans="1:27" x14ac:dyDescent="0.25">
      <c r="A1522" s="10">
        <v>45681</v>
      </c>
      <c r="B1522" s="11" t="s">
        <v>3423</v>
      </c>
      <c r="C1522" s="11" t="s">
        <v>3424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4463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9" t="s">
        <v>26</v>
      </c>
      <c r="AA1522" s="12" t="s">
        <v>31</v>
      </c>
    </row>
    <row r="1523" spans="1:27" x14ac:dyDescent="0.25">
      <c r="A1523" s="10">
        <v>45681</v>
      </c>
      <c r="B1523" s="11" t="s">
        <v>3425</v>
      </c>
      <c r="C1523" s="11" t="s">
        <v>3426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4440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9" t="s">
        <v>26</v>
      </c>
      <c r="AA1523" s="12" t="s">
        <v>31</v>
      </c>
    </row>
    <row r="1524" spans="1:27" x14ac:dyDescent="0.25">
      <c r="A1524" s="10">
        <v>45681</v>
      </c>
      <c r="B1524" s="11" t="s">
        <v>3427</v>
      </c>
      <c r="C1524" s="11" t="s">
        <v>3428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4440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9" t="s">
        <v>26</v>
      </c>
      <c r="AA1524" s="12" t="s">
        <v>31</v>
      </c>
    </row>
    <row r="1525" spans="1:27" x14ac:dyDescent="0.25">
      <c r="A1525" s="10">
        <v>45681</v>
      </c>
      <c r="B1525" s="11" t="s">
        <v>3429</v>
      </c>
      <c r="C1525" s="11" t="s">
        <v>3430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4466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9" t="s">
        <v>26</v>
      </c>
      <c r="AA1525" s="12" t="s">
        <v>31</v>
      </c>
    </row>
    <row r="1526" spans="1:27" x14ac:dyDescent="0.25">
      <c r="A1526" s="10">
        <v>45681</v>
      </c>
      <c r="B1526" s="11" t="s">
        <v>3431</v>
      </c>
      <c r="C1526" s="11" t="s">
        <v>3432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9" t="s">
        <v>26</v>
      </c>
      <c r="AA1526" s="12" t="s">
        <v>31</v>
      </c>
    </row>
    <row r="1527" spans="1:27" x14ac:dyDescent="0.25">
      <c r="A1527" s="10">
        <v>45681</v>
      </c>
      <c r="B1527" s="11" t="s">
        <v>3340</v>
      </c>
      <c r="C1527" s="11" t="s">
        <v>3433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4463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9" t="s">
        <v>26</v>
      </c>
      <c r="AA1527" s="12" t="s">
        <v>31</v>
      </c>
    </row>
    <row r="1528" spans="1:27" x14ac:dyDescent="0.25">
      <c r="A1528" s="10">
        <v>45681</v>
      </c>
      <c r="B1528" s="11" t="s">
        <v>3434</v>
      </c>
      <c r="C1528" s="11" t="s">
        <v>3435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4439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9" t="s">
        <v>565</v>
      </c>
      <c r="AA1528" s="12" t="s">
        <v>78</v>
      </c>
    </row>
    <row r="1529" spans="1:27" x14ac:dyDescent="0.25">
      <c r="A1529" s="10">
        <v>45681</v>
      </c>
      <c r="B1529" s="11" t="s">
        <v>609</v>
      </c>
      <c r="C1529" s="11" t="s">
        <v>3436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4465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9" t="s">
        <v>26</v>
      </c>
      <c r="AA1529" s="12" t="s">
        <v>31</v>
      </c>
    </row>
    <row r="1530" spans="1:27" x14ac:dyDescent="0.25">
      <c r="A1530" s="10">
        <v>45681</v>
      </c>
      <c r="B1530" s="11" t="s">
        <v>3437</v>
      </c>
      <c r="C1530" s="11" t="s">
        <v>3438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4440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9" t="s">
        <v>26</v>
      </c>
      <c r="AA1530" s="12" t="s">
        <v>31</v>
      </c>
    </row>
    <row r="1531" spans="1:27" x14ac:dyDescent="0.25">
      <c r="A1531" s="10">
        <v>45681</v>
      </c>
      <c r="B1531" s="11" t="s">
        <v>3439</v>
      </c>
      <c r="C1531" s="11" t="s">
        <v>3440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4466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9" t="s">
        <v>26</v>
      </c>
      <c r="AA1531" s="12" t="s">
        <v>31</v>
      </c>
    </row>
    <row r="1532" spans="1:27" x14ac:dyDescent="0.25">
      <c r="A1532" s="10">
        <v>45681</v>
      </c>
      <c r="B1532" s="11" t="s">
        <v>3441</v>
      </c>
      <c r="C1532" s="11" t="s">
        <v>3442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4439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9" t="s">
        <v>70</v>
      </c>
      <c r="AA1532" s="12" t="s">
        <v>78</v>
      </c>
    </row>
    <row r="1533" spans="1:27" x14ac:dyDescent="0.25">
      <c r="A1533" s="10">
        <v>45681</v>
      </c>
      <c r="B1533" s="11" t="s">
        <v>3065</v>
      </c>
      <c r="C1533" s="11" t="s">
        <v>3443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9" t="s">
        <v>26</v>
      </c>
      <c r="AA1533" s="12" t="s">
        <v>31</v>
      </c>
    </row>
    <row r="1534" spans="1:27" x14ac:dyDescent="0.25">
      <c r="A1534" s="10">
        <v>45681</v>
      </c>
      <c r="B1534" s="11" t="s">
        <v>746</v>
      </c>
      <c r="C1534" s="11" t="s">
        <v>3444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1926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9" t="s">
        <v>26</v>
      </c>
      <c r="AA1534" s="12" t="s">
        <v>31</v>
      </c>
    </row>
    <row r="1535" spans="1:27" x14ac:dyDescent="0.25">
      <c r="A1535" s="10">
        <v>45681</v>
      </c>
      <c r="B1535" s="11" t="s">
        <v>3445</v>
      </c>
      <c r="C1535" s="11" t="s">
        <v>3446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9" t="s">
        <v>26</v>
      </c>
      <c r="AA1535" s="12" t="s">
        <v>31</v>
      </c>
    </row>
    <row r="1536" spans="1:27" x14ac:dyDescent="0.25">
      <c r="A1536" s="10">
        <v>45681</v>
      </c>
      <c r="B1536" s="11" t="s">
        <v>1913</v>
      </c>
      <c r="C1536" s="11" t="s">
        <v>3447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9" t="s">
        <v>26</v>
      </c>
      <c r="AA1536" s="12" t="s">
        <v>31</v>
      </c>
    </row>
    <row r="1537" spans="1:27" x14ac:dyDescent="0.25">
      <c r="A1537" s="10">
        <v>45681</v>
      </c>
      <c r="B1537" s="11" t="s">
        <v>3448</v>
      </c>
      <c r="C1537" s="11" t="s">
        <v>3449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9" t="s">
        <v>26</v>
      </c>
      <c r="AA1537" s="12" t="s">
        <v>31</v>
      </c>
    </row>
    <row r="1538" spans="1:27" x14ac:dyDescent="0.25">
      <c r="A1538" s="10">
        <v>45681</v>
      </c>
      <c r="B1538" s="11" t="s">
        <v>3450</v>
      </c>
      <c r="C1538" s="11" t="s">
        <v>3451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1926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9" t="s">
        <v>26</v>
      </c>
      <c r="AA1538" s="12" t="s">
        <v>31</v>
      </c>
    </row>
    <row r="1539" spans="1:27" x14ac:dyDescent="0.25">
      <c r="A1539" s="10">
        <v>45681</v>
      </c>
      <c r="B1539" s="11" t="s">
        <v>3452</v>
      </c>
      <c r="C1539" s="11" t="s">
        <v>3453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9" t="s">
        <v>26</v>
      </c>
      <c r="AA1539" s="12" t="s">
        <v>31</v>
      </c>
    </row>
    <row r="1540" spans="1:27" x14ac:dyDescent="0.25">
      <c r="A1540" s="10">
        <v>45681</v>
      </c>
      <c r="B1540" s="11" t="s">
        <v>3454</v>
      </c>
      <c r="C1540" s="11" t="s">
        <v>3455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4466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9" t="s">
        <v>26</v>
      </c>
      <c r="AA1540" s="12" t="s">
        <v>31</v>
      </c>
    </row>
    <row r="1541" spans="1:27" x14ac:dyDescent="0.25">
      <c r="A1541" s="10">
        <v>45681</v>
      </c>
      <c r="B1541" s="11" t="s">
        <v>1104</v>
      </c>
      <c r="C1541" s="11" t="s">
        <v>3456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4466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9" t="s">
        <v>26</v>
      </c>
      <c r="AA1541" s="12" t="s">
        <v>31</v>
      </c>
    </row>
    <row r="1542" spans="1:27" x14ac:dyDescent="0.25">
      <c r="A1542" s="10">
        <v>45681</v>
      </c>
      <c r="B1542" s="11" t="s">
        <v>3457</v>
      </c>
      <c r="C1542" s="11" t="s">
        <v>3458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4463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9" t="s">
        <v>26</v>
      </c>
      <c r="AA1542" s="12" t="s">
        <v>31</v>
      </c>
    </row>
    <row r="1543" spans="1:27" x14ac:dyDescent="0.25">
      <c r="A1543" s="10">
        <v>45681</v>
      </c>
      <c r="B1543" s="11" t="s">
        <v>330</v>
      </c>
      <c r="C1543" s="11" t="s">
        <v>3459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9" t="s">
        <v>26</v>
      </c>
      <c r="AA1543" s="12" t="s">
        <v>31</v>
      </c>
    </row>
    <row r="1544" spans="1:27" x14ac:dyDescent="0.25">
      <c r="A1544" s="10">
        <v>45681</v>
      </c>
      <c r="B1544" s="11" t="s">
        <v>636</v>
      </c>
      <c r="C1544" s="11" t="s">
        <v>3460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4440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9" t="s">
        <v>26</v>
      </c>
      <c r="AA1544" s="12" t="s">
        <v>31</v>
      </c>
    </row>
    <row r="1545" spans="1:27" x14ac:dyDescent="0.25">
      <c r="A1545" s="10">
        <v>45681</v>
      </c>
      <c r="B1545" s="11" t="s">
        <v>3461</v>
      </c>
      <c r="C1545" s="11" t="s">
        <v>3462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9" t="s">
        <v>26</v>
      </c>
      <c r="AA1545" s="12" t="s">
        <v>31</v>
      </c>
    </row>
    <row r="1546" spans="1:27" x14ac:dyDescent="0.25">
      <c r="A1546" s="10">
        <v>45681</v>
      </c>
      <c r="B1546" s="11" t="s">
        <v>3463</v>
      </c>
      <c r="C1546" s="11" t="s">
        <v>3464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9" t="s">
        <v>26</v>
      </c>
      <c r="AA1546" s="12" t="s">
        <v>31</v>
      </c>
    </row>
    <row r="1547" spans="1:27" x14ac:dyDescent="0.25">
      <c r="A1547" s="10">
        <v>45681</v>
      </c>
      <c r="B1547" s="11" t="s">
        <v>3465</v>
      </c>
      <c r="C1547" s="11" t="s">
        <v>3466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4439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9" t="s">
        <v>140</v>
      </c>
      <c r="AA1547" s="12" t="s">
        <v>78</v>
      </c>
    </row>
    <row r="1548" spans="1:27" x14ac:dyDescent="0.25">
      <c r="A1548" s="10">
        <v>45681</v>
      </c>
      <c r="B1548" s="11" t="s">
        <v>3467</v>
      </c>
      <c r="C1548" s="11" t="s">
        <v>3468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9" t="s">
        <v>26</v>
      </c>
      <c r="AA1548" s="12" t="s">
        <v>31</v>
      </c>
    </row>
    <row r="1549" spans="1:27" x14ac:dyDescent="0.25">
      <c r="A1549" s="10">
        <v>45681</v>
      </c>
      <c r="B1549" s="11" t="s">
        <v>3469</v>
      </c>
      <c r="C1549" s="11" t="s">
        <v>3470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4465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9" t="s">
        <v>26</v>
      </c>
      <c r="AA1549" s="12" t="s">
        <v>31</v>
      </c>
    </row>
    <row r="1550" spans="1:27" x14ac:dyDescent="0.25">
      <c r="A1550" s="10">
        <v>45681</v>
      </c>
      <c r="B1550" s="11" t="s">
        <v>3471</v>
      </c>
      <c r="C1550" s="11" t="s">
        <v>3472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4440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9" t="s">
        <v>26</v>
      </c>
      <c r="AA1550" s="12" t="s">
        <v>31</v>
      </c>
    </row>
    <row r="1551" spans="1:27" x14ac:dyDescent="0.25">
      <c r="A1551" s="10">
        <v>45681</v>
      </c>
      <c r="B1551" s="11" t="s">
        <v>740</v>
      </c>
      <c r="C1551" s="11" t="s">
        <v>3473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4440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9" t="s">
        <v>26</v>
      </c>
      <c r="AA1551" s="12" t="s">
        <v>31</v>
      </c>
    </row>
    <row r="1552" spans="1:27" x14ac:dyDescent="0.25">
      <c r="A1552" s="10">
        <v>45681</v>
      </c>
      <c r="B1552" s="11" t="s">
        <v>2898</v>
      </c>
      <c r="C1552" s="11" t="s">
        <v>3474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9" t="s">
        <v>26</v>
      </c>
      <c r="AA1552" s="12" t="s">
        <v>31</v>
      </c>
    </row>
    <row r="1553" spans="1:27" x14ac:dyDescent="0.25">
      <c r="A1553" s="10">
        <v>45681</v>
      </c>
      <c r="B1553" s="11" t="s">
        <v>3475</v>
      </c>
      <c r="C1553" s="11" t="s">
        <v>3476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9" t="s">
        <v>26</v>
      </c>
      <c r="AA1553" s="12" t="s">
        <v>31</v>
      </c>
    </row>
    <row r="1554" spans="1:27" x14ac:dyDescent="0.25">
      <c r="A1554" s="10">
        <v>45681</v>
      </c>
      <c r="B1554" s="11" t="s">
        <v>3477</v>
      </c>
      <c r="C1554" s="11" t="s">
        <v>3478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9" t="s">
        <v>26</v>
      </c>
      <c r="AA1554" s="12" t="s">
        <v>31</v>
      </c>
    </row>
    <row r="1555" spans="1:27" x14ac:dyDescent="0.25">
      <c r="A1555" s="10">
        <v>45681</v>
      </c>
      <c r="B1555" s="11" t="s">
        <v>3479</v>
      </c>
      <c r="C1555" s="11" t="s">
        <v>3480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4440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9" t="s">
        <v>26</v>
      </c>
      <c r="AA1555" s="12" t="s">
        <v>31</v>
      </c>
    </row>
    <row r="1556" spans="1:27" x14ac:dyDescent="0.25">
      <c r="A1556" s="10">
        <v>45681</v>
      </c>
      <c r="B1556" s="11" t="s">
        <v>3481</v>
      </c>
      <c r="C1556" s="11" t="s">
        <v>3482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4463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9" t="s">
        <v>26</v>
      </c>
      <c r="AA1556" s="12" t="s">
        <v>31</v>
      </c>
    </row>
    <row r="1557" spans="1:27" x14ac:dyDescent="0.25">
      <c r="A1557" s="10">
        <v>45681</v>
      </c>
      <c r="B1557" s="11" t="s">
        <v>3483</v>
      </c>
      <c r="C1557" s="11" t="s">
        <v>3484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4466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9" t="s">
        <v>26</v>
      </c>
      <c r="AA1557" s="12" t="s">
        <v>31</v>
      </c>
    </row>
    <row r="1558" spans="1:27" x14ac:dyDescent="0.25">
      <c r="A1558" s="10">
        <v>45681</v>
      </c>
      <c r="B1558" s="11" t="s">
        <v>3485</v>
      </c>
      <c r="C1558" s="11" t="s">
        <v>3486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4440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9" t="s">
        <v>26</v>
      </c>
      <c r="AA1558" s="12" t="s">
        <v>31</v>
      </c>
    </row>
    <row r="1559" spans="1:27" x14ac:dyDescent="0.25">
      <c r="A1559" s="10">
        <v>45681</v>
      </c>
      <c r="B1559" s="11" t="s">
        <v>3487</v>
      </c>
      <c r="C1559" s="11" t="s">
        <v>3488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4439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9" t="s">
        <v>565</v>
      </c>
      <c r="AA1559" s="12" t="s">
        <v>78</v>
      </c>
    </row>
    <row r="1560" spans="1:27" x14ac:dyDescent="0.25">
      <c r="A1560" s="10">
        <v>45681</v>
      </c>
      <c r="B1560" s="11" t="s">
        <v>3489</v>
      </c>
      <c r="C1560" s="11" t="s">
        <v>3490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4440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9" t="s">
        <v>26</v>
      </c>
      <c r="AA1560" s="12" t="s">
        <v>31</v>
      </c>
    </row>
    <row r="1561" spans="1:27" x14ac:dyDescent="0.25">
      <c r="A1561" s="10">
        <v>45681</v>
      </c>
      <c r="B1561" s="11" t="s">
        <v>3491</v>
      </c>
      <c r="C1561" s="11" t="s">
        <v>3492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9" t="s">
        <v>26</v>
      </c>
      <c r="AA1561" s="12" t="s">
        <v>31</v>
      </c>
    </row>
    <row r="1562" spans="1:27" x14ac:dyDescent="0.25">
      <c r="A1562" s="10">
        <v>45681</v>
      </c>
      <c r="B1562" s="11" t="s">
        <v>465</v>
      </c>
      <c r="C1562" s="11" t="s">
        <v>3493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4465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9" t="s">
        <v>26</v>
      </c>
      <c r="AA1562" s="12" t="s">
        <v>31</v>
      </c>
    </row>
    <row r="1563" spans="1:27" x14ac:dyDescent="0.25">
      <c r="A1563" s="10">
        <v>45681</v>
      </c>
      <c r="B1563" s="11" t="s">
        <v>3494</v>
      </c>
      <c r="C1563" s="11" t="s">
        <v>3495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1926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9" t="s">
        <v>26</v>
      </c>
      <c r="AA1563" s="12" t="s">
        <v>31</v>
      </c>
    </row>
    <row r="1564" spans="1:27" x14ac:dyDescent="0.25">
      <c r="A1564" s="10">
        <v>45681</v>
      </c>
      <c r="B1564" s="11" t="s">
        <v>402</v>
      </c>
      <c r="C1564" s="11" t="s">
        <v>3496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4465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9" t="s">
        <v>26</v>
      </c>
      <c r="AA1564" s="12" t="s">
        <v>31</v>
      </c>
    </row>
    <row r="1565" spans="1:27" x14ac:dyDescent="0.25">
      <c r="A1565" s="10">
        <v>45681</v>
      </c>
      <c r="B1565" s="11" t="s">
        <v>3497</v>
      </c>
      <c r="C1565" s="11" t="s">
        <v>3498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4439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9" t="s">
        <v>70</v>
      </c>
      <c r="AA1565" s="12" t="s">
        <v>78</v>
      </c>
    </row>
    <row r="1566" spans="1:27" x14ac:dyDescent="0.25">
      <c r="A1566" s="10">
        <v>45681</v>
      </c>
      <c r="B1566" s="11" t="s">
        <v>3499</v>
      </c>
      <c r="C1566" s="11" t="s">
        <v>3500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4439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9" t="s">
        <v>140</v>
      </c>
      <c r="AA1566" s="12" t="s">
        <v>78</v>
      </c>
    </row>
    <row r="1567" spans="1:27" x14ac:dyDescent="0.25">
      <c r="A1567" s="10">
        <v>45681</v>
      </c>
      <c r="B1567" s="11" t="s">
        <v>3501</v>
      </c>
      <c r="C1567" s="11" t="s">
        <v>3502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1926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9" t="s">
        <v>26</v>
      </c>
      <c r="AA1567" s="12" t="s">
        <v>31</v>
      </c>
    </row>
    <row r="1568" spans="1:27" x14ac:dyDescent="0.25">
      <c r="A1568" s="10">
        <v>45681</v>
      </c>
      <c r="B1568" s="11" t="s">
        <v>3503</v>
      </c>
      <c r="C1568" s="11" t="s">
        <v>3504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9" t="s">
        <v>26</v>
      </c>
      <c r="AA1568" s="12" t="s">
        <v>31</v>
      </c>
    </row>
    <row r="1569" spans="1:27" x14ac:dyDescent="0.25">
      <c r="A1569" s="10">
        <v>45681</v>
      </c>
      <c r="B1569" s="11" t="s">
        <v>3505</v>
      </c>
      <c r="C1569" s="11" t="s">
        <v>3506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9" t="s">
        <v>26</v>
      </c>
      <c r="AA1569" s="12" t="s">
        <v>31</v>
      </c>
    </row>
    <row r="1570" spans="1:27" x14ac:dyDescent="0.25">
      <c r="A1570" s="10">
        <v>45681</v>
      </c>
      <c r="B1570" s="11" t="s">
        <v>3507</v>
      </c>
      <c r="C1570" s="11" t="s">
        <v>3508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4465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9" t="s">
        <v>26</v>
      </c>
      <c r="AA1570" s="12" t="s">
        <v>31</v>
      </c>
    </row>
    <row r="1571" spans="1:27" x14ac:dyDescent="0.25">
      <c r="A1571" s="10">
        <v>45681</v>
      </c>
      <c r="B1571" s="11" t="s">
        <v>287</v>
      </c>
      <c r="C1571" s="11" t="s">
        <v>3509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4465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9" t="s">
        <v>26</v>
      </c>
      <c r="AA1571" s="12" t="s">
        <v>31</v>
      </c>
    </row>
    <row r="1572" spans="1:27" x14ac:dyDescent="0.25">
      <c r="A1572" s="10">
        <v>45681</v>
      </c>
      <c r="B1572" s="11" t="s">
        <v>3510</v>
      </c>
      <c r="C1572" s="11" t="s">
        <v>3511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4440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9" t="s">
        <v>26</v>
      </c>
      <c r="AA1572" s="12" t="s">
        <v>31</v>
      </c>
    </row>
    <row r="1573" spans="1:27" x14ac:dyDescent="0.25">
      <c r="A1573" s="10">
        <v>45681</v>
      </c>
      <c r="B1573" s="11" t="s">
        <v>749</v>
      </c>
      <c r="C1573" s="11" t="s">
        <v>3512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9" t="s">
        <v>26</v>
      </c>
      <c r="AA1573" s="12" t="s">
        <v>31</v>
      </c>
    </row>
    <row r="1574" spans="1:27" x14ac:dyDescent="0.25">
      <c r="A1574" s="10">
        <v>45681</v>
      </c>
      <c r="B1574" s="11" t="s">
        <v>266</v>
      </c>
      <c r="C1574" s="11" t="s">
        <v>3513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4463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9" t="s">
        <v>26</v>
      </c>
      <c r="AA1574" s="12" t="s">
        <v>31</v>
      </c>
    </row>
    <row r="1575" spans="1:27" x14ac:dyDescent="0.25">
      <c r="A1575" s="10">
        <v>45681</v>
      </c>
      <c r="B1575" s="11" t="s">
        <v>424</v>
      </c>
      <c r="C1575" s="11" t="s">
        <v>3514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4439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9" t="s">
        <v>140</v>
      </c>
      <c r="AA1575" s="12" t="s">
        <v>78</v>
      </c>
    </row>
    <row r="1576" spans="1:27" x14ac:dyDescent="0.25">
      <c r="A1576" s="10">
        <v>45681</v>
      </c>
      <c r="B1576" s="11" t="s">
        <v>3515</v>
      </c>
      <c r="C1576" s="11" t="s">
        <v>3516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9" t="s">
        <v>26</v>
      </c>
      <c r="AA1576" s="12" t="s">
        <v>31</v>
      </c>
    </row>
    <row r="1577" spans="1:27" x14ac:dyDescent="0.25">
      <c r="A1577" s="10">
        <v>45681</v>
      </c>
      <c r="B1577" s="11" t="s">
        <v>2659</v>
      </c>
      <c r="C1577" s="11" t="s">
        <v>3517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9" t="s">
        <v>26</v>
      </c>
      <c r="AA1577" s="12" t="s">
        <v>31</v>
      </c>
    </row>
    <row r="1578" spans="1:27" x14ac:dyDescent="0.25">
      <c r="A1578" s="10">
        <v>45681</v>
      </c>
      <c r="B1578" s="11" t="s">
        <v>466</v>
      </c>
      <c r="C1578" s="11" t="s">
        <v>3518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4466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9" t="s">
        <v>26</v>
      </c>
      <c r="AA1578" s="12" t="s">
        <v>31</v>
      </c>
    </row>
    <row r="1579" spans="1:27" x14ac:dyDescent="0.25">
      <c r="A1579" s="10">
        <v>45681</v>
      </c>
      <c r="B1579" s="11" t="s">
        <v>3519</v>
      </c>
      <c r="C1579" s="11" t="s">
        <v>3520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4440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9" t="s">
        <v>26</v>
      </c>
      <c r="AA1579" s="12" t="s">
        <v>31</v>
      </c>
    </row>
    <row r="1580" spans="1:27" x14ac:dyDescent="0.25">
      <c r="A1580" s="10">
        <v>45681</v>
      </c>
      <c r="B1580" s="11" t="s">
        <v>3521</v>
      </c>
      <c r="C1580" s="11" t="s">
        <v>3522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9" t="s">
        <v>26</v>
      </c>
      <c r="AA1580" s="12" t="s">
        <v>31</v>
      </c>
    </row>
    <row r="1581" spans="1:27" x14ac:dyDescent="0.25">
      <c r="A1581" s="10">
        <v>45681</v>
      </c>
      <c r="B1581" s="11" t="s">
        <v>3034</v>
      </c>
      <c r="C1581" s="11" t="s">
        <v>3523</v>
      </c>
      <c r="D1581" s="11" t="s">
        <v>26</v>
      </c>
      <c r="E1581" s="11" t="s">
        <v>2635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9" t="s">
        <v>26</v>
      </c>
      <c r="AA1581" s="12" t="s">
        <v>31</v>
      </c>
    </row>
    <row r="1582" spans="1:27" x14ac:dyDescent="0.25">
      <c r="A1582" s="10">
        <v>45682</v>
      </c>
      <c r="B1582" s="11" t="s">
        <v>1250</v>
      </c>
      <c r="C1582" s="11" t="s">
        <v>3524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9" t="s">
        <v>26</v>
      </c>
      <c r="AA1582" s="12" t="s">
        <v>31</v>
      </c>
    </row>
    <row r="1583" spans="1:27" x14ac:dyDescent="0.25">
      <c r="A1583" s="10">
        <v>45682</v>
      </c>
      <c r="B1583" s="11" t="s">
        <v>1346</v>
      </c>
      <c r="C1583" s="11" t="s">
        <v>3525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4465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9" t="s">
        <v>26</v>
      </c>
      <c r="AA1583" s="12" t="s">
        <v>31</v>
      </c>
    </row>
    <row r="1584" spans="1:27" x14ac:dyDescent="0.25">
      <c r="A1584" s="10">
        <v>45682</v>
      </c>
      <c r="B1584" s="11" t="s">
        <v>385</v>
      </c>
      <c r="C1584" s="11" t="s">
        <v>3526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4465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9" t="s">
        <v>26</v>
      </c>
      <c r="AA1584" s="12" t="s">
        <v>31</v>
      </c>
    </row>
    <row r="1585" spans="1:27" x14ac:dyDescent="0.25">
      <c r="A1585" s="10">
        <v>45682</v>
      </c>
      <c r="B1585" s="11" t="s">
        <v>321</v>
      </c>
      <c r="C1585" s="11" t="s">
        <v>3527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9" t="s">
        <v>26</v>
      </c>
      <c r="AA1585" s="12" t="s">
        <v>31</v>
      </c>
    </row>
    <row r="1586" spans="1:27" x14ac:dyDescent="0.25">
      <c r="A1586" s="10">
        <v>45682</v>
      </c>
      <c r="B1586" s="11" t="s">
        <v>3528</v>
      </c>
      <c r="C1586" s="11" t="s">
        <v>3529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4463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9" t="s">
        <v>26</v>
      </c>
      <c r="AA1586" s="12" t="s">
        <v>31</v>
      </c>
    </row>
    <row r="1587" spans="1:27" x14ac:dyDescent="0.25">
      <c r="A1587" s="10">
        <v>45682</v>
      </c>
      <c r="B1587" s="11" t="s">
        <v>363</v>
      </c>
      <c r="C1587" s="11" t="s">
        <v>3530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9" t="s">
        <v>26</v>
      </c>
      <c r="AA1587" s="12" t="s">
        <v>31</v>
      </c>
    </row>
    <row r="1588" spans="1:27" x14ac:dyDescent="0.25">
      <c r="A1588" s="10">
        <v>45682</v>
      </c>
      <c r="B1588" s="11" t="s">
        <v>3531</v>
      </c>
      <c r="C1588" s="11" t="s">
        <v>3532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4439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9" t="s">
        <v>140</v>
      </c>
      <c r="AA1588" s="12" t="s">
        <v>78</v>
      </c>
    </row>
    <row r="1589" spans="1:27" x14ac:dyDescent="0.25">
      <c r="A1589" s="10">
        <v>45682</v>
      </c>
      <c r="B1589" s="11" t="s">
        <v>1363</v>
      </c>
      <c r="C1589" s="11" t="s">
        <v>3533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9" t="s">
        <v>26</v>
      </c>
      <c r="AA1589" s="12" t="s">
        <v>31</v>
      </c>
    </row>
    <row r="1590" spans="1:27" x14ac:dyDescent="0.25">
      <c r="A1590" s="10">
        <v>45682</v>
      </c>
      <c r="B1590" s="11" t="s">
        <v>412</v>
      </c>
      <c r="C1590" s="11" t="s">
        <v>3534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9" t="s">
        <v>26</v>
      </c>
      <c r="AA1590" s="12" t="s">
        <v>31</v>
      </c>
    </row>
    <row r="1591" spans="1:27" x14ac:dyDescent="0.25">
      <c r="A1591" s="10">
        <v>45682</v>
      </c>
      <c r="B1591" s="11" t="s">
        <v>3535</v>
      </c>
      <c r="C1591" s="11" t="s">
        <v>3536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9" t="s">
        <v>41</v>
      </c>
      <c r="AA1591" s="12" t="s">
        <v>79</v>
      </c>
    </row>
    <row r="1592" spans="1:27" x14ac:dyDescent="0.25">
      <c r="A1592" s="10">
        <v>45682</v>
      </c>
      <c r="B1592" s="11" t="s">
        <v>331</v>
      </c>
      <c r="C1592" s="11" t="s">
        <v>3537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4465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9" t="s">
        <v>26</v>
      </c>
      <c r="AA1592" s="12" t="s">
        <v>31</v>
      </c>
    </row>
    <row r="1593" spans="1:27" x14ac:dyDescent="0.25">
      <c r="A1593" s="10">
        <v>45682</v>
      </c>
      <c r="B1593" s="11" t="s">
        <v>3538</v>
      </c>
      <c r="C1593" s="11" t="s">
        <v>3539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4465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9" t="s">
        <v>26</v>
      </c>
      <c r="AA1593" s="12" t="s">
        <v>31</v>
      </c>
    </row>
    <row r="1594" spans="1:27" x14ac:dyDescent="0.25">
      <c r="A1594" s="10">
        <v>45682</v>
      </c>
      <c r="B1594" s="11" t="s">
        <v>3540</v>
      </c>
      <c r="C1594" s="11" t="s">
        <v>3541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9" t="s">
        <v>41</v>
      </c>
      <c r="AA1594" s="12" t="s">
        <v>79</v>
      </c>
    </row>
    <row r="1595" spans="1:27" x14ac:dyDescent="0.25">
      <c r="A1595" s="10">
        <v>45682</v>
      </c>
      <c r="B1595" s="11" t="s">
        <v>3507</v>
      </c>
      <c r="C1595" s="11" t="s">
        <v>3542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9" t="s">
        <v>26</v>
      </c>
      <c r="AA1595" s="12" t="s">
        <v>31</v>
      </c>
    </row>
    <row r="1596" spans="1:27" x14ac:dyDescent="0.25">
      <c r="A1596" s="10">
        <v>45682</v>
      </c>
      <c r="B1596" s="11" t="s">
        <v>3543</v>
      </c>
      <c r="C1596" s="11" t="s">
        <v>3544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4440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9" t="s">
        <v>26</v>
      </c>
      <c r="AA1596" s="12" t="s">
        <v>31</v>
      </c>
    </row>
    <row r="1597" spans="1:27" x14ac:dyDescent="0.25">
      <c r="A1597" s="10">
        <v>45682</v>
      </c>
      <c r="B1597" s="11" t="s">
        <v>3545</v>
      </c>
      <c r="C1597" s="11" t="s">
        <v>3546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4440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9" t="s">
        <v>26</v>
      </c>
      <c r="AA1597" s="12" t="s">
        <v>31</v>
      </c>
    </row>
    <row r="1598" spans="1:27" x14ac:dyDescent="0.25">
      <c r="A1598" s="10">
        <v>45682</v>
      </c>
      <c r="B1598" s="11" t="s">
        <v>3547</v>
      </c>
      <c r="C1598" s="11" t="s">
        <v>3548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9" t="s">
        <v>26</v>
      </c>
      <c r="AA1598" s="12" t="s">
        <v>31</v>
      </c>
    </row>
    <row r="1599" spans="1:27" x14ac:dyDescent="0.25">
      <c r="A1599" s="10">
        <v>45682</v>
      </c>
      <c r="B1599" s="11" t="s">
        <v>3549</v>
      </c>
      <c r="C1599" s="11" t="s">
        <v>3550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9" t="s">
        <v>26</v>
      </c>
      <c r="AA1599" s="12" t="s">
        <v>31</v>
      </c>
    </row>
    <row r="1600" spans="1:27" x14ac:dyDescent="0.25">
      <c r="A1600" s="10">
        <v>45682</v>
      </c>
      <c r="B1600" s="11" t="s">
        <v>3551</v>
      </c>
      <c r="C1600" s="11" t="s">
        <v>3552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4440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9" t="s">
        <v>26</v>
      </c>
      <c r="AA1600" s="12" t="s">
        <v>31</v>
      </c>
    </row>
    <row r="1601" spans="1:27" x14ac:dyDescent="0.25">
      <c r="A1601" s="10">
        <v>45682</v>
      </c>
      <c r="B1601" s="11" t="s">
        <v>3553</v>
      </c>
      <c r="C1601" s="11" t="s">
        <v>3554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4440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9" t="s">
        <v>26</v>
      </c>
      <c r="AA1601" s="12" t="s">
        <v>31</v>
      </c>
    </row>
    <row r="1602" spans="1:27" x14ac:dyDescent="0.25">
      <c r="A1602" s="10">
        <v>45682</v>
      </c>
      <c r="B1602" s="11" t="s">
        <v>3555</v>
      </c>
      <c r="C1602" s="11" t="s">
        <v>3556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1926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9" t="s">
        <v>26</v>
      </c>
      <c r="AA1602" s="12" t="s">
        <v>31</v>
      </c>
    </row>
    <row r="1603" spans="1:27" x14ac:dyDescent="0.25">
      <c r="A1603" s="10">
        <v>45682</v>
      </c>
      <c r="B1603" s="11" t="s">
        <v>3557</v>
      </c>
      <c r="C1603" s="11" t="s">
        <v>3558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4440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9" t="s">
        <v>26</v>
      </c>
      <c r="AA1603" s="12" t="s">
        <v>31</v>
      </c>
    </row>
    <row r="1604" spans="1:27" x14ac:dyDescent="0.25">
      <c r="A1604" s="10">
        <v>45682</v>
      </c>
      <c r="B1604" s="11" t="s">
        <v>2691</v>
      </c>
      <c r="C1604" s="11" t="s">
        <v>3559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1926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9" t="s">
        <v>26</v>
      </c>
      <c r="AA1604" s="12" t="s">
        <v>31</v>
      </c>
    </row>
    <row r="1605" spans="1:27" x14ac:dyDescent="0.25">
      <c r="A1605" s="10">
        <v>45682</v>
      </c>
      <c r="B1605" s="11" t="s">
        <v>3560</v>
      </c>
      <c r="C1605" s="11" t="s">
        <v>3561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9" t="s">
        <v>41</v>
      </c>
      <c r="AA1605" s="12" t="s">
        <v>79</v>
      </c>
    </row>
    <row r="1606" spans="1:27" x14ac:dyDescent="0.25">
      <c r="A1606" s="10">
        <v>45682</v>
      </c>
      <c r="B1606" s="11" t="s">
        <v>3562</v>
      </c>
      <c r="C1606" s="11" t="s">
        <v>3563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9" t="s">
        <v>26</v>
      </c>
      <c r="AA1606" s="12" t="s">
        <v>31</v>
      </c>
    </row>
    <row r="1607" spans="1:27" x14ac:dyDescent="0.25">
      <c r="A1607" s="10">
        <v>45682</v>
      </c>
      <c r="B1607" s="11" t="s">
        <v>3564</v>
      </c>
      <c r="C1607" s="11" t="s">
        <v>3565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9" t="s">
        <v>26</v>
      </c>
      <c r="AA1607" s="12" t="s">
        <v>31</v>
      </c>
    </row>
    <row r="1608" spans="1:27" x14ac:dyDescent="0.25">
      <c r="A1608" s="10">
        <v>45682</v>
      </c>
      <c r="B1608" s="11" t="s">
        <v>3566</v>
      </c>
      <c r="C1608" s="11" t="s">
        <v>3567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9" t="s">
        <v>26</v>
      </c>
      <c r="AA1608" s="12" t="s">
        <v>31</v>
      </c>
    </row>
    <row r="1609" spans="1:27" x14ac:dyDescent="0.25">
      <c r="A1609" s="10">
        <v>45682</v>
      </c>
      <c r="B1609" s="11" t="s">
        <v>643</v>
      </c>
      <c r="C1609" s="11" t="s">
        <v>3568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9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3569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9" t="s">
        <v>26</v>
      </c>
      <c r="AA1610" s="12" t="s">
        <v>31</v>
      </c>
    </row>
    <row r="1611" spans="1:27" x14ac:dyDescent="0.25">
      <c r="A1611" s="10">
        <v>45682</v>
      </c>
      <c r="B1611" s="11" t="s">
        <v>3570</v>
      </c>
      <c r="C1611" s="11" t="s">
        <v>3571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4439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9" t="s">
        <v>41</v>
      </c>
      <c r="AA1611" s="12" t="s">
        <v>78</v>
      </c>
    </row>
    <row r="1612" spans="1:27" x14ac:dyDescent="0.25">
      <c r="A1612" s="10">
        <v>45682</v>
      </c>
      <c r="B1612" s="11" t="s">
        <v>3572</v>
      </c>
      <c r="C1612" s="11" t="s">
        <v>3573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9" t="s">
        <v>26</v>
      </c>
      <c r="AA1612" s="12" t="s">
        <v>31</v>
      </c>
    </row>
    <row r="1613" spans="1:27" x14ac:dyDescent="0.25">
      <c r="A1613" s="10">
        <v>45682</v>
      </c>
      <c r="B1613" s="11" t="s">
        <v>3574</v>
      </c>
      <c r="C1613" s="11" t="s">
        <v>3575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4439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9" t="s">
        <v>41</v>
      </c>
      <c r="AA1613" s="12" t="s">
        <v>78</v>
      </c>
    </row>
    <row r="1614" spans="1:27" x14ac:dyDescent="0.25">
      <c r="A1614" s="10">
        <v>45682</v>
      </c>
      <c r="B1614" s="11" t="s">
        <v>3576</v>
      </c>
      <c r="C1614" s="11" t="s">
        <v>3577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9" t="s">
        <v>26</v>
      </c>
      <c r="AA1614" s="12" t="s">
        <v>31</v>
      </c>
    </row>
    <row r="1615" spans="1:27" x14ac:dyDescent="0.25">
      <c r="A1615" s="10">
        <v>45682</v>
      </c>
      <c r="B1615" s="11" t="s">
        <v>3578</v>
      </c>
      <c r="C1615" s="11" t="s">
        <v>3579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9" t="s">
        <v>26</v>
      </c>
      <c r="AA1615" s="12" t="s">
        <v>31</v>
      </c>
    </row>
    <row r="1616" spans="1:27" x14ac:dyDescent="0.25">
      <c r="A1616" s="10">
        <v>45682</v>
      </c>
      <c r="B1616" s="11" t="s">
        <v>3580</v>
      </c>
      <c r="C1616" s="11" t="s">
        <v>3581</v>
      </c>
      <c r="D1616" s="11" t="s">
        <v>26</v>
      </c>
      <c r="E1616" s="11" t="s">
        <v>2126</v>
      </c>
      <c r="F1616" s="11" t="s">
        <v>26</v>
      </c>
      <c r="G1616" s="11" t="s">
        <v>26</v>
      </c>
      <c r="H1616" s="12" t="s">
        <v>4439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9" t="s">
        <v>140</v>
      </c>
      <c r="AA1616" s="12" t="s">
        <v>78</v>
      </c>
    </row>
    <row r="1617" spans="1:27" x14ac:dyDescent="0.25">
      <c r="A1617" s="10">
        <v>45682</v>
      </c>
      <c r="B1617" s="11" t="s">
        <v>3582</v>
      </c>
      <c r="C1617" s="11" t="s">
        <v>3583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4439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9" t="s">
        <v>140</v>
      </c>
      <c r="AA1617" s="12" t="s">
        <v>78</v>
      </c>
    </row>
    <row r="1618" spans="1:27" x14ac:dyDescent="0.25">
      <c r="A1618" s="10">
        <v>45682</v>
      </c>
      <c r="B1618" s="11" t="s">
        <v>3584</v>
      </c>
      <c r="C1618" s="11" t="s">
        <v>3585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4440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9" t="s">
        <v>26</v>
      </c>
      <c r="AA1618" s="12" t="s">
        <v>31</v>
      </c>
    </row>
    <row r="1619" spans="1:27" x14ac:dyDescent="0.25">
      <c r="A1619" s="10">
        <v>45682</v>
      </c>
      <c r="B1619" s="11" t="s">
        <v>3586</v>
      </c>
      <c r="C1619" s="11" t="s">
        <v>3587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9" t="s">
        <v>26</v>
      </c>
      <c r="AA1619" s="12" t="s">
        <v>31</v>
      </c>
    </row>
    <row r="1620" spans="1:27" x14ac:dyDescent="0.25">
      <c r="A1620" s="10">
        <v>45682</v>
      </c>
      <c r="B1620" s="11" t="s">
        <v>691</v>
      </c>
      <c r="C1620" s="11" t="s">
        <v>3588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9" t="s">
        <v>26</v>
      </c>
      <c r="AA1620" s="12" t="s">
        <v>31</v>
      </c>
    </row>
    <row r="1621" spans="1:27" x14ac:dyDescent="0.25">
      <c r="A1621" s="10">
        <v>45682</v>
      </c>
      <c r="B1621" s="11" t="s">
        <v>3589</v>
      </c>
      <c r="C1621" s="11" t="s">
        <v>3590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4440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9" t="s">
        <v>26</v>
      </c>
      <c r="AA1621" s="12" t="s">
        <v>31</v>
      </c>
    </row>
    <row r="1622" spans="1:27" x14ac:dyDescent="0.25">
      <c r="A1622" s="10">
        <v>45682</v>
      </c>
      <c r="B1622" s="11" t="s">
        <v>3591</v>
      </c>
      <c r="C1622" s="11" t="s">
        <v>3592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4440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9" t="s">
        <v>26</v>
      </c>
      <c r="AA1622" s="12" t="s">
        <v>31</v>
      </c>
    </row>
    <row r="1623" spans="1:27" x14ac:dyDescent="0.25">
      <c r="A1623" s="10">
        <v>45682</v>
      </c>
      <c r="B1623" s="11" t="s">
        <v>3593</v>
      </c>
      <c r="C1623" s="11" t="s">
        <v>3594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4439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9" t="s">
        <v>565</v>
      </c>
      <c r="AA1623" s="12" t="s">
        <v>78</v>
      </c>
    </row>
    <row r="1624" spans="1:27" x14ac:dyDescent="0.25">
      <c r="A1624" s="10">
        <v>45682</v>
      </c>
      <c r="B1624" s="11" t="s">
        <v>686</v>
      </c>
      <c r="C1624" s="11" t="s">
        <v>3595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4466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9" t="s">
        <v>26</v>
      </c>
      <c r="AA1624" s="12" t="s">
        <v>31</v>
      </c>
    </row>
    <row r="1625" spans="1:27" x14ac:dyDescent="0.25">
      <c r="A1625" s="10">
        <v>45682</v>
      </c>
      <c r="B1625" s="11" t="s">
        <v>3596</v>
      </c>
      <c r="C1625" s="11" t="s">
        <v>3597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4463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9" t="s">
        <v>26</v>
      </c>
      <c r="AA1625" s="12" t="s">
        <v>31</v>
      </c>
    </row>
    <row r="1626" spans="1:27" x14ac:dyDescent="0.25">
      <c r="A1626" s="10">
        <v>45682</v>
      </c>
      <c r="B1626" s="11" t="s">
        <v>3598</v>
      </c>
      <c r="C1626" s="11" t="s">
        <v>3599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9" t="s">
        <v>26</v>
      </c>
      <c r="AA1626" s="12" t="s">
        <v>31</v>
      </c>
    </row>
    <row r="1627" spans="1:27" x14ac:dyDescent="0.25">
      <c r="A1627" s="10">
        <v>45682</v>
      </c>
      <c r="B1627" s="11" t="s">
        <v>347</v>
      </c>
      <c r="C1627" s="11" t="s">
        <v>3600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9" t="s">
        <v>26</v>
      </c>
      <c r="AA1627" s="12" t="s">
        <v>31</v>
      </c>
    </row>
    <row r="1628" spans="1:27" x14ac:dyDescent="0.25">
      <c r="A1628" s="10">
        <v>45682</v>
      </c>
      <c r="B1628" s="11" t="s">
        <v>3601</v>
      </c>
      <c r="C1628" s="11" t="s">
        <v>3602</v>
      </c>
      <c r="D1628" s="11" t="s">
        <v>26</v>
      </c>
      <c r="E1628" s="11" t="s">
        <v>3603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9" t="s">
        <v>26</v>
      </c>
      <c r="AA1628" s="12" t="s">
        <v>31</v>
      </c>
    </row>
    <row r="1629" spans="1:27" x14ac:dyDescent="0.25">
      <c r="A1629" s="10">
        <v>45682</v>
      </c>
      <c r="B1629" s="11" t="s">
        <v>399</v>
      </c>
      <c r="C1629" s="11" t="s">
        <v>3604</v>
      </c>
      <c r="D1629" s="11" t="s">
        <v>26</v>
      </c>
      <c r="E1629" s="11" t="s">
        <v>1217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9" t="s">
        <v>26</v>
      </c>
      <c r="AA1629" s="12" t="s">
        <v>31</v>
      </c>
    </row>
    <row r="1630" spans="1:27" x14ac:dyDescent="0.25">
      <c r="A1630" s="10">
        <v>45682</v>
      </c>
      <c r="B1630" s="11" t="s">
        <v>307</v>
      </c>
      <c r="C1630" s="11" t="s">
        <v>3605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9" t="s">
        <v>26</v>
      </c>
      <c r="AA1630" s="12" t="s">
        <v>31</v>
      </c>
    </row>
    <row r="1631" spans="1:27" x14ac:dyDescent="0.25">
      <c r="A1631" s="10">
        <v>45682</v>
      </c>
      <c r="B1631" s="11" t="s">
        <v>2793</v>
      </c>
      <c r="C1631" s="11" t="s">
        <v>3606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9" t="s">
        <v>26</v>
      </c>
      <c r="AA1631" s="12" t="s">
        <v>31</v>
      </c>
    </row>
    <row r="1632" spans="1:27" x14ac:dyDescent="0.25">
      <c r="A1632" s="10">
        <v>45682</v>
      </c>
      <c r="B1632" s="11" t="s">
        <v>3607</v>
      </c>
      <c r="C1632" s="11" t="s">
        <v>3608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4439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9" t="s">
        <v>140</v>
      </c>
      <c r="AA1632" s="12" t="s">
        <v>78</v>
      </c>
    </row>
    <row r="1633" spans="1:27" x14ac:dyDescent="0.25">
      <c r="A1633" s="10">
        <v>45682</v>
      </c>
      <c r="B1633" s="11" t="s">
        <v>1122</v>
      </c>
      <c r="C1633" s="11" t="s">
        <v>3609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4466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9" t="s">
        <v>26</v>
      </c>
      <c r="AA1633" s="12" t="s">
        <v>31</v>
      </c>
    </row>
    <row r="1634" spans="1:27" x14ac:dyDescent="0.25">
      <c r="A1634" s="10">
        <v>45682</v>
      </c>
      <c r="B1634" s="11" t="s">
        <v>3610</v>
      </c>
      <c r="C1634" s="11" t="s">
        <v>3611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4463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9" t="s">
        <v>26</v>
      </c>
      <c r="AA1634" s="12" t="s">
        <v>31</v>
      </c>
    </row>
    <row r="1635" spans="1:27" x14ac:dyDescent="0.25">
      <c r="A1635" s="10">
        <v>45682</v>
      </c>
      <c r="B1635" s="11" t="s">
        <v>249</v>
      </c>
      <c r="C1635" s="11" t="s">
        <v>3612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9" t="s">
        <v>26</v>
      </c>
      <c r="AA1635" s="12" t="s">
        <v>31</v>
      </c>
    </row>
    <row r="1636" spans="1:27" x14ac:dyDescent="0.25">
      <c r="A1636" s="10">
        <v>45682</v>
      </c>
      <c r="B1636" s="11" t="s">
        <v>419</v>
      </c>
      <c r="C1636" s="11" t="s">
        <v>3613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4440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9" t="s">
        <v>26</v>
      </c>
      <c r="AA1636" s="12" t="s">
        <v>31</v>
      </c>
    </row>
    <row r="1637" spans="1:27" x14ac:dyDescent="0.25">
      <c r="A1637" s="10">
        <v>45682</v>
      </c>
      <c r="B1637" s="11" t="s">
        <v>333</v>
      </c>
      <c r="C1637" s="11" t="s">
        <v>3614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4465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9" t="s">
        <v>26</v>
      </c>
      <c r="AA1637" s="12" t="s">
        <v>31</v>
      </c>
    </row>
    <row r="1638" spans="1:27" x14ac:dyDescent="0.25">
      <c r="A1638" s="10">
        <v>45682</v>
      </c>
      <c r="B1638" s="11" t="s">
        <v>343</v>
      </c>
      <c r="C1638" s="11" t="s">
        <v>3615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4439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9" t="s">
        <v>70</v>
      </c>
      <c r="AA1638" s="12" t="s">
        <v>78</v>
      </c>
    </row>
    <row r="1639" spans="1:27" x14ac:dyDescent="0.25">
      <c r="A1639" s="10">
        <v>45682</v>
      </c>
      <c r="B1639" s="11" t="s">
        <v>3616</v>
      </c>
      <c r="C1639" s="11" t="s">
        <v>3617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4465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9" t="s">
        <v>26</v>
      </c>
      <c r="AA1639" s="12" t="s">
        <v>31</v>
      </c>
    </row>
    <row r="1640" spans="1:27" x14ac:dyDescent="0.25">
      <c r="A1640" s="10">
        <v>45682</v>
      </c>
      <c r="B1640" s="11" t="s">
        <v>650</v>
      </c>
      <c r="C1640" s="11" t="s">
        <v>3618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1926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9" t="s">
        <v>26</v>
      </c>
      <c r="AA1640" s="12" t="s">
        <v>31</v>
      </c>
    </row>
    <row r="1641" spans="1:27" x14ac:dyDescent="0.25">
      <c r="A1641" s="10">
        <v>45682</v>
      </c>
      <c r="B1641" s="11" t="s">
        <v>3619</v>
      </c>
      <c r="C1641" s="11" t="s">
        <v>3620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1926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9" t="s">
        <v>26</v>
      </c>
      <c r="AA1641" s="12" t="s">
        <v>31</v>
      </c>
    </row>
    <row r="1642" spans="1:27" x14ac:dyDescent="0.25">
      <c r="A1642" s="10">
        <v>45682</v>
      </c>
      <c r="B1642" s="11" t="s">
        <v>3621</v>
      </c>
      <c r="C1642" s="11" t="s">
        <v>3622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4439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9" t="s">
        <v>70</v>
      </c>
      <c r="AA1642" s="12" t="s">
        <v>78</v>
      </c>
    </row>
    <row r="1643" spans="1:27" x14ac:dyDescent="0.25">
      <c r="A1643" s="10">
        <v>45682</v>
      </c>
      <c r="B1643" s="11" t="s">
        <v>3623</v>
      </c>
      <c r="C1643" s="11" t="s">
        <v>3624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4440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9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3625</v>
      </c>
      <c r="D1644" s="11" t="s">
        <v>26</v>
      </c>
      <c r="E1644" s="11" t="s">
        <v>659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9" t="s">
        <v>26</v>
      </c>
      <c r="AA1644" s="12" t="s">
        <v>31</v>
      </c>
    </row>
    <row r="1645" spans="1:27" x14ac:dyDescent="0.25">
      <c r="A1645" s="10">
        <v>45682</v>
      </c>
      <c r="B1645" s="11" t="s">
        <v>3626</v>
      </c>
      <c r="C1645" s="11" t="s">
        <v>3627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4440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9" t="s">
        <v>26</v>
      </c>
      <c r="AA1645" s="12" t="s">
        <v>31</v>
      </c>
    </row>
    <row r="1646" spans="1:27" x14ac:dyDescent="0.25">
      <c r="A1646" s="10">
        <v>45682</v>
      </c>
      <c r="B1646" s="11" t="s">
        <v>3628</v>
      </c>
      <c r="C1646" s="11" t="s">
        <v>3629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9" t="s">
        <v>26</v>
      </c>
      <c r="AA1646" s="12" t="s">
        <v>31</v>
      </c>
    </row>
    <row r="1647" spans="1:27" x14ac:dyDescent="0.25">
      <c r="A1647" s="10">
        <v>45682</v>
      </c>
      <c r="B1647" s="11" t="s">
        <v>748</v>
      </c>
      <c r="C1647" s="11" t="s">
        <v>3630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9" t="s">
        <v>26</v>
      </c>
      <c r="AA1647" s="12" t="s">
        <v>31</v>
      </c>
    </row>
    <row r="1648" spans="1:27" x14ac:dyDescent="0.25">
      <c r="A1648" s="10">
        <v>45682</v>
      </c>
      <c r="B1648" s="11" t="s">
        <v>3005</v>
      </c>
      <c r="C1648" s="11" t="s">
        <v>3631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9" t="s">
        <v>26</v>
      </c>
      <c r="AA1648" s="12" t="s">
        <v>31</v>
      </c>
    </row>
    <row r="1649" spans="1:27" x14ac:dyDescent="0.25">
      <c r="A1649" s="10">
        <v>45682</v>
      </c>
      <c r="B1649" s="11" t="s">
        <v>330</v>
      </c>
      <c r="C1649" s="11" t="s">
        <v>3632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9" t="s">
        <v>26</v>
      </c>
      <c r="AA1649" s="12" t="s">
        <v>31</v>
      </c>
    </row>
    <row r="1650" spans="1:27" x14ac:dyDescent="0.25">
      <c r="A1650" s="10">
        <v>45682</v>
      </c>
      <c r="B1650" s="11" t="s">
        <v>640</v>
      </c>
      <c r="C1650" s="11" t="s">
        <v>3633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9" t="s">
        <v>26</v>
      </c>
      <c r="AA1650" s="12" t="s">
        <v>31</v>
      </c>
    </row>
    <row r="1651" spans="1:27" x14ac:dyDescent="0.25">
      <c r="A1651" s="10">
        <v>45682</v>
      </c>
      <c r="B1651" s="11" t="s">
        <v>388</v>
      </c>
      <c r="C1651" s="11" t="s">
        <v>3634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4439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9" t="s">
        <v>565</v>
      </c>
      <c r="AA1651" s="12" t="s">
        <v>78</v>
      </c>
    </row>
    <row r="1652" spans="1:27" x14ac:dyDescent="0.25">
      <c r="A1652" s="10">
        <v>45682</v>
      </c>
      <c r="B1652" s="11" t="s">
        <v>3635</v>
      </c>
      <c r="C1652" s="11" t="s">
        <v>3636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4465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9" t="s">
        <v>26</v>
      </c>
      <c r="AA1652" s="12" t="s">
        <v>31</v>
      </c>
    </row>
    <row r="1653" spans="1:27" x14ac:dyDescent="0.25">
      <c r="A1653" s="10">
        <v>45682</v>
      </c>
      <c r="B1653" s="11" t="s">
        <v>3637</v>
      </c>
      <c r="C1653" s="11" t="s">
        <v>3638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4465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9" t="s">
        <v>26</v>
      </c>
      <c r="AA1653" s="12" t="s">
        <v>31</v>
      </c>
    </row>
    <row r="1654" spans="1:27" x14ac:dyDescent="0.25">
      <c r="A1654" s="10">
        <v>45682</v>
      </c>
      <c r="B1654" s="11" t="s">
        <v>1774</v>
      </c>
      <c r="C1654" s="11" t="s">
        <v>3639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4439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9" t="s">
        <v>41</v>
      </c>
      <c r="AA1654" s="12" t="s">
        <v>78</v>
      </c>
    </row>
    <row r="1655" spans="1:27" x14ac:dyDescent="0.25">
      <c r="A1655" s="10">
        <v>45682</v>
      </c>
      <c r="B1655" s="11" t="s">
        <v>3640</v>
      </c>
      <c r="C1655" s="11" t="s">
        <v>3641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9" t="s">
        <v>26</v>
      </c>
      <c r="AA1655" s="12" t="s">
        <v>31</v>
      </c>
    </row>
    <row r="1656" spans="1:27" x14ac:dyDescent="0.25">
      <c r="A1656" s="10">
        <v>45682</v>
      </c>
      <c r="B1656" s="11" t="s">
        <v>626</v>
      </c>
      <c r="C1656" s="11" t="s">
        <v>3642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4439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9" t="s">
        <v>41</v>
      </c>
      <c r="AA1656" s="12" t="s">
        <v>78</v>
      </c>
    </row>
    <row r="1657" spans="1:27" x14ac:dyDescent="0.25">
      <c r="A1657" s="10">
        <v>45682</v>
      </c>
      <c r="B1657" s="11" t="s">
        <v>3643</v>
      </c>
      <c r="C1657" s="11" t="s">
        <v>3644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9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3645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4440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9" t="s">
        <v>26</v>
      </c>
      <c r="AA1658" s="12" t="s">
        <v>31</v>
      </c>
    </row>
    <row r="1659" spans="1:27" x14ac:dyDescent="0.25">
      <c r="A1659" s="10">
        <v>45682</v>
      </c>
      <c r="B1659" s="11" t="s">
        <v>3646</v>
      </c>
      <c r="C1659" s="11" t="s">
        <v>3647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4440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9" t="s">
        <v>26</v>
      </c>
      <c r="AA1659" s="12" t="s">
        <v>31</v>
      </c>
    </row>
    <row r="1660" spans="1:27" x14ac:dyDescent="0.25">
      <c r="A1660" s="10">
        <v>45682</v>
      </c>
      <c r="B1660" s="11" t="s">
        <v>707</v>
      </c>
      <c r="C1660" s="11" t="s">
        <v>3648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9" t="s">
        <v>26</v>
      </c>
      <c r="AA1660" s="12" t="s">
        <v>31</v>
      </c>
    </row>
    <row r="1661" spans="1:27" x14ac:dyDescent="0.25">
      <c r="A1661" s="10">
        <v>45682</v>
      </c>
      <c r="B1661" s="11" t="s">
        <v>3649</v>
      </c>
      <c r="C1661" s="11" t="s">
        <v>3650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9" t="s">
        <v>26</v>
      </c>
      <c r="AA1661" s="12" t="s">
        <v>31</v>
      </c>
    </row>
    <row r="1662" spans="1:27" x14ac:dyDescent="0.25">
      <c r="A1662" s="10">
        <v>45682</v>
      </c>
      <c r="B1662" s="11" t="s">
        <v>3651</v>
      </c>
      <c r="C1662" s="11" t="s">
        <v>3652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9" t="s">
        <v>26</v>
      </c>
      <c r="AA1662" s="12" t="s">
        <v>31</v>
      </c>
    </row>
    <row r="1663" spans="1:27" x14ac:dyDescent="0.25">
      <c r="A1663" s="10">
        <v>45682</v>
      </c>
      <c r="B1663" s="11" t="s">
        <v>669</v>
      </c>
      <c r="C1663" s="11" t="s">
        <v>3653</v>
      </c>
      <c r="D1663" s="11" t="s">
        <v>26</v>
      </c>
      <c r="E1663" s="11" t="s">
        <v>3654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9" t="s">
        <v>26</v>
      </c>
      <c r="AA1663" s="12" t="s">
        <v>31</v>
      </c>
    </row>
    <row r="1664" spans="1:27" x14ac:dyDescent="0.25">
      <c r="A1664" s="10">
        <v>45682</v>
      </c>
      <c r="B1664" s="11" t="s">
        <v>2809</v>
      </c>
      <c r="C1664" s="11" t="s">
        <v>3655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9" t="s">
        <v>26</v>
      </c>
      <c r="AA1664" s="12" t="s">
        <v>31</v>
      </c>
    </row>
    <row r="1665" spans="1:27" x14ac:dyDescent="0.25">
      <c r="A1665" s="10">
        <v>45682</v>
      </c>
      <c r="B1665" s="11" t="s">
        <v>3656</v>
      </c>
      <c r="C1665" s="11" t="s">
        <v>3657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9" t="s">
        <v>26</v>
      </c>
      <c r="AA1665" s="12" t="s">
        <v>31</v>
      </c>
    </row>
    <row r="1666" spans="1:27" x14ac:dyDescent="0.25">
      <c r="A1666" s="10">
        <v>45682</v>
      </c>
      <c r="B1666" s="11" t="s">
        <v>3658</v>
      </c>
      <c r="C1666" s="11" t="s">
        <v>3659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9" t="s">
        <v>26</v>
      </c>
      <c r="AA1666" s="12" t="s">
        <v>31</v>
      </c>
    </row>
    <row r="1667" spans="1:27" x14ac:dyDescent="0.25">
      <c r="A1667" s="10">
        <v>45682</v>
      </c>
      <c r="B1667" s="11" t="s">
        <v>3660</v>
      </c>
      <c r="C1667" s="11" t="s">
        <v>3661</v>
      </c>
      <c r="D1667" s="11" t="s">
        <v>26</v>
      </c>
      <c r="E1667" s="11" t="s">
        <v>1668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9" t="s">
        <v>26</v>
      </c>
      <c r="AA1667" s="12" t="s">
        <v>31</v>
      </c>
    </row>
    <row r="1668" spans="1:27" x14ac:dyDescent="0.25">
      <c r="A1668" s="10">
        <v>45682</v>
      </c>
      <c r="B1668" s="11" t="s">
        <v>1823</v>
      </c>
      <c r="C1668" s="11" t="s">
        <v>3662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9" t="s">
        <v>26</v>
      </c>
      <c r="AA1668" s="12" t="s">
        <v>31</v>
      </c>
    </row>
    <row r="1669" spans="1:27" x14ac:dyDescent="0.25">
      <c r="A1669" s="10">
        <v>45682</v>
      </c>
      <c r="B1669" s="11" t="s">
        <v>332</v>
      </c>
      <c r="C1669" s="11" t="s">
        <v>3663</v>
      </c>
      <c r="D1669" s="11" t="s">
        <v>26</v>
      </c>
      <c r="E1669" s="11" t="s">
        <v>1217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9" t="s">
        <v>26</v>
      </c>
      <c r="AA1669" s="12" t="s">
        <v>31</v>
      </c>
    </row>
    <row r="1670" spans="1:27" x14ac:dyDescent="0.25">
      <c r="A1670" s="10">
        <v>45682</v>
      </c>
      <c r="B1670" s="11" t="s">
        <v>681</v>
      </c>
      <c r="C1670" s="11" t="s">
        <v>3664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4440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9" t="s">
        <v>26</v>
      </c>
      <c r="AA1670" s="12" t="s">
        <v>31</v>
      </c>
    </row>
    <row r="1671" spans="1:27" x14ac:dyDescent="0.25">
      <c r="A1671" s="10">
        <v>45682</v>
      </c>
      <c r="B1671" s="11" t="s">
        <v>3665</v>
      </c>
      <c r="C1671" s="11" t="s">
        <v>3666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4440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9" t="s">
        <v>26</v>
      </c>
      <c r="AA1671" s="12" t="s">
        <v>31</v>
      </c>
    </row>
    <row r="1672" spans="1:27" x14ac:dyDescent="0.25">
      <c r="A1672" s="10">
        <v>45682</v>
      </c>
      <c r="B1672" s="11" t="s">
        <v>428</v>
      </c>
      <c r="C1672" s="11" t="s">
        <v>3667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9" t="s">
        <v>26</v>
      </c>
      <c r="AA1672" s="12" t="s">
        <v>31</v>
      </c>
    </row>
    <row r="1673" spans="1:27" x14ac:dyDescent="0.25">
      <c r="A1673" s="10">
        <v>45682</v>
      </c>
      <c r="B1673" s="11" t="s">
        <v>630</v>
      </c>
      <c r="C1673" s="11" t="s">
        <v>3668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9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3669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9" t="s">
        <v>26</v>
      </c>
      <c r="AA1674" s="12" t="s">
        <v>31</v>
      </c>
    </row>
    <row r="1675" spans="1:27" x14ac:dyDescent="0.25">
      <c r="A1675" s="10">
        <v>45682</v>
      </c>
      <c r="B1675" s="11" t="s">
        <v>3670</v>
      </c>
      <c r="C1675" s="11" t="s">
        <v>3671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9" t="s">
        <v>26</v>
      </c>
      <c r="AA1675" s="12" t="s">
        <v>31</v>
      </c>
    </row>
    <row r="1676" spans="1:27" x14ac:dyDescent="0.25">
      <c r="A1676" s="10">
        <v>45682</v>
      </c>
      <c r="B1676" s="11" t="s">
        <v>3672</v>
      </c>
      <c r="C1676" s="11" t="s">
        <v>3673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4439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9" t="s">
        <v>565</v>
      </c>
      <c r="AA1676" s="12" t="s">
        <v>78</v>
      </c>
    </row>
    <row r="1677" spans="1:27" x14ac:dyDescent="0.25">
      <c r="A1677" s="10">
        <v>45682</v>
      </c>
      <c r="B1677" s="11" t="s">
        <v>2465</v>
      </c>
      <c r="C1677" s="11" t="s">
        <v>3674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9" t="s">
        <v>26</v>
      </c>
      <c r="AA1677" s="12" t="s">
        <v>31</v>
      </c>
    </row>
    <row r="1678" spans="1:27" x14ac:dyDescent="0.25">
      <c r="A1678" s="10">
        <v>45682</v>
      </c>
      <c r="B1678" s="11" t="s">
        <v>3675</v>
      </c>
      <c r="C1678" s="11" t="s">
        <v>3676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9" t="s">
        <v>26</v>
      </c>
      <c r="AA1678" s="12" t="s">
        <v>31</v>
      </c>
    </row>
    <row r="1679" spans="1:27" x14ac:dyDescent="0.25">
      <c r="A1679" s="10">
        <v>45682</v>
      </c>
      <c r="B1679" s="11" t="s">
        <v>3677</v>
      </c>
      <c r="C1679" s="11" t="s">
        <v>3678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9" t="s">
        <v>26</v>
      </c>
      <c r="AA1679" s="12" t="s">
        <v>31</v>
      </c>
    </row>
    <row r="1680" spans="1:27" x14ac:dyDescent="0.25">
      <c r="A1680" s="10">
        <v>45682</v>
      </c>
      <c r="B1680" s="11" t="s">
        <v>3382</v>
      </c>
      <c r="C1680" s="11" t="s">
        <v>3679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9" t="s">
        <v>26</v>
      </c>
      <c r="AA1680" s="12" t="s">
        <v>31</v>
      </c>
    </row>
    <row r="1681" spans="1:27" x14ac:dyDescent="0.25">
      <c r="A1681" s="10">
        <v>45682</v>
      </c>
      <c r="B1681" s="11" t="s">
        <v>3680</v>
      </c>
      <c r="C1681" s="11" t="s">
        <v>3681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9" t="s">
        <v>26</v>
      </c>
      <c r="AA1681" s="12" t="s">
        <v>31</v>
      </c>
    </row>
    <row r="1682" spans="1:27" x14ac:dyDescent="0.25">
      <c r="A1682" s="10">
        <v>45682</v>
      </c>
      <c r="B1682" s="11" t="s">
        <v>376</v>
      </c>
      <c r="C1682" s="11" t="s">
        <v>3682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4440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9" t="s">
        <v>26</v>
      </c>
      <c r="AA1682" s="12" t="s">
        <v>31</v>
      </c>
    </row>
    <row r="1683" spans="1:27" x14ac:dyDescent="0.25">
      <c r="A1683" s="10">
        <v>45682</v>
      </c>
      <c r="B1683" s="11" t="s">
        <v>2523</v>
      </c>
      <c r="C1683" s="11" t="s">
        <v>3683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9" t="s">
        <v>26</v>
      </c>
      <c r="AA1683" s="12" t="s">
        <v>31</v>
      </c>
    </row>
    <row r="1684" spans="1:27" x14ac:dyDescent="0.25">
      <c r="A1684" s="10">
        <v>45682</v>
      </c>
      <c r="B1684" s="11" t="s">
        <v>3684</v>
      </c>
      <c r="C1684" s="11" t="s">
        <v>3685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9" t="s">
        <v>26</v>
      </c>
      <c r="AA1684" s="12" t="s">
        <v>31</v>
      </c>
    </row>
    <row r="1685" spans="1:27" x14ac:dyDescent="0.25">
      <c r="A1685" s="10">
        <v>45682</v>
      </c>
      <c r="B1685" s="11" t="s">
        <v>395</v>
      </c>
      <c r="C1685" s="11" t="s">
        <v>3686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4465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9" t="s">
        <v>26</v>
      </c>
      <c r="AA1685" s="12" t="s">
        <v>31</v>
      </c>
    </row>
    <row r="1686" spans="1:27" x14ac:dyDescent="0.25">
      <c r="A1686" s="10">
        <v>45682</v>
      </c>
      <c r="B1686" s="11" t="s">
        <v>381</v>
      </c>
      <c r="C1686" s="11" t="s">
        <v>3687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4463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9" t="s">
        <v>26</v>
      </c>
      <c r="AA1686" s="12" t="s">
        <v>31</v>
      </c>
    </row>
    <row r="1687" spans="1:27" x14ac:dyDescent="0.25">
      <c r="A1687" s="10">
        <v>45682</v>
      </c>
      <c r="B1687" s="11" t="s">
        <v>731</v>
      </c>
      <c r="C1687" s="11" t="s">
        <v>3688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9" t="s">
        <v>26</v>
      </c>
      <c r="AA1687" s="12" t="s">
        <v>31</v>
      </c>
    </row>
    <row r="1688" spans="1:27" x14ac:dyDescent="0.25">
      <c r="A1688" s="10">
        <v>45684</v>
      </c>
      <c r="B1688" s="11" t="s">
        <v>290</v>
      </c>
      <c r="C1688" s="11" t="s">
        <v>3689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4465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9" t="s">
        <v>26</v>
      </c>
      <c r="AA1688" s="12" t="s">
        <v>31</v>
      </c>
    </row>
    <row r="1689" spans="1:27" x14ac:dyDescent="0.25">
      <c r="A1689" s="10">
        <v>45684</v>
      </c>
      <c r="B1689" s="11" t="s">
        <v>3690</v>
      </c>
      <c r="C1689" s="11" t="s">
        <v>3691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4465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9" t="s">
        <v>26</v>
      </c>
      <c r="AA1689" s="12" t="s">
        <v>31</v>
      </c>
    </row>
    <row r="1690" spans="1:27" x14ac:dyDescent="0.25">
      <c r="A1690" s="10">
        <v>45684</v>
      </c>
      <c r="B1690" s="11" t="s">
        <v>186</v>
      </c>
      <c r="C1690" s="11" t="s">
        <v>3692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4439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9" t="s">
        <v>41</v>
      </c>
      <c r="AA1690" s="12" t="s">
        <v>78</v>
      </c>
    </row>
    <row r="1691" spans="1:27" x14ac:dyDescent="0.25">
      <c r="A1691" s="10">
        <v>45684</v>
      </c>
      <c r="B1691" s="11" t="s">
        <v>3693</v>
      </c>
      <c r="C1691" s="11" t="s">
        <v>3694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4465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9" t="s">
        <v>26</v>
      </c>
      <c r="AA1691" s="12" t="s">
        <v>31</v>
      </c>
    </row>
    <row r="1692" spans="1:27" x14ac:dyDescent="0.25">
      <c r="A1692" s="10">
        <v>45684</v>
      </c>
      <c r="B1692" s="11" t="s">
        <v>673</v>
      </c>
      <c r="C1692" s="11" t="s">
        <v>3695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4439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9" t="s">
        <v>141</v>
      </c>
      <c r="AA1692" s="12" t="s">
        <v>78</v>
      </c>
    </row>
    <row r="1693" spans="1:27" x14ac:dyDescent="0.25">
      <c r="A1693" s="10">
        <v>45684</v>
      </c>
      <c r="B1693" s="11" t="s">
        <v>3000</v>
      </c>
      <c r="C1693" s="11" t="s">
        <v>3696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4463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9" t="s">
        <v>26</v>
      </c>
      <c r="AA1693" s="12" t="s">
        <v>31</v>
      </c>
    </row>
    <row r="1694" spans="1:27" x14ac:dyDescent="0.25">
      <c r="A1694" s="10">
        <v>45684</v>
      </c>
      <c r="B1694" s="11" t="s">
        <v>3697</v>
      </c>
      <c r="C1694" s="11" t="s">
        <v>3698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4439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9" t="s">
        <v>141</v>
      </c>
      <c r="AA1694" s="12" t="s">
        <v>78</v>
      </c>
    </row>
    <row r="1695" spans="1:27" x14ac:dyDescent="0.25">
      <c r="A1695" s="10">
        <v>45684</v>
      </c>
      <c r="B1695" s="11" t="s">
        <v>3699</v>
      </c>
      <c r="C1695" s="11" t="s">
        <v>3700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4439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9" t="s">
        <v>141</v>
      </c>
      <c r="AA1695" s="12" t="s">
        <v>78</v>
      </c>
    </row>
    <row r="1696" spans="1:27" x14ac:dyDescent="0.25">
      <c r="A1696" s="10">
        <v>45684</v>
      </c>
      <c r="B1696" s="11" t="s">
        <v>3701</v>
      </c>
      <c r="C1696" s="11" t="s">
        <v>3702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4465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9" t="s">
        <v>26</v>
      </c>
      <c r="AA1696" s="12" t="s">
        <v>31</v>
      </c>
    </row>
    <row r="1697" spans="1:27" x14ac:dyDescent="0.25">
      <c r="A1697" s="10">
        <v>45684</v>
      </c>
      <c r="B1697" s="11" t="s">
        <v>3703</v>
      </c>
      <c r="C1697" s="11" t="s">
        <v>3704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4439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9" t="s">
        <v>141</v>
      </c>
      <c r="AA1697" s="12" t="s">
        <v>78</v>
      </c>
    </row>
    <row r="1698" spans="1:27" x14ac:dyDescent="0.25">
      <c r="A1698" s="10">
        <v>45684</v>
      </c>
      <c r="B1698" s="11" t="s">
        <v>2644</v>
      </c>
      <c r="C1698" s="11" t="s">
        <v>3705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9" t="s">
        <v>26</v>
      </c>
      <c r="AA1698" s="12" t="s">
        <v>31</v>
      </c>
    </row>
    <row r="1699" spans="1:27" x14ac:dyDescent="0.25">
      <c r="A1699" s="10">
        <v>45684</v>
      </c>
      <c r="B1699" s="11" t="s">
        <v>3706</v>
      </c>
      <c r="C1699" s="11" t="s">
        <v>3707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4440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9" t="s">
        <v>26</v>
      </c>
      <c r="AA1699" s="12" t="s">
        <v>31</v>
      </c>
    </row>
    <row r="1700" spans="1:27" x14ac:dyDescent="0.25">
      <c r="A1700" s="10">
        <v>45684</v>
      </c>
      <c r="B1700" s="11" t="s">
        <v>3708</v>
      </c>
      <c r="C1700" s="11" t="s">
        <v>3709</v>
      </c>
      <c r="D1700" s="11" t="s">
        <v>26</v>
      </c>
      <c r="E1700" s="11" t="s">
        <v>2126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9" t="s">
        <v>26</v>
      </c>
      <c r="AA1700" s="12" t="s">
        <v>31</v>
      </c>
    </row>
    <row r="1701" spans="1:27" x14ac:dyDescent="0.25">
      <c r="A1701" s="10">
        <v>45684</v>
      </c>
      <c r="B1701" s="11" t="s">
        <v>3710</v>
      </c>
      <c r="C1701" s="11" t="s">
        <v>3711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9" t="s">
        <v>26</v>
      </c>
      <c r="AA1701" s="12" t="s">
        <v>31</v>
      </c>
    </row>
    <row r="1702" spans="1:27" x14ac:dyDescent="0.25">
      <c r="A1702" s="10">
        <v>45684</v>
      </c>
      <c r="B1702" s="11" t="s">
        <v>615</v>
      </c>
      <c r="C1702" s="11" t="s">
        <v>3712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9" t="s">
        <v>26</v>
      </c>
      <c r="AA1702" s="12" t="s">
        <v>31</v>
      </c>
    </row>
    <row r="1703" spans="1:27" x14ac:dyDescent="0.25">
      <c r="A1703" s="10">
        <v>45684</v>
      </c>
      <c r="B1703" s="11" t="s">
        <v>3713</v>
      </c>
      <c r="C1703" s="11" t="s">
        <v>3714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9" t="s">
        <v>26</v>
      </c>
      <c r="AA1703" s="12" t="s">
        <v>31</v>
      </c>
    </row>
    <row r="1704" spans="1:27" x14ac:dyDescent="0.25">
      <c r="A1704" s="10">
        <v>45684</v>
      </c>
      <c r="B1704" s="11" t="s">
        <v>3715</v>
      </c>
      <c r="C1704" s="11" t="s">
        <v>3716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4439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9" t="s">
        <v>41</v>
      </c>
      <c r="AA1704" s="12" t="s">
        <v>78</v>
      </c>
    </row>
    <row r="1705" spans="1:27" x14ac:dyDescent="0.25">
      <c r="A1705" s="10">
        <v>45684</v>
      </c>
      <c r="B1705" s="11" t="s">
        <v>3717</v>
      </c>
      <c r="C1705" s="11" t="s">
        <v>3718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4465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9" t="s">
        <v>26</v>
      </c>
      <c r="AA1705" s="12" t="s">
        <v>31</v>
      </c>
    </row>
    <row r="1706" spans="1:27" x14ac:dyDescent="0.25">
      <c r="A1706" s="10">
        <v>45684</v>
      </c>
      <c r="B1706" s="11" t="s">
        <v>2336</v>
      </c>
      <c r="C1706" s="11" t="s">
        <v>3719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4439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9" t="s">
        <v>41</v>
      </c>
      <c r="AA1706" s="12" t="s">
        <v>78</v>
      </c>
    </row>
    <row r="1707" spans="1:27" x14ac:dyDescent="0.25">
      <c r="A1707" s="10">
        <v>45684</v>
      </c>
      <c r="B1707" s="11" t="s">
        <v>3720</v>
      </c>
      <c r="C1707" s="11" t="s">
        <v>3721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9" t="s">
        <v>26</v>
      </c>
      <c r="AA1707" s="12" t="s">
        <v>31</v>
      </c>
    </row>
    <row r="1708" spans="1:27" x14ac:dyDescent="0.25">
      <c r="A1708" s="10">
        <v>45684</v>
      </c>
      <c r="B1708" s="11" t="s">
        <v>3722</v>
      </c>
      <c r="C1708" s="11" t="s">
        <v>3723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4439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9" t="s">
        <v>141</v>
      </c>
      <c r="AA1708" s="12" t="s">
        <v>78</v>
      </c>
    </row>
    <row r="1709" spans="1:27" x14ac:dyDescent="0.25">
      <c r="A1709" s="10">
        <v>45684</v>
      </c>
      <c r="B1709" s="11" t="s">
        <v>359</v>
      </c>
      <c r="C1709" s="11" t="s">
        <v>3724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4465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9" t="s">
        <v>26</v>
      </c>
      <c r="AA1709" s="12" t="s">
        <v>31</v>
      </c>
    </row>
    <row r="1710" spans="1:27" x14ac:dyDescent="0.25">
      <c r="A1710" s="10">
        <v>45684</v>
      </c>
      <c r="B1710" s="11" t="s">
        <v>3725</v>
      </c>
      <c r="C1710" s="11" t="s">
        <v>3726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9" t="s">
        <v>26</v>
      </c>
      <c r="AA1710" s="12" t="s">
        <v>31</v>
      </c>
    </row>
    <row r="1711" spans="1:27" x14ac:dyDescent="0.25">
      <c r="A1711" s="10">
        <v>45684</v>
      </c>
      <c r="B1711" s="11" t="s">
        <v>254</v>
      </c>
      <c r="C1711" s="11" t="s">
        <v>3727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9" t="s">
        <v>26</v>
      </c>
      <c r="AA1711" s="12" t="s">
        <v>31</v>
      </c>
    </row>
    <row r="1712" spans="1:27" x14ac:dyDescent="0.25">
      <c r="A1712" s="10">
        <v>45684</v>
      </c>
      <c r="B1712" s="11" t="s">
        <v>3728</v>
      </c>
      <c r="C1712" s="11" t="s">
        <v>3729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9" t="s">
        <v>41</v>
      </c>
      <c r="AA1712" s="12" t="s">
        <v>79</v>
      </c>
    </row>
    <row r="1713" spans="1:27" x14ac:dyDescent="0.25">
      <c r="A1713" s="10">
        <v>45684</v>
      </c>
      <c r="B1713" s="11" t="s">
        <v>3730</v>
      </c>
      <c r="C1713" s="11" t="s">
        <v>3731</v>
      </c>
      <c r="D1713" s="11" t="s">
        <v>26</v>
      </c>
      <c r="E1713" s="11" t="s">
        <v>702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9" t="s">
        <v>26</v>
      </c>
      <c r="AA1713" s="12" t="s">
        <v>31</v>
      </c>
    </row>
    <row r="1714" spans="1:27" x14ac:dyDescent="0.25">
      <c r="A1714" s="10">
        <v>45684</v>
      </c>
      <c r="B1714" s="11" t="s">
        <v>3732</v>
      </c>
      <c r="C1714" s="11" t="s">
        <v>3733</v>
      </c>
      <c r="D1714" s="11" t="s">
        <v>26</v>
      </c>
      <c r="E1714" s="11" t="s">
        <v>1217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9" t="s">
        <v>26</v>
      </c>
      <c r="AA1714" s="12" t="s">
        <v>31</v>
      </c>
    </row>
    <row r="1715" spans="1:27" x14ac:dyDescent="0.25">
      <c r="A1715" s="10">
        <v>45684</v>
      </c>
      <c r="B1715" s="11" t="s">
        <v>3734</v>
      </c>
      <c r="C1715" s="11" t="s">
        <v>3735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4463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9" t="s">
        <v>26</v>
      </c>
      <c r="AA1715" s="12" t="s">
        <v>31</v>
      </c>
    </row>
    <row r="1716" spans="1:27" x14ac:dyDescent="0.25">
      <c r="A1716" s="10">
        <v>45684</v>
      </c>
      <c r="B1716" s="11" t="s">
        <v>250</v>
      </c>
      <c r="C1716" s="11" t="s">
        <v>3736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9" t="s">
        <v>26</v>
      </c>
      <c r="AA1716" s="12" t="s">
        <v>31</v>
      </c>
    </row>
    <row r="1717" spans="1:27" x14ac:dyDescent="0.25">
      <c r="A1717" s="10">
        <v>45684</v>
      </c>
      <c r="B1717" s="11" t="s">
        <v>277</v>
      </c>
      <c r="C1717" s="11" t="s">
        <v>3737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9" t="s">
        <v>26</v>
      </c>
      <c r="AA1717" s="12" t="s">
        <v>31</v>
      </c>
    </row>
    <row r="1718" spans="1:27" x14ac:dyDescent="0.25">
      <c r="A1718" s="10">
        <v>45684</v>
      </c>
      <c r="B1718" s="11" t="s">
        <v>3738</v>
      </c>
      <c r="C1718" s="11" t="s">
        <v>3739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4440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9" t="s">
        <v>26</v>
      </c>
      <c r="AA1718" s="12" t="s">
        <v>31</v>
      </c>
    </row>
    <row r="1719" spans="1:27" x14ac:dyDescent="0.25">
      <c r="A1719" s="10">
        <v>45684</v>
      </c>
      <c r="B1719" s="11" t="s">
        <v>3740</v>
      </c>
      <c r="C1719" s="11" t="s">
        <v>3741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9" t="s">
        <v>26</v>
      </c>
      <c r="AA1719" s="12" t="s">
        <v>31</v>
      </c>
    </row>
    <row r="1720" spans="1:27" x14ac:dyDescent="0.25">
      <c r="A1720" s="10">
        <v>45684</v>
      </c>
      <c r="B1720" s="11" t="s">
        <v>631</v>
      </c>
      <c r="C1720" s="11" t="s">
        <v>3742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9" t="s">
        <v>26</v>
      </c>
      <c r="AA1720" s="12" t="s">
        <v>31</v>
      </c>
    </row>
    <row r="1721" spans="1:27" x14ac:dyDescent="0.25">
      <c r="A1721" s="10">
        <v>45684</v>
      </c>
      <c r="B1721" s="11" t="s">
        <v>3743</v>
      </c>
      <c r="C1721" s="11" t="s">
        <v>3744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9" t="s">
        <v>26</v>
      </c>
      <c r="AA1721" s="12" t="s">
        <v>31</v>
      </c>
    </row>
    <row r="1722" spans="1:27" x14ac:dyDescent="0.25">
      <c r="A1722" s="10">
        <v>45684</v>
      </c>
      <c r="B1722" s="11" t="s">
        <v>3677</v>
      </c>
      <c r="C1722" s="11" t="s">
        <v>3745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4466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9" t="s">
        <v>26</v>
      </c>
      <c r="AA1722" s="12" t="s">
        <v>31</v>
      </c>
    </row>
    <row r="1723" spans="1:27" x14ac:dyDescent="0.25">
      <c r="A1723" s="10">
        <v>45684</v>
      </c>
      <c r="B1723" s="11" t="s">
        <v>3746</v>
      </c>
      <c r="C1723" s="11" t="s">
        <v>3747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9" t="s">
        <v>26</v>
      </c>
      <c r="AA1723" s="12" t="s">
        <v>31</v>
      </c>
    </row>
    <row r="1724" spans="1:27" x14ac:dyDescent="0.25">
      <c r="A1724" s="10">
        <v>45684</v>
      </c>
      <c r="B1724" s="11" t="s">
        <v>174</v>
      </c>
      <c r="C1724" s="11" t="s">
        <v>3748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9" t="s">
        <v>26</v>
      </c>
      <c r="AA1724" s="12" t="s">
        <v>31</v>
      </c>
    </row>
    <row r="1725" spans="1:27" x14ac:dyDescent="0.25">
      <c r="A1725" s="10">
        <v>45684</v>
      </c>
      <c r="B1725" s="11" t="s">
        <v>333</v>
      </c>
      <c r="C1725" s="11" t="s">
        <v>3749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4463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9" t="s">
        <v>26</v>
      </c>
      <c r="AA1725" s="12" t="s">
        <v>31</v>
      </c>
    </row>
    <row r="1726" spans="1:27" x14ac:dyDescent="0.25">
      <c r="A1726" s="10">
        <v>45684</v>
      </c>
      <c r="B1726" s="11" t="s">
        <v>318</v>
      </c>
      <c r="C1726" s="11" t="s">
        <v>3750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9" t="s">
        <v>26</v>
      </c>
      <c r="AA1726" s="12" t="s">
        <v>31</v>
      </c>
    </row>
    <row r="1727" spans="1:27" x14ac:dyDescent="0.25">
      <c r="A1727" s="10">
        <v>45684</v>
      </c>
      <c r="B1727" s="11" t="s">
        <v>3751</v>
      </c>
      <c r="C1727" s="11" t="s">
        <v>3752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4440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9" t="s">
        <v>26</v>
      </c>
      <c r="AA1727" s="12" t="s">
        <v>31</v>
      </c>
    </row>
    <row r="1728" spans="1:27" x14ac:dyDescent="0.25">
      <c r="A1728" s="10">
        <v>45684</v>
      </c>
      <c r="B1728" s="11" t="s">
        <v>3519</v>
      </c>
      <c r="C1728" s="11" t="s">
        <v>3753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4466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9" t="s">
        <v>26</v>
      </c>
      <c r="AA1728" s="12" t="s">
        <v>31</v>
      </c>
    </row>
    <row r="1729" spans="1:27" x14ac:dyDescent="0.25">
      <c r="A1729" s="10">
        <v>45684</v>
      </c>
      <c r="B1729" s="11" t="s">
        <v>3754</v>
      </c>
      <c r="C1729" s="11" t="s">
        <v>3755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4440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9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3756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9" t="s">
        <v>26</v>
      </c>
      <c r="AA1730" s="12" t="s">
        <v>31</v>
      </c>
    </row>
    <row r="1731" spans="1:27" x14ac:dyDescent="0.25">
      <c r="A1731" s="10">
        <v>45684</v>
      </c>
      <c r="B1731" s="11" t="s">
        <v>3757</v>
      </c>
      <c r="C1731" s="11" t="s">
        <v>3758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4439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9" t="s">
        <v>141</v>
      </c>
      <c r="AA1731" s="12" t="s">
        <v>78</v>
      </c>
    </row>
    <row r="1732" spans="1:27" x14ac:dyDescent="0.25">
      <c r="A1732" s="10">
        <v>45684</v>
      </c>
      <c r="B1732" s="11" t="s">
        <v>3759</v>
      </c>
      <c r="C1732" s="11" t="s">
        <v>3760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9" t="s">
        <v>26</v>
      </c>
      <c r="AA1732" s="12" t="s">
        <v>31</v>
      </c>
    </row>
    <row r="1733" spans="1:27" x14ac:dyDescent="0.25">
      <c r="A1733" s="10">
        <v>45684</v>
      </c>
      <c r="B1733" s="11" t="s">
        <v>3761</v>
      </c>
      <c r="C1733" s="11" t="s">
        <v>3762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4439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9" t="s">
        <v>141</v>
      </c>
      <c r="AA1733" s="12" t="s">
        <v>78</v>
      </c>
    </row>
    <row r="1734" spans="1:27" x14ac:dyDescent="0.25">
      <c r="A1734" s="10">
        <v>45684</v>
      </c>
      <c r="B1734" s="11" t="s">
        <v>3763</v>
      </c>
      <c r="C1734" s="11" t="s">
        <v>3764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9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3765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9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3766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9" t="s">
        <v>26</v>
      </c>
      <c r="AA1736" s="12" t="s">
        <v>31</v>
      </c>
    </row>
    <row r="1737" spans="1:27" x14ac:dyDescent="0.25">
      <c r="A1737" s="10">
        <v>45684</v>
      </c>
      <c r="B1737" s="11" t="s">
        <v>3767</v>
      </c>
      <c r="C1737" s="11" t="s">
        <v>3768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9" t="s">
        <v>26</v>
      </c>
      <c r="AA1737" s="12" t="s">
        <v>31</v>
      </c>
    </row>
    <row r="1738" spans="1:27" x14ac:dyDescent="0.25">
      <c r="A1738" s="10">
        <v>45684</v>
      </c>
      <c r="B1738" s="11" t="s">
        <v>410</v>
      </c>
      <c r="C1738" s="11" t="s">
        <v>3769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9" t="s">
        <v>26</v>
      </c>
      <c r="AA1738" s="12" t="s">
        <v>31</v>
      </c>
    </row>
    <row r="1739" spans="1:27" x14ac:dyDescent="0.25">
      <c r="A1739" s="10">
        <v>45684</v>
      </c>
      <c r="B1739" s="11" t="s">
        <v>1116</v>
      </c>
      <c r="C1739" s="11" t="s">
        <v>3770</v>
      </c>
      <c r="D1739" s="11" t="s">
        <v>26</v>
      </c>
      <c r="E1739" s="11" t="s">
        <v>702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9" t="s">
        <v>26</v>
      </c>
      <c r="AA1739" s="12" t="s">
        <v>31</v>
      </c>
    </row>
    <row r="1740" spans="1:27" x14ac:dyDescent="0.25">
      <c r="A1740" s="10">
        <v>45684</v>
      </c>
      <c r="B1740" s="11" t="s">
        <v>2243</v>
      </c>
      <c r="C1740" s="11" t="s">
        <v>3771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9" t="s">
        <v>26</v>
      </c>
      <c r="AA1740" s="12" t="s">
        <v>31</v>
      </c>
    </row>
    <row r="1741" spans="1:27" x14ac:dyDescent="0.25">
      <c r="A1741" s="10">
        <v>45684</v>
      </c>
      <c r="B1741" s="11" t="s">
        <v>234</v>
      </c>
      <c r="C1741" s="11" t="s">
        <v>3772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9" t="s">
        <v>26</v>
      </c>
      <c r="AA1741" s="12" t="s">
        <v>31</v>
      </c>
    </row>
    <row r="1742" spans="1:27" x14ac:dyDescent="0.25">
      <c r="A1742" s="10">
        <v>45684</v>
      </c>
      <c r="B1742" s="11" t="s">
        <v>3773</v>
      </c>
      <c r="C1742" s="11" t="s">
        <v>3774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9" t="s">
        <v>26</v>
      </c>
      <c r="AA1742" s="12" t="s">
        <v>31</v>
      </c>
    </row>
    <row r="1743" spans="1:27" x14ac:dyDescent="0.25">
      <c r="A1743" s="10">
        <v>45684</v>
      </c>
      <c r="B1743" s="11" t="s">
        <v>3775</v>
      </c>
      <c r="C1743" s="11" t="s">
        <v>3776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4439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9" t="s">
        <v>41</v>
      </c>
      <c r="AA1743" s="12" t="s">
        <v>78</v>
      </c>
    </row>
    <row r="1744" spans="1:27" x14ac:dyDescent="0.25">
      <c r="A1744" s="10">
        <v>45684</v>
      </c>
      <c r="B1744" s="11" t="s">
        <v>632</v>
      </c>
      <c r="C1744" s="11" t="s">
        <v>3777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4465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9" t="s">
        <v>26</v>
      </c>
      <c r="AA1744" s="12" t="s">
        <v>31</v>
      </c>
    </row>
    <row r="1745" spans="1:27" x14ac:dyDescent="0.25">
      <c r="A1745" s="10">
        <v>45684</v>
      </c>
      <c r="B1745" s="11" t="s">
        <v>3778</v>
      </c>
      <c r="C1745" s="11" t="s">
        <v>3779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9" t="s">
        <v>26</v>
      </c>
      <c r="AA1745" s="12" t="s">
        <v>31</v>
      </c>
    </row>
    <row r="1746" spans="1:27" x14ac:dyDescent="0.25">
      <c r="A1746" s="10">
        <v>45684</v>
      </c>
      <c r="B1746" s="11" t="s">
        <v>362</v>
      </c>
      <c r="C1746" s="11" t="s">
        <v>3780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9" t="s">
        <v>26</v>
      </c>
      <c r="AA1746" s="12" t="s">
        <v>31</v>
      </c>
    </row>
    <row r="1747" spans="1:27" x14ac:dyDescent="0.25">
      <c r="A1747" s="10">
        <v>45684</v>
      </c>
      <c r="B1747" s="11" t="s">
        <v>3781</v>
      </c>
      <c r="C1747" s="11" t="s">
        <v>3782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4440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9" t="s">
        <v>26</v>
      </c>
      <c r="AA1747" s="12" t="s">
        <v>31</v>
      </c>
    </row>
    <row r="1748" spans="1:27" x14ac:dyDescent="0.25">
      <c r="A1748" s="10">
        <v>45684</v>
      </c>
      <c r="B1748" s="11" t="s">
        <v>279</v>
      </c>
      <c r="C1748" s="11" t="s">
        <v>3783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9" t="s">
        <v>26</v>
      </c>
      <c r="AA1748" s="12" t="s">
        <v>31</v>
      </c>
    </row>
    <row r="1749" spans="1:27" x14ac:dyDescent="0.25">
      <c r="A1749" s="10">
        <v>45684</v>
      </c>
      <c r="B1749" s="11" t="s">
        <v>455</v>
      </c>
      <c r="C1749" s="11" t="s">
        <v>3784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4466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9" t="s">
        <v>26</v>
      </c>
      <c r="AA1749" s="12" t="s">
        <v>31</v>
      </c>
    </row>
    <row r="1750" spans="1:27" x14ac:dyDescent="0.25">
      <c r="A1750" s="10">
        <v>45684</v>
      </c>
      <c r="B1750" s="11" t="s">
        <v>3785</v>
      </c>
      <c r="C1750" s="11" t="s">
        <v>3786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4463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9" t="s">
        <v>26</v>
      </c>
      <c r="AA1750" s="12" t="s">
        <v>31</v>
      </c>
    </row>
    <row r="1751" spans="1:27" x14ac:dyDescent="0.25">
      <c r="A1751" s="10">
        <v>45684</v>
      </c>
      <c r="B1751" s="11" t="s">
        <v>3601</v>
      </c>
      <c r="C1751" s="11" t="s">
        <v>3787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9" t="s">
        <v>26</v>
      </c>
      <c r="AA1751" s="12" t="s">
        <v>31</v>
      </c>
    </row>
    <row r="1752" spans="1:27" x14ac:dyDescent="0.25">
      <c r="A1752" s="10">
        <v>45684</v>
      </c>
      <c r="B1752" s="11" t="s">
        <v>639</v>
      </c>
      <c r="C1752" s="11" t="s">
        <v>3788</v>
      </c>
      <c r="D1752" s="11" t="s">
        <v>26</v>
      </c>
      <c r="E1752" s="11" t="s">
        <v>1217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9" t="s">
        <v>26</v>
      </c>
      <c r="AA1752" s="12" t="s">
        <v>31</v>
      </c>
    </row>
    <row r="1753" spans="1:27" x14ac:dyDescent="0.25">
      <c r="A1753" s="10">
        <v>45684</v>
      </c>
      <c r="B1753" s="11" t="s">
        <v>354</v>
      </c>
      <c r="C1753" s="11" t="s">
        <v>3789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4463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9" t="s">
        <v>26</v>
      </c>
      <c r="AA1753" s="12" t="s">
        <v>31</v>
      </c>
    </row>
    <row r="1754" spans="1:27" x14ac:dyDescent="0.25">
      <c r="A1754" s="10">
        <v>45684</v>
      </c>
      <c r="B1754" s="11" t="s">
        <v>361</v>
      </c>
      <c r="C1754" s="11" t="s">
        <v>3790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9" t="s">
        <v>26</v>
      </c>
      <c r="AA1754" s="12" t="s">
        <v>31</v>
      </c>
    </row>
    <row r="1755" spans="1:27" x14ac:dyDescent="0.25">
      <c r="A1755" s="10">
        <v>45684</v>
      </c>
      <c r="B1755" s="11" t="s">
        <v>3791</v>
      </c>
      <c r="C1755" s="11" t="s">
        <v>3792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4465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9" t="s">
        <v>26</v>
      </c>
      <c r="AA1755" s="12" t="s">
        <v>31</v>
      </c>
    </row>
    <row r="1756" spans="1:27" x14ac:dyDescent="0.25">
      <c r="A1756" s="10">
        <v>45684</v>
      </c>
      <c r="B1756" s="11" t="s">
        <v>3793</v>
      </c>
      <c r="C1756" s="11" t="s">
        <v>3794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4465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9" t="s">
        <v>26</v>
      </c>
      <c r="AA1756" s="12" t="s">
        <v>31</v>
      </c>
    </row>
    <row r="1757" spans="1:27" x14ac:dyDescent="0.25">
      <c r="A1757" s="10">
        <v>45684</v>
      </c>
      <c r="B1757" s="11" t="s">
        <v>3795</v>
      </c>
      <c r="C1757" s="11" t="s">
        <v>3796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9" t="s">
        <v>26</v>
      </c>
      <c r="AA1757" s="12" t="s">
        <v>31</v>
      </c>
    </row>
    <row r="1758" spans="1:27" x14ac:dyDescent="0.25">
      <c r="A1758" s="10">
        <v>45684</v>
      </c>
      <c r="B1758" s="11" t="s">
        <v>735</v>
      </c>
      <c r="C1758" s="11" t="s">
        <v>3797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4466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9" t="s">
        <v>26</v>
      </c>
      <c r="AA1758" s="12" t="s">
        <v>31</v>
      </c>
    </row>
    <row r="1759" spans="1:27" x14ac:dyDescent="0.25">
      <c r="A1759" s="10">
        <v>45684</v>
      </c>
      <c r="B1759" s="11" t="s">
        <v>3798</v>
      </c>
      <c r="C1759" s="11" t="s">
        <v>3799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4440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9" t="s">
        <v>26</v>
      </c>
      <c r="AA1759" s="12" t="s">
        <v>31</v>
      </c>
    </row>
    <row r="1760" spans="1:27" x14ac:dyDescent="0.25">
      <c r="A1760" s="10">
        <v>45684</v>
      </c>
      <c r="B1760" s="11" t="s">
        <v>611</v>
      </c>
      <c r="C1760" s="11" t="s">
        <v>3800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4465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9" t="s">
        <v>26</v>
      </c>
      <c r="AA1760" s="12" t="s">
        <v>31</v>
      </c>
    </row>
    <row r="1761" spans="1:27" x14ac:dyDescent="0.25">
      <c r="A1761" s="10">
        <v>45684</v>
      </c>
      <c r="B1761" s="11" t="s">
        <v>1596</v>
      </c>
      <c r="C1761" s="11" t="s">
        <v>3801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9" t="s">
        <v>41</v>
      </c>
      <c r="AA1761" s="12" t="s">
        <v>79</v>
      </c>
    </row>
    <row r="1762" spans="1:27" x14ac:dyDescent="0.25">
      <c r="A1762" s="10">
        <v>45684</v>
      </c>
      <c r="B1762" s="11" t="s">
        <v>709</v>
      </c>
      <c r="C1762" s="11" t="s">
        <v>3802</v>
      </c>
      <c r="D1762" s="11" t="s">
        <v>26</v>
      </c>
      <c r="E1762" s="11" t="s">
        <v>3803</v>
      </c>
      <c r="F1762" s="11" t="s">
        <v>26</v>
      </c>
      <c r="G1762" s="11">
        <v>24325</v>
      </c>
      <c r="H1762" s="12" t="s">
        <v>4465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9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3804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9" t="s">
        <v>26</v>
      </c>
      <c r="AA1763" s="12" t="s">
        <v>31</v>
      </c>
    </row>
    <row r="1764" spans="1:27" x14ac:dyDescent="0.25">
      <c r="A1764" s="10">
        <v>45684</v>
      </c>
      <c r="B1764" s="11" t="s">
        <v>1272</v>
      </c>
      <c r="C1764" s="11" t="s">
        <v>3805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4465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9" t="s">
        <v>26</v>
      </c>
      <c r="AA1764" s="12" t="s">
        <v>31</v>
      </c>
    </row>
    <row r="1765" spans="1:27" x14ac:dyDescent="0.25">
      <c r="A1765" s="10">
        <v>45684</v>
      </c>
      <c r="B1765" s="11" t="s">
        <v>187</v>
      </c>
      <c r="C1765" s="11" t="s">
        <v>3806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9" t="s">
        <v>26</v>
      </c>
      <c r="AA1765" s="12" t="s">
        <v>31</v>
      </c>
    </row>
    <row r="1766" spans="1:27" x14ac:dyDescent="0.25">
      <c r="A1766" s="10">
        <v>45684</v>
      </c>
      <c r="B1766" s="11" t="s">
        <v>680</v>
      </c>
      <c r="C1766" s="11" t="s">
        <v>3807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9" t="s">
        <v>41</v>
      </c>
      <c r="AA1766" s="12" t="s">
        <v>79</v>
      </c>
    </row>
    <row r="1767" spans="1:27" x14ac:dyDescent="0.25">
      <c r="A1767" s="10">
        <v>45684</v>
      </c>
      <c r="B1767" s="11" t="s">
        <v>3808</v>
      </c>
      <c r="C1767" s="11" t="s">
        <v>3809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9" t="s">
        <v>26</v>
      </c>
      <c r="AA1767" s="12" t="s">
        <v>31</v>
      </c>
    </row>
    <row r="1768" spans="1:27" x14ac:dyDescent="0.25">
      <c r="A1768" s="10">
        <v>45684</v>
      </c>
      <c r="B1768" s="11" t="s">
        <v>617</v>
      </c>
      <c r="C1768" s="11" t="s">
        <v>3810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9" t="s">
        <v>26</v>
      </c>
      <c r="AA1768" s="12" t="s">
        <v>31</v>
      </c>
    </row>
    <row r="1769" spans="1:27" x14ac:dyDescent="0.25">
      <c r="A1769" s="10">
        <v>45684</v>
      </c>
      <c r="B1769" s="11" t="s">
        <v>661</v>
      </c>
      <c r="C1769" s="11" t="s">
        <v>3811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9" t="s">
        <v>26</v>
      </c>
      <c r="AA1769" s="12" t="s">
        <v>31</v>
      </c>
    </row>
    <row r="1770" spans="1:27" x14ac:dyDescent="0.25">
      <c r="A1770" s="10">
        <v>45684</v>
      </c>
      <c r="B1770" s="11" t="s">
        <v>3812</v>
      </c>
      <c r="C1770" s="11" t="s">
        <v>3813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4440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9" t="s">
        <v>26</v>
      </c>
      <c r="AA1770" s="12" t="s">
        <v>31</v>
      </c>
    </row>
    <row r="1771" spans="1:27" x14ac:dyDescent="0.25">
      <c r="A1771" s="10">
        <v>45684</v>
      </c>
      <c r="B1771" s="11" t="s">
        <v>278</v>
      </c>
      <c r="C1771" s="11" t="s">
        <v>3814</v>
      </c>
      <c r="D1771" s="11" t="s">
        <v>26</v>
      </c>
      <c r="E1771" s="11" t="s">
        <v>3654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9" t="s">
        <v>26</v>
      </c>
      <c r="AA1771" s="12" t="s">
        <v>31</v>
      </c>
    </row>
    <row r="1772" spans="1:27" x14ac:dyDescent="0.25">
      <c r="A1772" s="10">
        <v>45684</v>
      </c>
      <c r="B1772" s="11" t="s">
        <v>685</v>
      </c>
      <c r="C1772" s="11" t="s">
        <v>3815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4440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9" t="s">
        <v>26</v>
      </c>
      <c r="AA1772" s="12" t="s">
        <v>31</v>
      </c>
    </row>
    <row r="1773" spans="1:27" x14ac:dyDescent="0.25">
      <c r="A1773" s="10">
        <v>45684</v>
      </c>
      <c r="B1773" s="11" t="s">
        <v>3816</v>
      </c>
      <c r="C1773" s="11" t="s">
        <v>3817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9" t="s">
        <v>26</v>
      </c>
      <c r="AA1773" s="12" t="s">
        <v>31</v>
      </c>
    </row>
    <row r="1774" spans="1:27" x14ac:dyDescent="0.25">
      <c r="A1774" s="10">
        <v>45684</v>
      </c>
      <c r="B1774" s="11" t="s">
        <v>641</v>
      </c>
      <c r="C1774" s="11" t="s">
        <v>3818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9" t="s">
        <v>26</v>
      </c>
      <c r="AA1774" s="12" t="s">
        <v>31</v>
      </c>
    </row>
    <row r="1775" spans="1:27" x14ac:dyDescent="0.25">
      <c r="A1775" s="10">
        <v>45684</v>
      </c>
      <c r="B1775" s="11" t="s">
        <v>2781</v>
      </c>
      <c r="C1775" s="11" t="s">
        <v>3819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9" t="s">
        <v>26</v>
      </c>
      <c r="AA1775" s="12" t="s">
        <v>31</v>
      </c>
    </row>
    <row r="1776" spans="1:27" x14ac:dyDescent="0.25">
      <c r="A1776" s="10">
        <v>45684</v>
      </c>
      <c r="B1776" s="11" t="s">
        <v>1236</v>
      </c>
      <c r="C1776" s="11" t="s">
        <v>3820</v>
      </c>
      <c r="D1776" s="11" t="s">
        <v>26</v>
      </c>
      <c r="E1776" s="11" t="s">
        <v>2126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9" t="s">
        <v>26</v>
      </c>
      <c r="AA1776" s="12" t="s">
        <v>31</v>
      </c>
    </row>
    <row r="1777" spans="1:27" x14ac:dyDescent="0.25">
      <c r="A1777" s="10">
        <v>45684</v>
      </c>
      <c r="B1777" s="11" t="s">
        <v>3821</v>
      </c>
      <c r="C1777" s="11" t="s">
        <v>3822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9" t="s">
        <v>26</v>
      </c>
      <c r="AA1777" s="12" t="s">
        <v>31</v>
      </c>
    </row>
    <row r="1778" spans="1:27" x14ac:dyDescent="0.25">
      <c r="A1778" s="10">
        <v>45684</v>
      </c>
      <c r="B1778" s="11" t="s">
        <v>1070</v>
      </c>
      <c r="C1778" s="11" t="s">
        <v>3823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9" t="s">
        <v>26</v>
      </c>
      <c r="AA1778" s="12" t="s">
        <v>31</v>
      </c>
    </row>
    <row r="1779" spans="1:27" x14ac:dyDescent="0.25">
      <c r="A1779" s="10">
        <v>45684</v>
      </c>
      <c r="B1779" s="11" t="s">
        <v>3824</v>
      </c>
      <c r="C1779" s="11" t="s">
        <v>3825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9" t="s">
        <v>26</v>
      </c>
      <c r="AA1779" s="12" t="s">
        <v>31</v>
      </c>
    </row>
    <row r="1780" spans="1:27" x14ac:dyDescent="0.25">
      <c r="A1780" s="10">
        <v>45684</v>
      </c>
      <c r="B1780" s="11" t="s">
        <v>3826</v>
      </c>
      <c r="C1780" s="11" t="s">
        <v>3827</v>
      </c>
      <c r="D1780" s="11" t="s">
        <v>26</v>
      </c>
      <c r="E1780" s="11" t="s">
        <v>1217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9" t="s">
        <v>26</v>
      </c>
      <c r="AA1780" s="12" t="s">
        <v>31</v>
      </c>
    </row>
    <row r="1781" spans="1:27" x14ac:dyDescent="0.25">
      <c r="A1781" s="10">
        <v>45684</v>
      </c>
      <c r="B1781" s="11" t="s">
        <v>3828</v>
      </c>
      <c r="C1781" s="11" t="s">
        <v>3829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9" t="s">
        <v>26</v>
      </c>
      <c r="AA1781" s="12" t="s">
        <v>31</v>
      </c>
    </row>
    <row r="1782" spans="1:27" x14ac:dyDescent="0.25">
      <c r="A1782" s="10">
        <v>45684</v>
      </c>
      <c r="B1782" s="11" t="s">
        <v>3450</v>
      </c>
      <c r="C1782" s="11" t="s">
        <v>3830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9" t="s">
        <v>26</v>
      </c>
      <c r="AA1782" s="12" t="s">
        <v>31</v>
      </c>
    </row>
    <row r="1783" spans="1:27" x14ac:dyDescent="0.25">
      <c r="A1783" s="10">
        <v>45684</v>
      </c>
      <c r="B1783" s="11" t="s">
        <v>3831</v>
      </c>
      <c r="C1783" s="11" t="s">
        <v>3832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9" t="s">
        <v>26</v>
      </c>
      <c r="AA1783" s="12" t="s">
        <v>31</v>
      </c>
    </row>
    <row r="1784" spans="1:27" x14ac:dyDescent="0.25">
      <c r="A1784" s="10">
        <v>45684</v>
      </c>
      <c r="B1784" s="11" t="s">
        <v>3833</v>
      </c>
      <c r="C1784" s="11" t="s">
        <v>3834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9" t="s">
        <v>26</v>
      </c>
      <c r="AA1784" s="12" t="s">
        <v>31</v>
      </c>
    </row>
    <row r="1785" spans="1:27" x14ac:dyDescent="0.25">
      <c r="A1785" s="10">
        <v>45685</v>
      </c>
      <c r="B1785" s="11" t="s">
        <v>421</v>
      </c>
      <c r="C1785" s="11" t="s">
        <v>3835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4463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9" t="s">
        <v>26</v>
      </c>
      <c r="AA1785" s="12" t="s">
        <v>31</v>
      </c>
    </row>
    <row r="1786" spans="1:27" x14ac:dyDescent="0.25">
      <c r="A1786" s="10">
        <v>45685</v>
      </c>
      <c r="B1786" s="11" t="s">
        <v>234</v>
      </c>
      <c r="C1786" s="11" t="s">
        <v>3836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9" t="s">
        <v>26</v>
      </c>
      <c r="AA1786" s="12" t="s">
        <v>31</v>
      </c>
    </row>
    <row r="1787" spans="1:27" x14ac:dyDescent="0.25">
      <c r="A1787" s="10">
        <v>45685</v>
      </c>
      <c r="B1787" s="11" t="s">
        <v>1068</v>
      </c>
      <c r="C1787" s="11" t="s">
        <v>3837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4440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9" t="s">
        <v>26</v>
      </c>
      <c r="AA1787" s="12" t="s">
        <v>31</v>
      </c>
    </row>
    <row r="1788" spans="1:27" x14ac:dyDescent="0.25">
      <c r="A1788" s="10">
        <v>45685</v>
      </c>
      <c r="B1788" s="11" t="s">
        <v>3838</v>
      </c>
      <c r="C1788" s="11" t="s">
        <v>3839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9" t="s">
        <v>26</v>
      </c>
      <c r="AA1788" s="12" t="s">
        <v>31</v>
      </c>
    </row>
    <row r="1789" spans="1:27" x14ac:dyDescent="0.25">
      <c r="A1789" s="10">
        <v>45685</v>
      </c>
      <c r="B1789" s="11" t="s">
        <v>3840</v>
      </c>
      <c r="C1789" s="11" t="s">
        <v>3841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4439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9" t="s">
        <v>41</v>
      </c>
      <c r="AA1789" s="12" t="s">
        <v>78</v>
      </c>
    </row>
    <row r="1790" spans="1:27" x14ac:dyDescent="0.25">
      <c r="A1790" s="10">
        <v>45685</v>
      </c>
      <c r="B1790" s="11" t="s">
        <v>1330</v>
      </c>
      <c r="C1790" s="11" t="s">
        <v>3842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4439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9" t="s">
        <v>41</v>
      </c>
      <c r="AA1790" s="12" t="s">
        <v>78</v>
      </c>
    </row>
    <row r="1791" spans="1:27" x14ac:dyDescent="0.25">
      <c r="A1791" s="10">
        <v>45685</v>
      </c>
      <c r="B1791" s="11" t="s">
        <v>1137</v>
      </c>
      <c r="C1791" s="11" t="s">
        <v>3843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9" t="s">
        <v>26</v>
      </c>
      <c r="AA1791" s="12" t="s">
        <v>31</v>
      </c>
    </row>
    <row r="1792" spans="1:27" x14ac:dyDescent="0.25">
      <c r="A1792" s="10">
        <v>45685</v>
      </c>
      <c r="B1792" s="11" t="s">
        <v>3844</v>
      </c>
      <c r="C1792" s="11" t="s">
        <v>3845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9" t="s">
        <v>41</v>
      </c>
      <c r="AA1792" s="12" t="s">
        <v>79</v>
      </c>
    </row>
    <row r="1793" spans="1:27" x14ac:dyDescent="0.25">
      <c r="A1793" s="10">
        <v>45685</v>
      </c>
      <c r="B1793" s="11" t="s">
        <v>3846</v>
      </c>
      <c r="C1793" s="11" t="s">
        <v>3847</v>
      </c>
      <c r="D1793" s="11" t="s">
        <v>26</v>
      </c>
      <c r="E1793" s="11" t="s">
        <v>2126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9" t="s">
        <v>26</v>
      </c>
      <c r="AA1793" s="12" t="s">
        <v>31</v>
      </c>
    </row>
    <row r="1794" spans="1:27" x14ac:dyDescent="0.25">
      <c r="A1794" s="10">
        <v>45685</v>
      </c>
      <c r="B1794" s="11" t="s">
        <v>2993</v>
      </c>
      <c r="C1794" s="11" t="s">
        <v>3848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9" t="s">
        <v>26</v>
      </c>
      <c r="AA1794" s="12" t="s">
        <v>31</v>
      </c>
    </row>
    <row r="1795" spans="1:27" x14ac:dyDescent="0.25">
      <c r="A1795" s="10">
        <v>45685</v>
      </c>
      <c r="B1795" s="11" t="s">
        <v>3849</v>
      </c>
      <c r="C1795" s="11" t="s">
        <v>3850</v>
      </c>
      <c r="D1795" s="11" t="s">
        <v>26</v>
      </c>
      <c r="E1795" s="11" t="s">
        <v>3851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9" t="s">
        <v>26</v>
      </c>
      <c r="AA1795" s="12" t="s">
        <v>31</v>
      </c>
    </row>
    <row r="1796" spans="1:27" x14ac:dyDescent="0.25">
      <c r="A1796" s="10">
        <v>45685</v>
      </c>
      <c r="B1796" s="11" t="s">
        <v>732</v>
      </c>
      <c r="C1796" s="11" t="s">
        <v>3852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9" t="s">
        <v>26</v>
      </c>
      <c r="AA1796" s="12" t="s">
        <v>31</v>
      </c>
    </row>
    <row r="1797" spans="1:27" x14ac:dyDescent="0.25">
      <c r="A1797" s="10">
        <v>45685</v>
      </c>
      <c r="B1797" s="11" t="s">
        <v>692</v>
      </c>
      <c r="C1797" s="11" t="s">
        <v>3853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9" t="s">
        <v>26</v>
      </c>
      <c r="AA1797" s="12" t="s">
        <v>31</v>
      </c>
    </row>
    <row r="1798" spans="1:27" x14ac:dyDescent="0.25">
      <c r="A1798" s="10">
        <v>45685</v>
      </c>
      <c r="B1798" s="11" t="s">
        <v>3854</v>
      </c>
      <c r="C1798" s="11" t="s">
        <v>3855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9" t="s">
        <v>26</v>
      </c>
      <c r="AA1798" s="12" t="s">
        <v>31</v>
      </c>
    </row>
    <row r="1799" spans="1:27" x14ac:dyDescent="0.25">
      <c r="A1799" s="10">
        <v>45685</v>
      </c>
      <c r="B1799" s="11" t="s">
        <v>732</v>
      </c>
      <c r="C1799" s="11" t="s">
        <v>3856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4463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9" t="s">
        <v>26</v>
      </c>
      <c r="AA1799" s="12" t="s">
        <v>31</v>
      </c>
    </row>
    <row r="1800" spans="1:27" x14ac:dyDescent="0.25">
      <c r="A1800" s="10">
        <v>45685</v>
      </c>
      <c r="B1800" s="11" t="s">
        <v>3857</v>
      </c>
      <c r="C1800" s="11" t="s">
        <v>3858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9" t="s">
        <v>26</v>
      </c>
      <c r="AA1800" s="12" t="s">
        <v>31</v>
      </c>
    </row>
    <row r="1801" spans="1:27" x14ac:dyDescent="0.25">
      <c r="A1801" s="10">
        <v>45685</v>
      </c>
      <c r="B1801" s="11" t="s">
        <v>3413</v>
      </c>
      <c r="C1801" s="11" t="s">
        <v>3859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9" t="s">
        <v>26</v>
      </c>
      <c r="AA1801" s="12" t="s">
        <v>31</v>
      </c>
    </row>
    <row r="1802" spans="1:27" x14ac:dyDescent="0.25">
      <c r="A1802" s="10">
        <v>45685</v>
      </c>
      <c r="B1802" s="11" t="s">
        <v>1400</v>
      </c>
      <c r="C1802" s="11" t="s">
        <v>3860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9" t="s">
        <v>26</v>
      </c>
      <c r="AA1802" s="12" t="s">
        <v>31</v>
      </c>
    </row>
    <row r="1803" spans="1:27" x14ac:dyDescent="0.25">
      <c r="A1803" s="10">
        <v>45685</v>
      </c>
      <c r="B1803" s="11" t="s">
        <v>3861</v>
      </c>
      <c r="C1803" s="11" t="s">
        <v>3862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9" t="s">
        <v>26</v>
      </c>
      <c r="AA1803" s="12" t="s">
        <v>31</v>
      </c>
    </row>
    <row r="1804" spans="1:27" x14ac:dyDescent="0.25">
      <c r="A1804" s="10">
        <v>45685</v>
      </c>
      <c r="B1804" s="11" t="s">
        <v>464</v>
      </c>
      <c r="C1804" s="11" t="s">
        <v>3863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9" t="s">
        <v>26</v>
      </c>
      <c r="AA1804" s="12" t="s">
        <v>31</v>
      </c>
    </row>
    <row r="1805" spans="1:27" x14ac:dyDescent="0.25">
      <c r="A1805" s="10">
        <v>45685</v>
      </c>
      <c r="B1805" s="11" t="s">
        <v>1681</v>
      </c>
      <c r="C1805" s="11" t="s">
        <v>3864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9" t="s">
        <v>26</v>
      </c>
      <c r="AA1805" s="12" t="s">
        <v>31</v>
      </c>
    </row>
    <row r="1806" spans="1:27" x14ac:dyDescent="0.25">
      <c r="A1806" s="10">
        <v>45685</v>
      </c>
      <c r="B1806" s="11" t="s">
        <v>3865</v>
      </c>
      <c r="C1806" s="11" t="s">
        <v>3866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4464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9" t="s">
        <v>26</v>
      </c>
      <c r="AA1806" s="12" t="s">
        <v>31</v>
      </c>
    </row>
    <row r="1807" spans="1:27" x14ac:dyDescent="0.25">
      <c r="A1807" s="10">
        <v>45685</v>
      </c>
      <c r="B1807" s="11" t="s">
        <v>3338</v>
      </c>
      <c r="C1807" s="11" t="s">
        <v>3867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9" t="s">
        <v>26</v>
      </c>
      <c r="AA1807" s="12" t="s">
        <v>31</v>
      </c>
    </row>
    <row r="1808" spans="1:27" x14ac:dyDescent="0.25">
      <c r="A1808" s="10">
        <v>45685</v>
      </c>
      <c r="B1808" s="11" t="s">
        <v>3868</v>
      </c>
      <c r="C1808" s="11" t="s">
        <v>3869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9" t="s">
        <v>26</v>
      </c>
      <c r="AA1808" s="12" t="s">
        <v>31</v>
      </c>
    </row>
    <row r="1809" spans="1:27" x14ac:dyDescent="0.25">
      <c r="A1809" s="10">
        <v>45685</v>
      </c>
      <c r="B1809" s="11" t="s">
        <v>3870</v>
      </c>
      <c r="C1809" s="11" t="s">
        <v>3871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4440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9" t="s">
        <v>26</v>
      </c>
      <c r="AA1809" s="12" t="s">
        <v>31</v>
      </c>
    </row>
    <row r="1810" spans="1:27" x14ac:dyDescent="0.25">
      <c r="A1810" s="10">
        <v>45685</v>
      </c>
      <c r="B1810" s="11" t="s">
        <v>3872</v>
      </c>
      <c r="C1810" s="11" t="s">
        <v>3873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9" t="s">
        <v>26</v>
      </c>
      <c r="AA1810" s="12" t="s">
        <v>31</v>
      </c>
    </row>
    <row r="1811" spans="1:27" x14ac:dyDescent="0.25">
      <c r="A1811" s="10">
        <v>45685</v>
      </c>
      <c r="B1811" s="11" t="s">
        <v>3874</v>
      </c>
      <c r="C1811" s="11" t="s">
        <v>3875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4439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9" t="s">
        <v>565</v>
      </c>
      <c r="AA1811" s="12" t="s">
        <v>78</v>
      </c>
    </row>
    <row r="1812" spans="1:27" x14ac:dyDescent="0.25">
      <c r="A1812" s="10">
        <v>45685</v>
      </c>
      <c r="B1812" s="11" t="s">
        <v>3876</v>
      </c>
      <c r="C1812" s="11" t="s">
        <v>3877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4440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9" t="s">
        <v>26</v>
      </c>
      <c r="AA1812" s="12" t="s">
        <v>31</v>
      </c>
    </row>
    <row r="1813" spans="1:27" x14ac:dyDescent="0.25">
      <c r="A1813" s="10">
        <v>45685</v>
      </c>
      <c r="B1813" s="11" t="s">
        <v>268</v>
      </c>
      <c r="C1813" s="11" t="s">
        <v>3878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9" t="s">
        <v>26</v>
      </c>
      <c r="AA1813" s="12" t="s">
        <v>31</v>
      </c>
    </row>
    <row r="1814" spans="1:27" x14ac:dyDescent="0.25">
      <c r="A1814" s="10">
        <v>45685</v>
      </c>
      <c r="B1814" s="11" t="s">
        <v>1917</v>
      </c>
      <c r="C1814" s="11" t="s">
        <v>3879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9" t="s">
        <v>26</v>
      </c>
      <c r="AA1814" s="12" t="s">
        <v>31</v>
      </c>
    </row>
    <row r="1815" spans="1:27" x14ac:dyDescent="0.25">
      <c r="A1815" s="10">
        <v>45685</v>
      </c>
      <c r="B1815" s="11" t="s">
        <v>1375</v>
      </c>
      <c r="C1815" s="11" t="s">
        <v>3880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4440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9" t="s">
        <v>26</v>
      </c>
      <c r="AA1815" s="12" t="s">
        <v>31</v>
      </c>
    </row>
    <row r="1816" spans="1:27" x14ac:dyDescent="0.25">
      <c r="A1816" s="10">
        <v>45685</v>
      </c>
      <c r="B1816" s="11" t="s">
        <v>3881</v>
      </c>
      <c r="C1816" s="11" t="s">
        <v>3882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4463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9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3883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9" t="s">
        <v>26</v>
      </c>
      <c r="AA1817" s="12" t="s">
        <v>31</v>
      </c>
    </row>
    <row r="1818" spans="1:27" x14ac:dyDescent="0.25">
      <c r="A1818" s="10">
        <v>45685</v>
      </c>
      <c r="B1818" s="11" t="s">
        <v>3884</v>
      </c>
      <c r="C1818" s="11" t="s">
        <v>3885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4465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9" t="s">
        <v>26</v>
      </c>
      <c r="AA1818" s="12" t="s">
        <v>31</v>
      </c>
    </row>
    <row r="1819" spans="1:27" x14ac:dyDescent="0.25">
      <c r="A1819" s="10">
        <v>45685</v>
      </c>
      <c r="B1819" s="11" t="s">
        <v>669</v>
      </c>
      <c r="C1819" s="11" t="s">
        <v>3886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9" t="s">
        <v>26</v>
      </c>
      <c r="AA1819" s="12" t="s">
        <v>31</v>
      </c>
    </row>
    <row r="1820" spans="1:27" x14ac:dyDescent="0.25">
      <c r="A1820" s="10">
        <v>45685</v>
      </c>
      <c r="B1820" s="11" t="s">
        <v>3887</v>
      </c>
      <c r="C1820" s="11" t="s">
        <v>3888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9" t="s">
        <v>26</v>
      </c>
      <c r="AA1820" s="12" t="s">
        <v>31</v>
      </c>
    </row>
    <row r="1821" spans="1:27" x14ac:dyDescent="0.25">
      <c r="A1821" s="10">
        <v>45685</v>
      </c>
      <c r="B1821" s="11" t="s">
        <v>3889</v>
      </c>
      <c r="C1821" s="11" t="s">
        <v>3890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9" t="s">
        <v>26</v>
      </c>
      <c r="AA1821" s="12" t="s">
        <v>31</v>
      </c>
    </row>
    <row r="1822" spans="1:27" x14ac:dyDescent="0.25">
      <c r="A1822" s="10">
        <v>45685</v>
      </c>
      <c r="B1822" s="11" t="s">
        <v>3891</v>
      </c>
      <c r="C1822" s="11" t="s">
        <v>3892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4441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9" t="s">
        <v>565</v>
      </c>
      <c r="AA1822" s="12" t="s">
        <v>3893</v>
      </c>
    </row>
    <row r="1823" spans="1:27" x14ac:dyDescent="0.25">
      <c r="A1823" s="10">
        <v>45685</v>
      </c>
      <c r="B1823" s="11" t="s">
        <v>637</v>
      </c>
      <c r="C1823" s="11" t="s">
        <v>3894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9" t="s">
        <v>26</v>
      </c>
      <c r="AA1823" s="12" t="s">
        <v>31</v>
      </c>
    </row>
    <row r="1824" spans="1:27" x14ac:dyDescent="0.25">
      <c r="A1824" s="10">
        <v>45685</v>
      </c>
      <c r="B1824" s="11" t="s">
        <v>3895</v>
      </c>
      <c r="C1824" s="11" t="s">
        <v>3896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4466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9" t="s">
        <v>26</v>
      </c>
      <c r="AA1824" s="12" t="s">
        <v>31</v>
      </c>
    </row>
    <row r="1825" spans="1:27" x14ac:dyDescent="0.25">
      <c r="A1825" s="10">
        <v>45685</v>
      </c>
      <c r="B1825" s="11" t="s">
        <v>620</v>
      </c>
      <c r="C1825" s="11" t="s">
        <v>3897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9" t="s">
        <v>26</v>
      </c>
      <c r="AA1825" s="12" t="s">
        <v>31</v>
      </c>
    </row>
    <row r="1826" spans="1:27" x14ac:dyDescent="0.25">
      <c r="A1826" s="10">
        <v>45685</v>
      </c>
      <c r="B1826" s="11" t="s">
        <v>670</v>
      </c>
      <c r="C1826" s="11" t="s">
        <v>3898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9" t="s">
        <v>26</v>
      </c>
      <c r="AA1826" s="12" t="s">
        <v>31</v>
      </c>
    </row>
    <row r="1827" spans="1:27" x14ac:dyDescent="0.25">
      <c r="A1827" s="10">
        <v>45685</v>
      </c>
      <c r="B1827" s="11" t="s">
        <v>711</v>
      </c>
      <c r="C1827" s="11" t="s">
        <v>3899</v>
      </c>
      <c r="D1827" s="11" t="s">
        <v>26</v>
      </c>
      <c r="E1827" s="11" t="s">
        <v>3851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9" t="s">
        <v>26</v>
      </c>
      <c r="AA1827" s="12" t="s">
        <v>31</v>
      </c>
    </row>
    <row r="1828" spans="1:27" x14ac:dyDescent="0.25">
      <c r="A1828" s="10">
        <v>45685</v>
      </c>
      <c r="B1828" s="11" t="s">
        <v>3900</v>
      </c>
      <c r="C1828" s="11" t="s">
        <v>3901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9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3902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9" t="s">
        <v>26</v>
      </c>
      <c r="AA1829" s="12" t="s">
        <v>31</v>
      </c>
    </row>
    <row r="1830" spans="1:27" x14ac:dyDescent="0.25">
      <c r="A1830" s="10">
        <v>45685</v>
      </c>
      <c r="B1830" s="11" t="s">
        <v>291</v>
      </c>
      <c r="C1830" s="11" t="s">
        <v>3903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4466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9" t="s">
        <v>26</v>
      </c>
      <c r="AA1830" s="12" t="s">
        <v>31</v>
      </c>
    </row>
    <row r="1831" spans="1:27" x14ac:dyDescent="0.25">
      <c r="A1831" s="10">
        <v>45685</v>
      </c>
      <c r="B1831" s="11" t="s">
        <v>3904</v>
      </c>
      <c r="C1831" s="11" t="s">
        <v>3905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9" t="s">
        <v>26</v>
      </c>
      <c r="AA1831" s="12" t="s">
        <v>31</v>
      </c>
    </row>
    <row r="1832" spans="1:27" x14ac:dyDescent="0.25">
      <c r="A1832" s="10">
        <v>45685</v>
      </c>
      <c r="B1832" s="11" t="s">
        <v>3906</v>
      </c>
      <c r="C1832" s="11" t="s">
        <v>3907</v>
      </c>
      <c r="D1832" s="11" t="s">
        <v>26</v>
      </c>
      <c r="E1832" s="11" t="s">
        <v>1217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9" t="s">
        <v>26</v>
      </c>
      <c r="AA1832" s="12" t="s">
        <v>31</v>
      </c>
    </row>
    <row r="1833" spans="1:27" x14ac:dyDescent="0.25">
      <c r="A1833" s="10">
        <v>45685</v>
      </c>
      <c r="B1833" s="11" t="s">
        <v>3908</v>
      </c>
      <c r="C1833" s="11" t="s">
        <v>3909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9" t="s">
        <v>41</v>
      </c>
      <c r="AA1833" s="12" t="s">
        <v>79</v>
      </c>
    </row>
    <row r="1834" spans="1:27" x14ac:dyDescent="0.25">
      <c r="A1834" s="10">
        <v>45685</v>
      </c>
      <c r="B1834" s="11" t="s">
        <v>3910</v>
      </c>
      <c r="C1834" s="11" t="s">
        <v>3911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9" t="s">
        <v>26</v>
      </c>
      <c r="AA1834" s="12" t="s">
        <v>31</v>
      </c>
    </row>
    <row r="1835" spans="1:27" x14ac:dyDescent="0.25">
      <c r="A1835" s="10">
        <v>45685</v>
      </c>
      <c r="B1835" s="11" t="s">
        <v>3912</v>
      </c>
      <c r="C1835" s="11" t="s">
        <v>3913</v>
      </c>
      <c r="D1835" s="11" t="s">
        <v>26</v>
      </c>
      <c r="E1835" s="11" t="s">
        <v>702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9" t="s">
        <v>26</v>
      </c>
      <c r="AA1835" s="12" t="s">
        <v>31</v>
      </c>
    </row>
    <row r="1836" spans="1:27" x14ac:dyDescent="0.25">
      <c r="A1836" s="10">
        <v>45685</v>
      </c>
      <c r="B1836" s="11" t="s">
        <v>3914</v>
      </c>
      <c r="C1836" s="11" t="s">
        <v>3915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4466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9" t="s">
        <v>26</v>
      </c>
      <c r="AA1836" s="12" t="s">
        <v>31</v>
      </c>
    </row>
    <row r="1837" spans="1:27" x14ac:dyDescent="0.25">
      <c r="A1837" s="10">
        <v>45685</v>
      </c>
      <c r="B1837" s="11" t="s">
        <v>3916</v>
      </c>
      <c r="C1837" s="11" t="s">
        <v>3917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9" t="s">
        <v>26</v>
      </c>
      <c r="AA1837" s="12" t="s">
        <v>31</v>
      </c>
    </row>
    <row r="1838" spans="1:27" x14ac:dyDescent="0.25">
      <c r="A1838" s="10">
        <v>45685</v>
      </c>
      <c r="B1838" s="11" t="s">
        <v>3918</v>
      </c>
      <c r="C1838" s="11" t="s">
        <v>3919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9" t="s">
        <v>26</v>
      </c>
      <c r="AA1838" s="12" t="s">
        <v>31</v>
      </c>
    </row>
    <row r="1839" spans="1:27" x14ac:dyDescent="0.25">
      <c r="A1839" s="10">
        <v>45685</v>
      </c>
      <c r="B1839" s="11" t="s">
        <v>304</v>
      </c>
      <c r="C1839" s="11" t="s">
        <v>3920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4463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9" t="s">
        <v>26</v>
      </c>
      <c r="AA1839" s="12" t="s">
        <v>31</v>
      </c>
    </row>
    <row r="1840" spans="1:27" x14ac:dyDescent="0.25">
      <c r="A1840" s="10">
        <v>45685</v>
      </c>
      <c r="B1840" s="11" t="s">
        <v>269</v>
      </c>
      <c r="C1840" s="11" t="s">
        <v>3921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4466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9" t="s">
        <v>26</v>
      </c>
      <c r="AA1840" s="12" t="s">
        <v>31</v>
      </c>
    </row>
    <row r="1841" spans="1:27" x14ac:dyDescent="0.25">
      <c r="A1841" s="10">
        <v>45685</v>
      </c>
      <c r="B1841" s="11" t="s">
        <v>3922</v>
      </c>
      <c r="C1841" s="11" t="s">
        <v>3923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4464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9" t="s">
        <v>26</v>
      </c>
      <c r="AA1841" s="12" t="s">
        <v>31</v>
      </c>
    </row>
    <row r="1842" spans="1:27" x14ac:dyDescent="0.25">
      <c r="A1842" s="10">
        <v>45685</v>
      </c>
      <c r="B1842" s="11" t="s">
        <v>3924</v>
      </c>
      <c r="C1842" s="11" t="s">
        <v>3925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4463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9" t="s">
        <v>26</v>
      </c>
      <c r="AA1842" s="12" t="s">
        <v>31</v>
      </c>
    </row>
    <row r="1843" spans="1:27" x14ac:dyDescent="0.25">
      <c r="A1843" s="10">
        <v>45685</v>
      </c>
      <c r="B1843" s="11" t="s">
        <v>3926</v>
      </c>
      <c r="C1843" s="11" t="s">
        <v>3927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1926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9" t="s">
        <v>26</v>
      </c>
      <c r="AA1843" s="12" t="s">
        <v>31</v>
      </c>
    </row>
    <row r="1844" spans="1:27" x14ac:dyDescent="0.25">
      <c r="A1844" s="10">
        <v>45685</v>
      </c>
      <c r="B1844" s="11" t="s">
        <v>3928</v>
      </c>
      <c r="C1844" s="11" t="s">
        <v>3929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1926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9" t="s">
        <v>26</v>
      </c>
      <c r="AA1844" s="12" t="s">
        <v>31</v>
      </c>
    </row>
    <row r="1845" spans="1:27" x14ac:dyDescent="0.25">
      <c r="A1845" s="10">
        <v>45685</v>
      </c>
      <c r="B1845" s="11" t="s">
        <v>3930</v>
      </c>
      <c r="C1845" s="11" t="s">
        <v>3931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9" t="s">
        <v>26</v>
      </c>
      <c r="AA1845" s="12" t="s">
        <v>31</v>
      </c>
    </row>
    <row r="1846" spans="1:27" x14ac:dyDescent="0.25">
      <c r="A1846" s="10">
        <v>45685</v>
      </c>
      <c r="B1846" s="11" t="s">
        <v>3932</v>
      </c>
      <c r="C1846" s="11" t="s">
        <v>3933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9" t="s">
        <v>26</v>
      </c>
      <c r="AA1846" s="12" t="s">
        <v>31</v>
      </c>
    </row>
    <row r="1847" spans="1:27" x14ac:dyDescent="0.25">
      <c r="A1847" s="10">
        <v>45685</v>
      </c>
      <c r="B1847" s="11" t="s">
        <v>1359</v>
      </c>
      <c r="C1847" s="11" t="s">
        <v>3934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9" t="s">
        <v>26</v>
      </c>
      <c r="AA1847" s="12" t="s">
        <v>31</v>
      </c>
    </row>
    <row r="1848" spans="1:27" x14ac:dyDescent="0.25">
      <c r="A1848" s="10">
        <v>45685</v>
      </c>
      <c r="B1848" s="11" t="s">
        <v>708</v>
      </c>
      <c r="C1848" s="11" t="s">
        <v>3935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9" t="s">
        <v>26</v>
      </c>
      <c r="AA1848" s="12" t="s">
        <v>31</v>
      </c>
    </row>
    <row r="1849" spans="1:27" x14ac:dyDescent="0.25">
      <c r="A1849" s="10">
        <v>45685</v>
      </c>
      <c r="B1849" s="11" t="s">
        <v>3936</v>
      </c>
      <c r="C1849" s="11" t="s">
        <v>3937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4440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9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3938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4440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9" t="s">
        <v>26</v>
      </c>
      <c r="AA1850" s="12" t="s">
        <v>31</v>
      </c>
    </row>
    <row r="1851" spans="1:27" x14ac:dyDescent="0.25">
      <c r="A1851" s="10">
        <v>45685</v>
      </c>
      <c r="B1851" s="11" t="s">
        <v>455</v>
      </c>
      <c r="C1851" s="11" t="s">
        <v>3939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9" t="s">
        <v>26</v>
      </c>
      <c r="AA1851" s="12" t="s">
        <v>31</v>
      </c>
    </row>
    <row r="1852" spans="1:27" x14ac:dyDescent="0.25">
      <c r="A1852" s="10">
        <v>45685</v>
      </c>
      <c r="B1852" s="11" t="s">
        <v>449</v>
      </c>
      <c r="C1852" s="11" t="s">
        <v>3940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9" t="s">
        <v>26</v>
      </c>
      <c r="AA1852" s="12" t="s">
        <v>31</v>
      </c>
    </row>
    <row r="1853" spans="1:27" x14ac:dyDescent="0.25">
      <c r="A1853" s="10">
        <v>45685</v>
      </c>
      <c r="B1853" s="11" t="s">
        <v>3941</v>
      </c>
      <c r="C1853" s="11" t="s">
        <v>3942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9" t="s">
        <v>26</v>
      </c>
      <c r="AA1853" s="12" t="s">
        <v>31</v>
      </c>
    </row>
    <row r="1854" spans="1:27" x14ac:dyDescent="0.25">
      <c r="A1854" s="10">
        <v>45685</v>
      </c>
      <c r="B1854" s="11" t="s">
        <v>3943</v>
      </c>
      <c r="C1854" s="11" t="s">
        <v>3944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9" t="s">
        <v>26</v>
      </c>
      <c r="AA1854" s="12" t="s">
        <v>31</v>
      </c>
    </row>
    <row r="1855" spans="1:27" x14ac:dyDescent="0.25">
      <c r="A1855" s="10">
        <v>45685</v>
      </c>
      <c r="B1855" s="11" t="s">
        <v>198</v>
      </c>
      <c r="C1855" s="11" t="s">
        <v>3945</v>
      </c>
      <c r="D1855" s="11" t="s">
        <v>26</v>
      </c>
      <c r="E1855" s="11" t="s">
        <v>1217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9" t="s">
        <v>26</v>
      </c>
      <c r="AA1855" s="12" t="s">
        <v>31</v>
      </c>
    </row>
    <row r="1856" spans="1:27" x14ac:dyDescent="0.25">
      <c r="A1856" s="10">
        <v>45685</v>
      </c>
      <c r="B1856" s="11" t="s">
        <v>252</v>
      </c>
      <c r="C1856" s="11" t="s">
        <v>3946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4463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9" t="s">
        <v>26</v>
      </c>
      <c r="AA1856" s="12" t="s">
        <v>31</v>
      </c>
    </row>
    <row r="1857" spans="1:27" x14ac:dyDescent="0.25">
      <c r="A1857" s="10">
        <v>45685</v>
      </c>
      <c r="B1857" s="11" t="s">
        <v>3947</v>
      </c>
      <c r="C1857" s="11" t="s">
        <v>3948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4463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9" t="s">
        <v>26</v>
      </c>
      <c r="AA1857" s="12" t="s">
        <v>31</v>
      </c>
    </row>
    <row r="1858" spans="1:27" x14ac:dyDescent="0.25">
      <c r="A1858" s="10">
        <v>45685</v>
      </c>
      <c r="B1858" s="11" t="s">
        <v>3949</v>
      </c>
      <c r="C1858" s="11" t="s">
        <v>3950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9" t="s">
        <v>26</v>
      </c>
      <c r="AA1858" s="12" t="s">
        <v>31</v>
      </c>
    </row>
    <row r="1859" spans="1:27" x14ac:dyDescent="0.25">
      <c r="A1859" s="10">
        <v>45685</v>
      </c>
      <c r="B1859" s="11" t="s">
        <v>3951</v>
      </c>
      <c r="C1859" s="11" t="s">
        <v>3952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4466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9" t="s">
        <v>26</v>
      </c>
      <c r="AA1859" s="12" t="s">
        <v>31</v>
      </c>
    </row>
    <row r="1860" spans="1:27" x14ac:dyDescent="0.25">
      <c r="A1860" s="10">
        <v>45685</v>
      </c>
      <c r="B1860" s="11" t="s">
        <v>3953</v>
      </c>
      <c r="C1860" s="11" t="s">
        <v>3954</v>
      </c>
      <c r="D1860" s="11" t="s">
        <v>26</v>
      </c>
      <c r="E1860" s="11" t="s">
        <v>3955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9" t="s">
        <v>26</v>
      </c>
      <c r="AA1860" s="12" t="s">
        <v>31</v>
      </c>
    </row>
    <row r="1861" spans="1:27" x14ac:dyDescent="0.25">
      <c r="A1861" s="10">
        <v>45685</v>
      </c>
      <c r="B1861" s="11" t="s">
        <v>389</v>
      </c>
      <c r="C1861" s="11" t="s">
        <v>3956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4466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9" t="s">
        <v>26</v>
      </c>
      <c r="AA1861" s="12" t="s">
        <v>31</v>
      </c>
    </row>
    <row r="1862" spans="1:27" x14ac:dyDescent="0.25">
      <c r="A1862" s="10">
        <v>45685</v>
      </c>
      <c r="B1862" s="11" t="s">
        <v>193</v>
      </c>
      <c r="C1862" s="11" t="s">
        <v>3957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9" t="s">
        <v>26</v>
      </c>
      <c r="AA1862" s="12" t="s">
        <v>31</v>
      </c>
    </row>
    <row r="1863" spans="1:27" x14ac:dyDescent="0.25">
      <c r="A1863" s="10">
        <v>45685</v>
      </c>
      <c r="B1863" s="11" t="s">
        <v>3958</v>
      </c>
      <c r="C1863" s="11" t="s">
        <v>3959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9" t="s">
        <v>26</v>
      </c>
      <c r="AA1863" s="12" t="s">
        <v>31</v>
      </c>
    </row>
    <row r="1864" spans="1:27" x14ac:dyDescent="0.25">
      <c r="A1864" s="10">
        <v>45685</v>
      </c>
      <c r="B1864" s="11" t="s">
        <v>3960</v>
      </c>
      <c r="C1864" s="11" t="s">
        <v>3961</v>
      </c>
      <c r="D1864" s="11" t="s">
        <v>26</v>
      </c>
      <c r="E1864" s="11" t="s">
        <v>2143</v>
      </c>
      <c r="F1864" s="11" t="s">
        <v>26</v>
      </c>
      <c r="G1864" s="11">
        <v>112379</v>
      </c>
      <c r="H1864" s="12" t="s">
        <v>4463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9" t="s">
        <v>26</v>
      </c>
      <c r="AA1864" s="12" t="s">
        <v>31</v>
      </c>
    </row>
    <row r="1865" spans="1:27" x14ac:dyDescent="0.25">
      <c r="A1865" s="10">
        <v>45685</v>
      </c>
      <c r="B1865" s="11" t="s">
        <v>3962</v>
      </c>
      <c r="C1865" s="11" t="s">
        <v>3963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4440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9" t="s">
        <v>26</v>
      </c>
      <c r="AA1865" s="12" t="s">
        <v>31</v>
      </c>
    </row>
    <row r="1866" spans="1:27" x14ac:dyDescent="0.25">
      <c r="A1866" s="10">
        <v>45685</v>
      </c>
      <c r="B1866" s="11" t="s">
        <v>3964</v>
      </c>
      <c r="C1866" s="11" t="s">
        <v>3965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9" t="s">
        <v>26</v>
      </c>
      <c r="AA1866" s="12" t="s">
        <v>31</v>
      </c>
    </row>
    <row r="1867" spans="1:27" x14ac:dyDescent="0.25">
      <c r="A1867" s="10">
        <v>45685</v>
      </c>
      <c r="B1867" s="11" t="s">
        <v>3966</v>
      </c>
      <c r="C1867" s="11" t="s">
        <v>3967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9" t="s">
        <v>26</v>
      </c>
      <c r="AA1867" s="12" t="s">
        <v>31</v>
      </c>
    </row>
    <row r="1868" spans="1:27" x14ac:dyDescent="0.25">
      <c r="A1868" s="10">
        <v>45685</v>
      </c>
      <c r="B1868" s="11" t="s">
        <v>3968</v>
      </c>
      <c r="C1868" s="11" t="s">
        <v>3969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9" t="s">
        <v>26</v>
      </c>
      <c r="AA1868" s="12" t="s">
        <v>31</v>
      </c>
    </row>
    <row r="1869" spans="1:27" x14ac:dyDescent="0.25">
      <c r="A1869" s="10">
        <v>45685</v>
      </c>
      <c r="B1869" s="11" t="s">
        <v>3970</v>
      </c>
      <c r="C1869" s="11" t="s">
        <v>3971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9" t="s">
        <v>26</v>
      </c>
      <c r="AA1869" s="12" t="s">
        <v>31</v>
      </c>
    </row>
    <row r="1870" spans="1:27" x14ac:dyDescent="0.25">
      <c r="A1870" s="10">
        <v>45685</v>
      </c>
      <c r="B1870" s="11" t="s">
        <v>3398</v>
      </c>
      <c r="C1870" s="11" t="s">
        <v>3972</v>
      </c>
      <c r="D1870" s="11" t="s">
        <v>26</v>
      </c>
      <c r="E1870" s="11" t="s">
        <v>3955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9" t="s">
        <v>26</v>
      </c>
      <c r="AA1870" s="12" t="s">
        <v>31</v>
      </c>
    </row>
    <row r="1871" spans="1:27" x14ac:dyDescent="0.25">
      <c r="A1871" s="10">
        <v>45685</v>
      </c>
      <c r="B1871" s="11" t="s">
        <v>3973</v>
      </c>
      <c r="C1871" s="11" t="s">
        <v>3974</v>
      </c>
      <c r="D1871" s="11" t="s">
        <v>26</v>
      </c>
      <c r="E1871" s="11" t="s">
        <v>1668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9" t="s">
        <v>26</v>
      </c>
      <c r="AA1871" s="12" t="s">
        <v>31</v>
      </c>
    </row>
    <row r="1872" spans="1:27" x14ac:dyDescent="0.25">
      <c r="A1872" s="10">
        <v>45685</v>
      </c>
      <c r="B1872" s="11" t="s">
        <v>3975</v>
      </c>
      <c r="C1872" s="11" t="s">
        <v>3976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4463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9" t="s">
        <v>26</v>
      </c>
      <c r="AA1872" s="12" t="s">
        <v>31</v>
      </c>
    </row>
    <row r="1873" spans="1:27" x14ac:dyDescent="0.25">
      <c r="A1873" s="10">
        <v>45685</v>
      </c>
      <c r="B1873" s="11" t="s">
        <v>3977</v>
      </c>
      <c r="C1873" s="11" t="s">
        <v>3978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4463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9" t="s">
        <v>26</v>
      </c>
      <c r="AA1873" s="12" t="s">
        <v>31</v>
      </c>
    </row>
    <row r="1874" spans="1:27" x14ac:dyDescent="0.25">
      <c r="A1874" s="10">
        <v>45685</v>
      </c>
      <c r="B1874" s="11" t="s">
        <v>3979</v>
      </c>
      <c r="C1874" s="11" t="s">
        <v>3980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4439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9" t="s">
        <v>565</v>
      </c>
      <c r="AA1874" s="12" t="s">
        <v>78</v>
      </c>
    </row>
    <row r="1875" spans="1:27" x14ac:dyDescent="0.25">
      <c r="A1875" s="10">
        <v>45685</v>
      </c>
      <c r="B1875" s="11" t="s">
        <v>3981</v>
      </c>
      <c r="C1875" s="11" t="s">
        <v>3982</v>
      </c>
      <c r="D1875" s="11" t="s">
        <v>26</v>
      </c>
      <c r="E1875" s="11" t="s">
        <v>1677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9" t="s">
        <v>26</v>
      </c>
      <c r="AA1875" s="12" t="s">
        <v>31</v>
      </c>
    </row>
    <row r="1876" spans="1:27" x14ac:dyDescent="0.25">
      <c r="A1876" s="10">
        <v>45685</v>
      </c>
      <c r="B1876" s="11" t="s">
        <v>3983</v>
      </c>
      <c r="C1876" s="11" t="s">
        <v>3984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4440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9" t="s">
        <v>26</v>
      </c>
      <c r="AA1876" s="12" t="s">
        <v>31</v>
      </c>
    </row>
    <row r="1877" spans="1:27" x14ac:dyDescent="0.25">
      <c r="A1877" s="10">
        <v>45685</v>
      </c>
      <c r="B1877" s="11" t="s">
        <v>3985</v>
      </c>
      <c r="C1877" s="11" t="s">
        <v>3986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9" t="s">
        <v>26</v>
      </c>
      <c r="AA1877" s="12" t="s">
        <v>31</v>
      </c>
    </row>
    <row r="1878" spans="1:27" x14ac:dyDescent="0.25">
      <c r="A1878" s="10">
        <v>45685</v>
      </c>
      <c r="B1878" s="11" t="s">
        <v>3987</v>
      </c>
      <c r="C1878" s="11" t="s">
        <v>3988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9" t="s">
        <v>26</v>
      </c>
      <c r="AA1878" s="12" t="s">
        <v>31</v>
      </c>
    </row>
    <row r="1879" spans="1:27" x14ac:dyDescent="0.25">
      <c r="A1879" s="10">
        <v>45685</v>
      </c>
      <c r="B1879" s="11" t="s">
        <v>3989</v>
      </c>
      <c r="C1879" s="11" t="s">
        <v>3990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9" t="s">
        <v>26</v>
      </c>
      <c r="AA1879" s="12" t="s">
        <v>31</v>
      </c>
    </row>
    <row r="1880" spans="1:27" x14ac:dyDescent="0.25">
      <c r="A1880" s="10">
        <v>45686</v>
      </c>
      <c r="B1880" s="11" t="s">
        <v>661</v>
      </c>
      <c r="C1880" s="11" t="s">
        <v>3991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4440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9" t="s">
        <v>26</v>
      </c>
      <c r="AA1880" s="12" t="s">
        <v>31</v>
      </c>
    </row>
    <row r="1881" spans="1:27" x14ac:dyDescent="0.25">
      <c r="A1881" s="10">
        <v>45686</v>
      </c>
      <c r="B1881" s="11" t="s">
        <v>3992</v>
      </c>
      <c r="C1881" s="11" t="s">
        <v>3993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4465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9" t="s">
        <v>26</v>
      </c>
      <c r="AA1881" s="12" t="s">
        <v>31</v>
      </c>
    </row>
    <row r="1882" spans="1:27" x14ac:dyDescent="0.25">
      <c r="A1882" s="10">
        <v>45686</v>
      </c>
      <c r="B1882" s="11" t="s">
        <v>3992</v>
      </c>
      <c r="C1882" s="11" t="s">
        <v>3994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4465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9" t="s">
        <v>26</v>
      </c>
      <c r="AA1882" s="12" t="s">
        <v>31</v>
      </c>
    </row>
    <row r="1883" spans="1:27" x14ac:dyDescent="0.25">
      <c r="A1883" s="10">
        <v>45686</v>
      </c>
      <c r="B1883" s="11" t="s">
        <v>1174</v>
      </c>
      <c r="C1883" s="11" t="s">
        <v>3995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4440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9" t="s">
        <v>26</v>
      </c>
      <c r="AA1883" s="12" t="s">
        <v>31</v>
      </c>
    </row>
    <row r="1884" spans="1:27" x14ac:dyDescent="0.25">
      <c r="A1884" s="10">
        <v>45686</v>
      </c>
      <c r="B1884" s="11" t="s">
        <v>263</v>
      </c>
      <c r="C1884" s="11" t="s">
        <v>3996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4439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9" t="s">
        <v>41</v>
      </c>
      <c r="AA1884" s="12" t="s">
        <v>78</v>
      </c>
    </row>
    <row r="1885" spans="1:27" x14ac:dyDescent="0.25">
      <c r="A1885" s="10">
        <v>45686</v>
      </c>
      <c r="B1885" s="11" t="s">
        <v>3997</v>
      </c>
      <c r="C1885" s="11" t="s">
        <v>3998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9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3999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4439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9" t="s">
        <v>41</v>
      </c>
      <c r="AA1886" s="12" t="s">
        <v>78</v>
      </c>
    </row>
    <row r="1887" spans="1:27" x14ac:dyDescent="0.25">
      <c r="A1887" s="10">
        <v>45686</v>
      </c>
      <c r="B1887" s="11" t="s">
        <v>4000</v>
      </c>
      <c r="C1887" s="11" t="s">
        <v>4001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9" t="s">
        <v>26</v>
      </c>
      <c r="AA1887" s="12" t="s">
        <v>31</v>
      </c>
    </row>
    <row r="1888" spans="1:27" x14ac:dyDescent="0.25">
      <c r="A1888" s="10">
        <v>45686</v>
      </c>
      <c r="B1888" s="11" t="s">
        <v>4002</v>
      </c>
      <c r="C1888" s="11" t="s">
        <v>4003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4439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9" t="s">
        <v>41</v>
      </c>
      <c r="AA1888" s="12" t="s">
        <v>78</v>
      </c>
    </row>
    <row r="1889" spans="1:27" x14ac:dyDescent="0.25">
      <c r="A1889" s="10">
        <v>45686</v>
      </c>
      <c r="B1889" s="11" t="s">
        <v>3916</v>
      </c>
      <c r="C1889" s="11" t="s">
        <v>4004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4439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9" t="s">
        <v>41</v>
      </c>
      <c r="AA1889" s="12" t="s">
        <v>78</v>
      </c>
    </row>
    <row r="1890" spans="1:27" x14ac:dyDescent="0.25">
      <c r="A1890" s="10">
        <v>45686</v>
      </c>
      <c r="B1890" s="11" t="s">
        <v>4005</v>
      </c>
      <c r="C1890" s="11" t="s">
        <v>4006</v>
      </c>
      <c r="D1890" s="11" t="s">
        <v>26</v>
      </c>
      <c r="E1890" s="11" t="s">
        <v>2126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9" t="s">
        <v>26</v>
      </c>
      <c r="AA1890" s="12" t="s">
        <v>31</v>
      </c>
    </row>
    <row r="1891" spans="1:27" x14ac:dyDescent="0.25">
      <c r="A1891" s="10">
        <v>45686</v>
      </c>
      <c r="B1891" s="11" t="s">
        <v>4007</v>
      </c>
      <c r="C1891" s="11" t="s">
        <v>4008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9" t="s">
        <v>26</v>
      </c>
      <c r="AA1891" s="12" t="s">
        <v>31</v>
      </c>
    </row>
    <row r="1892" spans="1:27" x14ac:dyDescent="0.25">
      <c r="A1892" s="10">
        <v>45686</v>
      </c>
      <c r="B1892" s="11" t="s">
        <v>4009</v>
      </c>
      <c r="C1892" s="11" t="s">
        <v>4010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9" t="s">
        <v>26</v>
      </c>
      <c r="AA1892" s="12" t="s">
        <v>31</v>
      </c>
    </row>
    <row r="1893" spans="1:27" x14ac:dyDescent="0.25">
      <c r="A1893" s="10">
        <v>45686</v>
      </c>
      <c r="B1893" s="11" t="s">
        <v>4011</v>
      </c>
      <c r="C1893" s="11" t="s">
        <v>4012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9" t="s">
        <v>26</v>
      </c>
      <c r="AA1893" s="12" t="s">
        <v>31</v>
      </c>
    </row>
    <row r="1894" spans="1:27" x14ac:dyDescent="0.25">
      <c r="A1894" s="10">
        <v>45686</v>
      </c>
      <c r="B1894" s="11" t="s">
        <v>4013</v>
      </c>
      <c r="C1894" s="11" t="s">
        <v>4014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4439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9" t="s">
        <v>45</v>
      </c>
      <c r="AA1894" s="12" t="s">
        <v>78</v>
      </c>
    </row>
    <row r="1895" spans="1:27" x14ac:dyDescent="0.25">
      <c r="A1895" s="10">
        <v>45686</v>
      </c>
      <c r="B1895" s="11" t="s">
        <v>4015</v>
      </c>
      <c r="C1895" s="11" t="s">
        <v>4016</v>
      </c>
      <c r="D1895" s="11" t="s">
        <v>26</v>
      </c>
      <c r="E1895" s="11" t="s">
        <v>1217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9" t="s">
        <v>26</v>
      </c>
      <c r="AA1895" s="12" t="s">
        <v>31</v>
      </c>
    </row>
    <row r="1896" spans="1:27" x14ac:dyDescent="0.25">
      <c r="A1896" s="10">
        <v>45686</v>
      </c>
      <c r="B1896" s="11" t="s">
        <v>1215</v>
      </c>
      <c r="C1896" s="11" t="s">
        <v>4017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1926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9" t="s">
        <v>26</v>
      </c>
      <c r="AA1896" s="12" t="s">
        <v>31</v>
      </c>
    </row>
    <row r="1897" spans="1:27" x14ac:dyDescent="0.25">
      <c r="A1897" s="10">
        <v>45686</v>
      </c>
      <c r="B1897" s="11" t="s">
        <v>4018</v>
      </c>
      <c r="C1897" s="11" t="s">
        <v>4019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9" t="s">
        <v>26</v>
      </c>
      <c r="AA1897" s="12" t="s">
        <v>31</v>
      </c>
    </row>
    <row r="1898" spans="1:27" x14ac:dyDescent="0.25">
      <c r="A1898" s="10">
        <v>45686</v>
      </c>
      <c r="B1898" s="11" t="s">
        <v>2755</v>
      </c>
      <c r="C1898" s="11" t="s">
        <v>4020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4466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9" t="s">
        <v>26</v>
      </c>
      <c r="AA1898" s="12" t="s">
        <v>31</v>
      </c>
    </row>
    <row r="1899" spans="1:27" x14ac:dyDescent="0.25">
      <c r="A1899" s="10">
        <v>45686</v>
      </c>
      <c r="B1899" s="11" t="s">
        <v>4021</v>
      </c>
      <c r="C1899" s="11" t="s">
        <v>4022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1926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9" t="s">
        <v>26</v>
      </c>
      <c r="AA1899" s="12" t="s">
        <v>31</v>
      </c>
    </row>
    <row r="1900" spans="1:27" x14ac:dyDescent="0.25">
      <c r="A1900" s="10">
        <v>45686</v>
      </c>
      <c r="B1900" s="11" t="s">
        <v>4023</v>
      </c>
      <c r="C1900" s="11" t="s">
        <v>4024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9" t="s">
        <v>41</v>
      </c>
      <c r="AA1900" s="12" t="s">
        <v>79</v>
      </c>
    </row>
    <row r="1901" spans="1:27" x14ac:dyDescent="0.25">
      <c r="A1901" s="10">
        <v>45686</v>
      </c>
      <c r="B1901" s="11" t="s">
        <v>4025</v>
      </c>
      <c r="C1901" s="11" t="s">
        <v>4026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4440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9" t="s">
        <v>26</v>
      </c>
      <c r="AA1901" s="12" t="s">
        <v>31</v>
      </c>
    </row>
    <row r="1902" spans="1:27" x14ac:dyDescent="0.25">
      <c r="A1902" s="10">
        <v>45686</v>
      </c>
      <c r="B1902" s="11" t="s">
        <v>4027</v>
      </c>
      <c r="C1902" s="11" t="s">
        <v>4028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9" t="s">
        <v>26</v>
      </c>
      <c r="AA1902" s="12" t="s">
        <v>31</v>
      </c>
    </row>
    <row r="1903" spans="1:27" x14ac:dyDescent="0.25">
      <c r="A1903" s="10">
        <v>45686</v>
      </c>
      <c r="B1903" s="11" t="s">
        <v>4029</v>
      </c>
      <c r="C1903" s="11" t="s">
        <v>4030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4465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9" t="s">
        <v>26</v>
      </c>
      <c r="AA1903" s="12" t="s">
        <v>31</v>
      </c>
    </row>
    <row r="1904" spans="1:27" x14ac:dyDescent="0.25">
      <c r="A1904" s="10">
        <v>45686</v>
      </c>
      <c r="B1904" s="11" t="s">
        <v>4031</v>
      </c>
      <c r="C1904" s="11" t="s">
        <v>4032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9" t="s">
        <v>26</v>
      </c>
      <c r="AA1904" s="12" t="s">
        <v>31</v>
      </c>
    </row>
    <row r="1905" spans="1:27" x14ac:dyDescent="0.25">
      <c r="A1905" s="10">
        <v>45686</v>
      </c>
      <c r="B1905" s="11" t="s">
        <v>4033</v>
      </c>
      <c r="C1905" s="11" t="s">
        <v>4034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9" t="s">
        <v>26</v>
      </c>
      <c r="AA1905" s="12" t="s">
        <v>31</v>
      </c>
    </row>
    <row r="1906" spans="1:27" x14ac:dyDescent="0.25">
      <c r="A1906" s="10">
        <v>45686</v>
      </c>
      <c r="B1906" s="11" t="s">
        <v>4035</v>
      </c>
      <c r="C1906" s="11" t="s">
        <v>4036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9" t="s">
        <v>26</v>
      </c>
      <c r="AA1906" s="12" t="s">
        <v>31</v>
      </c>
    </row>
    <row r="1907" spans="1:27" x14ac:dyDescent="0.25">
      <c r="A1907" s="10">
        <v>45686</v>
      </c>
      <c r="B1907" s="11" t="s">
        <v>679</v>
      </c>
      <c r="C1907" s="11" t="s">
        <v>4037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9" t="s">
        <v>26</v>
      </c>
      <c r="AA1907" s="12" t="s">
        <v>31</v>
      </c>
    </row>
    <row r="1908" spans="1:27" x14ac:dyDescent="0.25">
      <c r="A1908" s="10">
        <v>45686</v>
      </c>
      <c r="B1908" s="11" t="s">
        <v>4038</v>
      </c>
      <c r="C1908" s="11" t="s">
        <v>4039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4440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9" t="s">
        <v>26</v>
      </c>
      <c r="AA1908" s="12" t="s">
        <v>31</v>
      </c>
    </row>
    <row r="1909" spans="1:27" x14ac:dyDescent="0.25">
      <c r="A1909" s="10">
        <v>45686</v>
      </c>
      <c r="B1909" s="11" t="s">
        <v>4040</v>
      </c>
      <c r="C1909" s="11" t="s">
        <v>4041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9" t="s">
        <v>26</v>
      </c>
      <c r="AA1909" s="12" t="s">
        <v>31</v>
      </c>
    </row>
    <row r="1910" spans="1:27" x14ac:dyDescent="0.25">
      <c r="A1910" s="10">
        <v>45686</v>
      </c>
      <c r="B1910" s="11" t="s">
        <v>202</v>
      </c>
      <c r="C1910" s="11" t="s">
        <v>4042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9" t="s">
        <v>41</v>
      </c>
      <c r="AA1910" s="12" t="s">
        <v>79</v>
      </c>
    </row>
    <row r="1911" spans="1:27" x14ac:dyDescent="0.25">
      <c r="A1911" s="10">
        <v>45686</v>
      </c>
      <c r="B1911" s="11" t="s">
        <v>4043</v>
      </c>
      <c r="C1911" s="11" t="s">
        <v>4044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4463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9" t="s">
        <v>26</v>
      </c>
      <c r="AA1911" s="12" t="s">
        <v>31</v>
      </c>
    </row>
    <row r="1912" spans="1:27" x14ac:dyDescent="0.25">
      <c r="A1912" s="10">
        <v>45686</v>
      </c>
      <c r="B1912" s="11" t="s">
        <v>619</v>
      </c>
      <c r="C1912" s="11" t="s">
        <v>4045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4466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9" t="s">
        <v>26</v>
      </c>
      <c r="AA1912" s="12" t="s">
        <v>31</v>
      </c>
    </row>
    <row r="1913" spans="1:27" x14ac:dyDescent="0.25">
      <c r="A1913" s="10">
        <v>45686</v>
      </c>
      <c r="B1913" s="11" t="s">
        <v>727</v>
      </c>
      <c r="C1913" s="11" t="s">
        <v>4046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4440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9" t="s">
        <v>26</v>
      </c>
      <c r="AA1913" s="12" t="s">
        <v>31</v>
      </c>
    </row>
    <row r="1914" spans="1:27" x14ac:dyDescent="0.25">
      <c r="A1914" s="10">
        <v>45686</v>
      </c>
      <c r="B1914" s="11" t="s">
        <v>341</v>
      </c>
      <c r="C1914" s="11" t="s">
        <v>4047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4466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9" t="s">
        <v>26</v>
      </c>
      <c r="AA1914" s="12" t="s">
        <v>31</v>
      </c>
    </row>
    <row r="1915" spans="1:27" x14ac:dyDescent="0.25">
      <c r="A1915" s="10">
        <v>45686</v>
      </c>
      <c r="B1915" s="11" t="s">
        <v>315</v>
      </c>
      <c r="C1915" s="11" t="s">
        <v>4048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9" t="s">
        <v>26</v>
      </c>
      <c r="AA1915" s="12" t="s">
        <v>31</v>
      </c>
    </row>
    <row r="1916" spans="1:27" x14ac:dyDescent="0.25">
      <c r="A1916" s="10">
        <v>45686</v>
      </c>
      <c r="B1916" s="11" t="s">
        <v>4049</v>
      </c>
      <c r="C1916" s="11" t="s">
        <v>4050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4440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9" t="s">
        <v>26</v>
      </c>
      <c r="AA1916" s="12" t="s">
        <v>31</v>
      </c>
    </row>
    <row r="1917" spans="1:27" x14ac:dyDescent="0.25">
      <c r="A1917" s="10">
        <v>45686</v>
      </c>
      <c r="B1917" s="11" t="s">
        <v>458</v>
      </c>
      <c r="C1917" s="11" t="s">
        <v>4051</v>
      </c>
      <c r="D1917" s="11" t="s">
        <v>26</v>
      </c>
      <c r="E1917" s="11" t="s">
        <v>1668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9" t="s">
        <v>26</v>
      </c>
      <c r="AA1917" s="12" t="s">
        <v>31</v>
      </c>
    </row>
    <row r="1918" spans="1:27" x14ac:dyDescent="0.25">
      <c r="A1918" s="10">
        <v>45686</v>
      </c>
      <c r="B1918" s="11" t="s">
        <v>4052</v>
      </c>
      <c r="C1918" s="11" t="s">
        <v>4053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9" t="s">
        <v>26</v>
      </c>
      <c r="AA1918" s="12" t="s">
        <v>31</v>
      </c>
    </row>
    <row r="1919" spans="1:27" x14ac:dyDescent="0.25">
      <c r="A1919" s="10">
        <v>45686</v>
      </c>
      <c r="B1919" s="11" t="s">
        <v>4054</v>
      </c>
      <c r="C1919" s="11" t="s">
        <v>4055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4465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9" t="s">
        <v>26</v>
      </c>
      <c r="AA1919" s="12" t="s">
        <v>31</v>
      </c>
    </row>
    <row r="1920" spans="1:27" x14ac:dyDescent="0.25">
      <c r="A1920" s="10">
        <v>45686</v>
      </c>
      <c r="B1920" s="11" t="s">
        <v>4056</v>
      </c>
      <c r="C1920" s="11" t="s">
        <v>4057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9" t="s">
        <v>26</v>
      </c>
      <c r="AA1920" s="12" t="s">
        <v>31</v>
      </c>
    </row>
    <row r="1921" spans="1:27" x14ac:dyDescent="0.25">
      <c r="A1921" s="10">
        <v>45686</v>
      </c>
      <c r="B1921" s="11" t="s">
        <v>415</v>
      </c>
      <c r="C1921" s="11" t="s">
        <v>4058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9" t="s">
        <v>26</v>
      </c>
      <c r="AA1921" s="12" t="s">
        <v>31</v>
      </c>
    </row>
    <row r="1922" spans="1:27" x14ac:dyDescent="0.25">
      <c r="A1922" s="10">
        <v>45686</v>
      </c>
      <c r="B1922" s="11" t="s">
        <v>4059</v>
      </c>
      <c r="C1922" s="11" t="s">
        <v>4060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9" t="s">
        <v>26</v>
      </c>
      <c r="AA1922" s="12" t="s">
        <v>31</v>
      </c>
    </row>
    <row r="1923" spans="1:27" x14ac:dyDescent="0.25">
      <c r="A1923" s="10">
        <v>45686</v>
      </c>
      <c r="B1923" s="11" t="s">
        <v>305</v>
      </c>
      <c r="C1923" s="11" t="s">
        <v>4061</v>
      </c>
      <c r="D1923" s="11" t="s">
        <v>26</v>
      </c>
      <c r="E1923" s="11" t="s">
        <v>3955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9" t="s">
        <v>26</v>
      </c>
      <c r="AA1923" s="12" t="s">
        <v>31</v>
      </c>
    </row>
    <row r="1924" spans="1:27" x14ac:dyDescent="0.25">
      <c r="A1924" s="10">
        <v>45686</v>
      </c>
      <c r="B1924" s="11" t="s">
        <v>417</v>
      </c>
      <c r="C1924" s="11" t="s">
        <v>4062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4439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9" t="s">
        <v>45</v>
      </c>
      <c r="AA1924" s="12" t="s">
        <v>78</v>
      </c>
    </row>
    <row r="1925" spans="1:27" x14ac:dyDescent="0.25">
      <c r="A1925" s="10">
        <v>45686</v>
      </c>
      <c r="B1925" s="11" t="s">
        <v>4063</v>
      </c>
      <c r="C1925" s="11" t="s">
        <v>4064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4465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9" t="s">
        <v>26</v>
      </c>
      <c r="AA1925" s="12" t="s">
        <v>31</v>
      </c>
    </row>
    <row r="1926" spans="1:27" x14ac:dyDescent="0.25">
      <c r="A1926" s="10">
        <v>45686</v>
      </c>
      <c r="B1926" s="11" t="s">
        <v>4065</v>
      </c>
      <c r="C1926" s="11" t="s">
        <v>4066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9" t="s">
        <v>26</v>
      </c>
      <c r="AA1926" s="12" t="s">
        <v>31</v>
      </c>
    </row>
    <row r="1927" spans="1:27" x14ac:dyDescent="0.25">
      <c r="A1927" s="10">
        <v>45686</v>
      </c>
      <c r="B1927" s="11" t="s">
        <v>288</v>
      </c>
      <c r="C1927" s="11" t="s">
        <v>4067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9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4068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9" t="s">
        <v>41</v>
      </c>
      <c r="AA1928" s="12" t="s">
        <v>79</v>
      </c>
    </row>
    <row r="1929" spans="1:27" x14ac:dyDescent="0.25">
      <c r="A1929" s="10">
        <v>45686</v>
      </c>
      <c r="B1929" s="11" t="s">
        <v>4069</v>
      </c>
      <c r="C1929" s="11" t="s">
        <v>4070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4466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9" t="s">
        <v>26</v>
      </c>
      <c r="AA1929" s="12" t="s">
        <v>31</v>
      </c>
    </row>
    <row r="1930" spans="1:27" x14ac:dyDescent="0.25">
      <c r="A1930" s="10">
        <v>45686</v>
      </c>
      <c r="B1930" s="11" t="s">
        <v>4071</v>
      </c>
      <c r="C1930" s="11" t="s">
        <v>4072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4440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9" t="s">
        <v>26</v>
      </c>
      <c r="AA1930" s="12" t="s">
        <v>31</v>
      </c>
    </row>
    <row r="1931" spans="1:27" x14ac:dyDescent="0.25">
      <c r="A1931" s="10">
        <v>45686</v>
      </c>
      <c r="B1931" s="11" t="s">
        <v>2467</v>
      </c>
      <c r="C1931" s="11" t="s">
        <v>4073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1926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9" t="s">
        <v>26</v>
      </c>
      <c r="AA1931" s="12" t="s">
        <v>31</v>
      </c>
    </row>
    <row r="1932" spans="1:27" x14ac:dyDescent="0.25">
      <c r="A1932" s="10">
        <v>45686</v>
      </c>
      <c r="B1932" s="11" t="s">
        <v>3080</v>
      </c>
      <c r="C1932" s="11" t="s">
        <v>4074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9" t="s">
        <v>26</v>
      </c>
      <c r="AA1932" s="12" t="s">
        <v>31</v>
      </c>
    </row>
    <row r="1933" spans="1:27" x14ac:dyDescent="0.25">
      <c r="A1933" s="10">
        <v>45686</v>
      </c>
      <c r="B1933" s="11" t="s">
        <v>4075</v>
      </c>
      <c r="C1933" s="11" t="s">
        <v>4076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4466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9" t="s">
        <v>26</v>
      </c>
      <c r="AA1933" s="12" t="s">
        <v>31</v>
      </c>
    </row>
    <row r="1934" spans="1:27" x14ac:dyDescent="0.25">
      <c r="A1934" s="10">
        <v>45686</v>
      </c>
      <c r="B1934" s="11" t="s">
        <v>1250</v>
      </c>
      <c r="C1934" s="11" t="s">
        <v>4077</v>
      </c>
      <c r="D1934" s="11" t="s">
        <v>26</v>
      </c>
      <c r="E1934" s="11" t="s">
        <v>3955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9" t="s">
        <v>26</v>
      </c>
      <c r="AA1934" s="12" t="s">
        <v>31</v>
      </c>
    </row>
    <row r="1935" spans="1:27" x14ac:dyDescent="0.25">
      <c r="A1935" s="10">
        <v>45686</v>
      </c>
      <c r="B1935" s="11" t="s">
        <v>4078</v>
      </c>
      <c r="C1935" s="11" t="s">
        <v>4079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9" t="s">
        <v>26</v>
      </c>
      <c r="AA1935" s="12" t="s">
        <v>31</v>
      </c>
    </row>
    <row r="1936" spans="1:27" x14ac:dyDescent="0.25">
      <c r="A1936" s="10">
        <v>45686</v>
      </c>
      <c r="B1936" s="11" t="s">
        <v>303</v>
      </c>
      <c r="C1936" s="11" t="s">
        <v>4080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4465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9" t="s">
        <v>26</v>
      </c>
      <c r="AA1936" s="12" t="s">
        <v>31</v>
      </c>
    </row>
    <row r="1937" spans="1:27" x14ac:dyDescent="0.25">
      <c r="A1937" s="10">
        <v>45686</v>
      </c>
      <c r="B1937" s="11" t="s">
        <v>4081</v>
      </c>
      <c r="C1937" s="11" t="s">
        <v>4082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4463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9" t="s">
        <v>26</v>
      </c>
      <c r="AA1937" s="12" t="s">
        <v>31</v>
      </c>
    </row>
    <row r="1938" spans="1:27" x14ac:dyDescent="0.25">
      <c r="A1938" s="10">
        <v>45686</v>
      </c>
      <c r="B1938" s="11" t="s">
        <v>4083</v>
      </c>
      <c r="C1938" s="11" t="s">
        <v>4084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4464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9" t="s">
        <v>26</v>
      </c>
      <c r="AA1938" s="12" t="s">
        <v>31</v>
      </c>
    </row>
    <row r="1939" spans="1:27" x14ac:dyDescent="0.25">
      <c r="A1939" s="10">
        <v>45686</v>
      </c>
      <c r="B1939" s="11" t="s">
        <v>459</v>
      </c>
      <c r="C1939" s="11" t="s">
        <v>4085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9" t="s">
        <v>26</v>
      </c>
      <c r="AA1939" s="12" t="s">
        <v>31</v>
      </c>
    </row>
    <row r="1940" spans="1:27" x14ac:dyDescent="0.25">
      <c r="A1940" s="10">
        <v>45686</v>
      </c>
      <c r="B1940" s="11" t="s">
        <v>4086</v>
      </c>
      <c r="C1940" s="11" t="s">
        <v>4087</v>
      </c>
      <c r="D1940" s="11" t="s">
        <v>26</v>
      </c>
      <c r="E1940" s="11" t="s">
        <v>1677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9" t="s">
        <v>26</v>
      </c>
      <c r="AA1940" s="12" t="s">
        <v>31</v>
      </c>
    </row>
    <row r="1941" spans="1:27" x14ac:dyDescent="0.25">
      <c r="A1941" s="10">
        <v>45686</v>
      </c>
      <c r="B1941" s="11" t="s">
        <v>4088</v>
      </c>
      <c r="C1941" s="11" t="s">
        <v>4089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9" t="s">
        <v>26</v>
      </c>
      <c r="AA1941" s="12" t="s">
        <v>31</v>
      </c>
    </row>
    <row r="1942" spans="1:27" x14ac:dyDescent="0.25">
      <c r="A1942" s="10">
        <v>45686</v>
      </c>
      <c r="B1942" s="11" t="s">
        <v>4090</v>
      </c>
      <c r="C1942" s="11" t="s">
        <v>4091</v>
      </c>
      <c r="D1942" s="11" t="s">
        <v>26</v>
      </c>
      <c r="E1942" s="11" t="s">
        <v>1217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9" t="s">
        <v>26</v>
      </c>
      <c r="AA1942" s="12" t="s">
        <v>31</v>
      </c>
    </row>
    <row r="1943" spans="1:27" x14ac:dyDescent="0.25">
      <c r="A1943" s="10">
        <v>45686</v>
      </c>
      <c r="B1943" s="11" t="s">
        <v>4092</v>
      </c>
      <c r="C1943" s="11" t="s">
        <v>4093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9" t="s">
        <v>26</v>
      </c>
      <c r="AA1943" s="12" t="s">
        <v>31</v>
      </c>
    </row>
    <row r="1944" spans="1:27" x14ac:dyDescent="0.25">
      <c r="A1944" s="10">
        <v>45686</v>
      </c>
      <c r="B1944" s="11" t="s">
        <v>2833</v>
      </c>
      <c r="C1944" s="11" t="s">
        <v>4094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9" t="s">
        <v>26</v>
      </c>
      <c r="AA1944" s="12" t="s">
        <v>31</v>
      </c>
    </row>
    <row r="1945" spans="1:27" x14ac:dyDescent="0.25">
      <c r="A1945" s="10">
        <v>45686</v>
      </c>
      <c r="B1945" s="11" t="s">
        <v>4095</v>
      </c>
      <c r="C1945" s="11" t="s">
        <v>4096</v>
      </c>
      <c r="D1945" s="11" t="s">
        <v>26</v>
      </c>
      <c r="E1945" s="11" t="s">
        <v>3955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9" t="s">
        <v>26</v>
      </c>
      <c r="AA1945" s="12" t="s">
        <v>31</v>
      </c>
    </row>
    <row r="1946" spans="1:27" x14ac:dyDescent="0.25">
      <c r="A1946" s="10">
        <v>45686</v>
      </c>
      <c r="B1946" s="11" t="s">
        <v>4049</v>
      </c>
      <c r="C1946" s="11" t="s">
        <v>4097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9" t="s">
        <v>26</v>
      </c>
      <c r="AA1946" s="12" t="s">
        <v>31</v>
      </c>
    </row>
    <row r="1947" spans="1:27" x14ac:dyDescent="0.25">
      <c r="A1947" s="10">
        <v>45686</v>
      </c>
      <c r="B1947" s="11" t="s">
        <v>4098</v>
      </c>
      <c r="C1947" s="11" t="s">
        <v>4099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9" t="s">
        <v>26</v>
      </c>
      <c r="AA1947" s="12" t="s">
        <v>31</v>
      </c>
    </row>
    <row r="1948" spans="1:27" x14ac:dyDescent="0.25">
      <c r="A1948" s="10">
        <v>45686</v>
      </c>
      <c r="B1948" s="11" t="s">
        <v>4100</v>
      </c>
      <c r="C1948" s="11" t="s">
        <v>4101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9" t="s">
        <v>26</v>
      </c>
      <c r="AA1948" s="12" t="s">
        <v>31</v>
      </c>
    </row>
    <row r="1949" spans="1:27" x14ac:dyDescent="0.25">
      <c r="A1949" s="10">
        <v>45686</v>
      </c>
      <c r="B1949" s="11" t="s">
        <v>385</v>
      </c>
      <c r="C1949" s="11" t="s">
        <v>4102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4440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9" t="s">
        <v>26</v>
      </c>
      <c r="AA1949" s="12" t="s">
        <v>31</v>
      </c>
    </row>
    <row r="1950" spans="1:27" x14ac:dyDescent="0.25">
      <c r="A1950" s="10">
        <v>45686</v>
      </c>
      <c r="B1950" s="11" t="s">
        <v>3306</v>
      </c>
      <c r="C1950" s="11" t="s">
        <v>4103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9" t="s">
        <v>26</v>
      </c>
      <c r="AA1950" s="12" t="s">
        <v>31</v>
      </c>
    </row>
    <row r="1951" spans="1:27" x14ac:dyDescent="0.25">
      <c r="A1951" s="10">
        <v>45686</v>
      </c>
      <c r="B1951" s="11" t="s">
        <v>4104</v>
      </c>
      <c r="C1951" s="11" t="s">
        <v>4105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4463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9" t="s">
        <v>26</v>
      </c>
      <c r="AA1951" s="12" t="s">
        <v>31</v>
      </c>
    </row>
    <row r="1952" spans="1:27" x14ac:dyDescent="0.25">
      <c r="A1952" s="10">
        <v>45686</v>
      </c>
      <c r="B1952" s="11" t="s">
        <v>724</v>
      </c>
      <c r="C1952" s="11" t="s">
        <v>4106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9" t="s">
        <v>26</v>
      </c>
      <c r="AA1952" s="12" t="s">
        <v>31</v>
      </c>
    </row>
    <row r="1953" spans="1:27" x14ac:dyDescent="0.25">
      <c r="A1953" s="10">
        <v>45686</v>
      </c>
      <c r="B1953" s="11" t="s">
        <v>404</v>
      </c>
      <c r="C1953" s="11" t="s">
        <v>4107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4466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9" t="s">
        <v>26</v>
      </c>
      <c r="AA1953" s="12" t="s">
        <v>31</v>
      </c>
    </row>
    <row r="1954" spans="1:27" x14ac:dyDescent="0.25">
      <c r="A1954" s="10">
        <v>45686</v>
      </c>
      <c r="B1954" s="11" t="s">
        <v>419</v>
      </c>
      <c r="C1954" s="11" t="s">
        <v>4108</v>
      </c>
      <c r="D1954" s="11" t="s">
        <v>26</v>
      </c>
      <c r="E1954" s="11" t="s">
        <v>3955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9" t="s">
        <v>26</v>
      </c>
      <c r="AA1954" s="12" t="s">
        <v>31</v>
      </c>
    </row>
    <row r="1955" spans="1:27" x14ac:dyDescent="0.25">
      <c r="A1955" s="10">
        <v>45686</v>
      </c>
      <c r="B1955" s="11" t="s">
        <v>4109</v>
      </c>
      <c r="C1955" s="11" t="s">
        <v>4110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9" t="s">
        <v>26</v>
      </c>
      <c r="AA1955" s="12" t="s">
        <v>31</v>
      </c>
    </row>
    <row r="1956" spans="1:27" x14ac:dyDescent="0.25">
      <c r="A1956" s="10">
        <v>45686</v>
      </c>
      <c r="B1956" s="11" t="s">
        <v>351</v>
      </c>
      <c r="C1956" s="11" t="s">
        <v>4111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9" t="s">
        <v>26</v>
      </c>
      <c r="AA1956" s="12" t="s">
        <v>31</v>
      </c>
    </row>
    <row r="1957" spans="1:27" x14ac:dyDescent="0.25">
      <c r="A1957" s="10">
        <v>45686</v>
      </c>
      <c r="B1957" s="11" t="s">
        <v>4112</v>
      </c>
      <c r="C1957" s="11" t="s">
        <v>4113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4466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9" t="s">
        <v>26</v>
      </c>
      <c r="AA1957" s="12" t="s">
        <v>31</v>
      </c>
    </row>
    <row r="1958" spans="1:27" x14ac:dyDescent="0.25">
      <c r="A1958" s="10">
        <v>45686</v>
      </c>
      <c r="B1958" s="11" t="s">
        <v>4114</v>
      </c>
      <c r="C1958" s="11" t="s">
        <v>4115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9" t="s">
        <v>26</v>
      </c>
      <c r="AA1958" s="12" t="s">
        <v>31</v>
      </c>
    </row>
    <row r="1959" spans="1:27" x14ac:dyDescent="0.25">
      <c r="A1959" s="10">
        <v>45686</v>
      </c>
      <c r="B1959" s="11" t="s">
        <v>1681</v>
      </c>
      <c r="C1959" s="11" t="s">
        <v>4116</v>
      </c>
      <c r="D1959" s="11" t="s">
        <v>26</v>
      </c>
      <c r="E1959" s="11" t="s">
        <v>3955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9" t="s">
        <v>26</v>
      </c>
      <c r="AA1959" s="12" t="s">
        <v>31</v>
      </c>
    </row>
    <row r="1960" spans="1:27" x14ac:dyDescent="0.25">
      <c r="A1960" s="10">
        <v>45686</v>
      </c>
      <c r="B1960" s="11" t="s">
        <v>4117</v>
      </c>
      <c r="C1960" s="11" t="s">
        <v>4118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9" t="s">
        <v>26</v>
      </c>
      <c r="AA1960" s="12" t="s">
        <v>31</v>
      </c>
    </row>
    <row r="1961" spans="1:27" x14ac:dyDescent="0.25">
      <c r="A1961" s="10">
        <v>45686</v>
      </c>
      <c r="B1961" s="11" t="s">
        <v>282</v>
      </c>
      <c r="C1961" s="11" t="s">
        <v>4119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4465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9" t="s">
        <v>26</v>
      </c>
      <c r="AA1961" s="12" t="s">
        <v>31</v>
      </c>
    </row>
    <row r="1962" spans="1:27" x14ac:dyDescent="0.25">
      <c r="A1962" s="10">
        <v>45686</v>
      </c>
      <c r="B1962" s="11" t="s">
        <v>4120</v>
      </c>
      <c r="C1962" s="11" t="s">
        <v>4121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4440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9" t="s">
        <v>26</v>
      </c>
      <c r="AA1962" s="12" t="s">
        <v>31</v>
      </c>
    </row>
    <row r="1963" spans="1:27" x14ac:dyDescent="0.25">
      <c r="A1963" s="10">
        <v>45686</v>
      </c>
      <c r="B1963" s="11" t="s">
        <v>383</v>
      </c>
      <c r="C1963" s="11" t="s">
        <v>4122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9" t="s">
        <v>26</v>
      </c>
      <c r="AA1963" s="12" t="s">
        <v>31</v>
      </c>
    </row>
    <row r="1964" spans="1:27" x14ac:dyDescent="0.25">
      <c r="A1964" s="10">
        <v>45686</v>
      </c>
      <c r="B1964" s="11" t="s">
        <v>4123</v>
      </c>
      <c r="C1964" s="11" t="s">
        <v>4124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1926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9" t="s">
        <v>26</v>
      </c>
      <c r="AA1964" s="12" t="s">
        <v>31</v>
      </c>
    </row>
    <row r="1965" spans="1:27" x14ac:dyDescent="0.25">
      <c r="A1965" s="10">
        <v>45686</v>
      </c>
      <c r="B1965" s="11" t="s">
        <v>469</v>
      </c>
      <c r="C1965" s="11" t="s">
        <v>4125</v>
      </c>
      <c r="D1965" s="11" t="s">
        <v>26</v>
      </c>
      <c r="E1965" s="11" t="s">
        <v>1217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9" t="s">
        <v>26</v>
      </c>
      <c r="AA1965" s="12" t="s">
        <v>31</v>
      </c>
    </row>
    <row r="1966" spans="1:27" x14ac:dyDescent="0.25">
      <c r="A1966" s="10">
        <v>45686</v>
      </c>
      <c r="B1966" s="11" t="s">
        <v>4126</v>
      </c>
      <c r="C1966" s="11" t="s">
        <v>4127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9" t="s">
        <v>26</v>
      </c>
      <c r="AA1966" s="12" t="s">
        <v>31</v>
      </c>
    </row>
    <row r="1967" spans="1:27" x14ac:dyDescent="0.25">
      <c r="A1967" s="10">
        <v>45686</v>
      </c>
      <c r="B1967" s="11" t="s">
        <v>633</v>
      </c>
      <c r="C1967" s="11" t="s">
        <v>4128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1926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9" t="s">
        <v>26</v>
      </c>
      <c r="AA1967" s="12" t="s">
        <v>31</v>
      </c>
    </row>
    <row r="1968" spans="1:27" x14ac:dyDescent="0.25">
      <c r="A1968" s="10">
        <v>45686</v>
      </c>
      <c r="B1968" s="11" t="s">
        <v>337</v>
      </c>
      <c r="C1968" s="11" t="s">
        <v>4129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4466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9" t="s">
        <v>26</v>
      </c>
      <c r="AA1968" s="12" t="s">
        <v>31</v>
      </c>
    </row>
    <row r="1969" spans="1:27" x14ac:dyDescent="0.25">
      <c r="A1969" s="10">
        <v>45686</v>
      </c>
      <c r="B1969" s="11" t="s">
        <v>4130</v>
      </c>
      <c r="C1969" s="11" t="s">
        <v>4131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4440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9" t="s">
        <v>26</v>
      </c>
      <c r="AA1969" s="12" t="s">
        <v>31</v>
      </c>
    </row>
    <row r="1970" spans="1:27" x14ac:dyDescent="0.25">
      <c r="A1970" s="10">
        <v>45686</v>
      </c>
      <c r="B1970" s="11" t="s">
        <v>3743</v>
      </c>
      <c r="C1970" s="11" t="s">
        <v>4132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4466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9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4133</v>
      </c>
      <c r="D1971" s="11" t="s">
        <v>26</v>
      </c>
      <c r="E1971" s="11" t="s">
        <v>3955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9" t="s">
        <v>26</v>
      </c>
      <c r="AA1971" s="12" t="s">
        <v>31</v>
      </c>
    </row>
    <row r="1972" spans="1:27" x14ac:dyDescent="0.25">
      <c r="A1972" s="10">
        <v>45686</v>
      </c>
      <c r="B1972" s="11" t="s">
        <v>290</v>
      </c>
      <c r="C1972" s="11" t="s">
        <v>4134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9" t="s">
        <v>26</v>
      </c>
      <c r="AA1972" s="12" t="s">
        <v>31</v>
      </c>
    </row>
    <row r="1973" spans="1:27" x14ac:dyDescent="0.25">
      <c r="A1973" s="10">
        <v>45686</v>
      </c>
      <c r="B1973" s="11" t="s">
        <v>292</v>
      </c>
      <c r="C1973" s="11" t="s">
        <v>4135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9" t="s">
        <v>26</v>
      </c>
      <c r="AA1973" s="12" t="s">
        <v>31</v>
      </c>
    </row>
    <row r="1974" spans="1:27" x14ac:dyDescent="0.25">
      <c r="A1974" s="10">
        <v>45686</v>
      </c>
      <c r="B1974" s="11" t="s">
        <v>453</v>
      </c>
      <c r="C1974" s="11" t="s">
        <v>4136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9" t="s">
        <v>26</v>
      </c>
      <c r="AA1974" s="12" t="s">
        <v>31</v>
      </c>
    </row>
    <row r="1975" spans="1:27" x14ac:dyDescent="0.25">
      <c r="A1975" s="10">
        <v>45686</v>
      </c>
      <c r="B1975" s="11" t="s">
        <v>4137</v>
      </c>
      <c r="C1975" s="11" t="s">
        <v>4138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9" t="s">
        <v>26</v>
      </c>
      <c r="AA1975" s="12" t="s">
        <v>31</v>
      </c>
    </row>
    <row r="1976" spans="1:27" x14ac:dyDescent="0.25">
      <c r="A1976" s="10">
        <v>45686</v>
      </c>
      <c r="B1976" s="11" t="s">
        <v>300</v>
      </c>
      <c r="C1976" s="11" t="s">
        <v>4139</v>
      </c>
      <c r="D1976" s="11" t="s">
        <v>26</v>
      </c>
      <c r="E1976" s="11" t="s">
        <v>3955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9" t="s">
        <v>26</v>
      </c>
      <c r="AA1976" s="12" t="s">
        <v>31</v>
      </c>
    </row>
    <row r="1977" spans="1:27" x14ac:dyDescent="0.25">
      <c r="A1977" s="10">
        <v>45686</v>
      </c>
      <c r="B1977" s="11" t="s">
        <v>2487</v>
      </c>
      <c r="C1977" s="11" t="s">
        <v>4140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9" t="s">
        <v>26</v>
      </c>
      <c r="AA1977" s="12" t="s">
        <v>31</v>
      </c>
    </row>
    <row r="1978" spans="1:27" x14ac:dyDescent="0.25">
      <c r="A1978" s="10">
        <v>45686</v>
      </c>
      <c r="B1978" s="11" t="s">
        <v>4141</v>
      </c>
      <c r="C1978" s="11" t="s">
        <v>4142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9" t="s">
        <v>26</v>
      </c>
      <c r="AA1978" s="12" t="s">
        <v>31</v>
      </c>
    </row>
    <row r="1979" spans="1:27" x14ac:dyDescent="0.25">
      <c r="A1979" s="10">
        <v>45686</v>
      </c>
      <c r="B1979" s="11" t="s">
        <v>612</v>
      </c>
      <c r="C1979" s="11" t="s">
        <v>4143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4466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9" t="s">
        <v>26</v>
      </c>
      <c r="AA1979" s="12" t="s">
        <v>31</v>
      </c>
    </row>
    <row r="1980" spans="1:27" x14ac:dyDescent="0.25">
      <c r="A1980" s="10">
        <v>45686</v>
      </c>
      <c r="B1980" s="11" t="s">
        <v>3515</v>
      </c>
      <c r="C1980" s="11" t="s">
        <v>4144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9" t="s">
        <v>26</v>
      </c>
      <c r="AA1980" s="12" t="s">
        <v>31</v>
      </c>
    </row>
    <row r="1981" spans="1:27" x14ac:dyDescent="0.25">
      <c r="A1981" s="10">
        <v>45686</v>
      </c>
      <c r="B1981" s="11" t="s">
        <v>4145</v>
      </c>
      <c r="C1981" s="11" t="s">
        <v>4146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9" t="s">
        <v>26</v>
      </c>
      <c r="AA1981" s="12" t="s">
        <v>31</v>
      </c>
    </row>
    <row r="1982" spans="1:27" x14ac:dyDescent="0.25">
      <c r="A1982" s="10">
        <v>45686</v>
      </c>
      <c r="B1982" s="11" t="s">
        <v>4147</v>
      </c>
      <c r="C1982" s="11" t="s">
        <v>4148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9" t="s">
        <v>26</v>
      </c>
      <c r="AA1982" s="12" t="s">
        <v>31</v>
      </c>
    </row>
    <row r="1983" spans="1:27" x14ac:dyDescent="0.25">
      <c r="A1983" s="10">
        <v>45686</v>
      </c>
      <c r="B1983" s="11" t="s">
        <v>4149</v>
      </c>
      <c r="C1983" s="11" t="s">
        <v>4150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9" t="s">
        <v>26</v>
      </c>
      <c r="AA1983" s="12" t="s">
        <v>31</v>
      </c>
    </row>
    <row r="1984" spans="1:27" x14ac:dyDescent="0.25">
      <c r="A1984" s="10">
        <v>45686</v>
      </c>
      <c r="B1984" s="11" t="s">
        <v>311</v>
      </c>
      <c r="C1984" s="11" t="s">
        <v>4151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4463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9" t="s">
        <v>26</v>
      </c>
      <c r="AA1984" s="12" t="s">
        <v>31</v>
      </c>
    </row>
    <row r="1985" spans="1:27" x14ac:dyDescent="0.25">
      <c r="A1985" s="10">
        <v>45687</v>
      </c>
      <c r="B1985" s="11" t="s">
        <v>4152</v>
      </c>
      <c r="C1985" s="11" t="s">
        <v>4153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9" t="s">
        <v>26</v>
      </c>
      <c r="AA1985" s="12" t="s">
        <v>31</v>
      </c>
    </row>
    <row r="1986" spans="1:27" x14ac:dyDescent="0.25">
      <c r="A1986" s="10">
        <v>45687</v>
      </c>
      <c r="B1986" s="11" t="s">
        <v>2909</v>
      </c>
      <c r="C1986" s="11" t="s">
        <v>4154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4440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9" t="s">
        <v>26</v>
      </c>
      <c r="AA1986" s="12" t="s">
        <v>31</v>
      </c>
    </row>
    <row r="1987" spans="1:27" x14ac:dyDescent="0.25">
      <c r="A1987" s="10">
        <v>45687</v>
      </c>
      <c r="B1987" s="11" t="s">
        <v>4155</v>
      </c>
      <c r="C1987" s="11" t="s">
        <v>4156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4465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9" t="s">
        <v>26</v>
      </c>
      <c r="AA1987" s="12" t="s">
        <v>31</v>
      </c>
    </row>
    <row r="1988" spans="1:27" x14ac:dyDescent="0.25">
      <c r="A1988" s="10">
        <v>45687</v>
      </c>
      <c r="B1988" s="11" t="s">
        <v>4157</v>
      </c>
      <c r="C1988" s="11" t="s">
        <v>4158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4465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9" t="s">
        <v>26</v>
      </c>
      <c r="AA1988" s="12" t="s">
        <v>31</v>
      </c>
    </row>
    <row r="1989" spans="1:27" x14ac:dyDescent="0.25">
      <c r="A1989" s="10">
        <v>45687</v>
      </c>
      <c r="B1989" s="11" t="s">
        <v>679</v>
      </c>
      <c r="C1989" s="11" t="s">
        <v>4159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4439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9" t="s">
        <v>41</v>
      </c>
      <c r="AA1989" s="12" t="s">
        <v>78</v>
      </c>
    </row>
    <row r="1990" spans="1:27" x14ac:dyDescent="0.25">
      <c r="A1990" s="10">
        <v>45687</v>
      </c>
      <c r="B1990" s="11" t="s">
        <v>3672</v>
      </c>
      <c r="C1990" s="11" t="s">
        <v>4160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9" t="s">
        <v>26</v>
      </c>
      <c r="AA1990" s="12" t="s">
        <v>31</v>
      </c>
    </row>
    <row r="1991" spans="1:27" x14ac:dyDescent="0.25">
      <c r="A1991" s="10">
        <v>45687</v>
      </c>
      <c r="B1991" s="11" t="s">
        <v>4152</v>
      </c>
      <c r="C1991" s="11" t="s">
        <v>4161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4439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9" t="s">
        <v>45</v>
      </c>
      <c r="AA1991" s="12" t="s">
        <v>78</v>
      </c>
    </row>
    <row r="1992" spans="1:27" x14ac:dyDescent="0.25">
      <c r="A1992" s="10">
        <v>45687</v>
      </c>
      <c r="B1992" s="11" t="s">
        <v>4162</v>
      </c>
      <c r="C1992" s="11" t="s">
        <v>4163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4439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9" t="s">
        <v>41</v>
      </c>
      <c r="AA1992" s="12" t="s">
        <v>78</v>
      </c>
    </row>
    <row r="1993" spans="1:27" x14ac:dyDescent="0.25">
      <c r="A1993" s="10">
        <v>45687</v>
      </c>
      <c r="B1993" s="11" t="s">
        <v>4164</v>
      </c>
      <c r="C1993" s="11" t="s">
        <v>4165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4439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9" t="s">
        <v>41</v>
      </c>
      <c r="AA1993" s="12" t="s">
        <v>78</v>
      </c>
    </row>
    <row r="1994" spans="1:27" x14ac:dyDescent="0.25">
      <c r="A1994" s="10">
        <v>45687</v>
      </c>
      <c r="B1994" s="11" t="s">
        <v>4166</v>
      </c>
      <c r="C1994" s="11" t="s">
        <v>4167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4439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9" t="s">
        <v>45</v>
      </c>
      <c r="AA1994" s="12" t="s">
        <v>78</v>
      </c>
    </row>
    <row r="1995" spans="1:27" x14ac:dyDescent="0.25">
      <c r="A1995" s="10">
        <v>45687</v>
      </c>
      <c r="B1995" s="11" t="s">
        <v>610</v>
      </c>
      <c r="C1995" s="11" t="s">
        <v>4168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4465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9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4169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4439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9" t="s">
        <v>41</v>
      </c>
      <c r="AA1996" s="12" t="s">
        <v>78</v>
      </c>
    </row>
    <row r="1997" spans="1:27" x14ac:dyDescent="0.25">
      <c r="A1997" s="10">
        <v>45687</v>
      </c>
      <c r="B1997" s="11" t="s">
        <v>4170</v>
      </c>
      <c r="C1997" s="11" t="s">
        <v>4171</v>
      </c>
      <c r="D1997" s="11" t="s">
        <v>26</v>
      </c>
      <c r="E1997" s="11" t="s">
        <v>3803</v>
      </c>
      <c r="F1997" s="11" t="s">
        <v>26</v>
      </c>
      <c r="G1997" s="11">
        <v>24326</v>
      </c>
      <c r="H1997" s="12" t="s">
        <v>4465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9" t="s">
        <v>26</v>
      </c>
      <c r="AA1997" s="12" t="s">
        <v>31</v>
      </c>
    </row>
    <row r="1998" spans="1:27" x14ac:dyDescent="0.25">
      <c r="A1998" s="10">
        <v>45687</v>
      </c>
      <c r="B1998" s="11" t="s">
        <v>634</v>
      </c>
      <c r="C1998" s="11" t="s">
        <v>4172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9" t="s">
        <v>26</v>
      </c>
      <c r="AA1998" s="12" t="s">
        <v>31</v>
      </c>
    </row>
    <row r="1999" spans="1:27" x14ac:dyDescent="0.25">
      <c r="A1999" s="10">
        <v>45687</v>
      </c>
      <c r="B1999" s="11" t="s">
        <v>4173</v>
      </c>
      <c r="C1999" s="11" t="s">
        <v>4174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4465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9" t="s">
        <v>26</v>
      </c>
      <c r="AA1999" s="12" t="s">
        <v>31</v>
      </c>
    </row>
    <row r="2000" spans="1:27" x14ac:dyDescent="0.25">
      <c r="A2000" s="10">
        <v>45687</v>
      </c>
      <c r="B2000" s="11" t="s">
        <v>692</v>
      </c>
      <c r="C2000" s="11" t="s">
        <v>4175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4440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9" t="s">
        <v>26</v>
      </c>
      <c r="AA2000" s="12" t="s">
        <v>31</v>
      </c>
    </row>
    <row r="2001" spans="1:27" x14ac:dyDescent="0.25">
      <c r="A2001" s="10">
        <v>45687</v>
      </c>
      <c r="B2001" s="11" t="s">
        <v>4176</v>
      </c>
      <c r="C2001" s="11" t="s">
        <v>4177</v>
      </c>
      <c r="D2001" s="11" t="s">
        <v>26</v>
      </c>
      <c r="E2001" s="11" t="s">
        <v>4178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9" t="s">
        <v>26</v>
      </c>
      <c r="AA2001" s="12" t="s">
        <v>31</v>
      </c>
    </row>
    <row r="2002" spans="1:27" x14ac:dyDescent="0.25">
      <c r="A2002" s="10">
        <v>45687</v>
      </c>
      <c r="B2002" s="11" t="s">
        <v>1730</v>
      </c>
      <c r="C2002" s="11" t="s">
        <v>4179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9" t="s">
        <v>26</v>
      </c>
      <c r="AA2002" s="12" t="s">
        <v>31</v>
      </c>
    </row>
    <row r="2003" spans="1:27" x14ac:dyDescent="0.25">
      <c r="A2003" s="10">
        <v>45687</v>
      </c>
      <c r="B2003" s="11" t="s">
        <v>1377</v>
      </c>
      <c r="C2003" s="11" t="s">
        <v>4180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9" t="s">
        <v>26</v>
      </c>
      <c r="AA2003" s="12" t="s">
        <v>31</v>
      </c>
    </row>
    <row r="2004" spans="1:27" x14ac:dyDescent="0.25">
      <c r="A2004" s="10">
        <v>45687</v>
      </c>
      <c r="B2004" s="11" t="s">
        <v>421</v>
      </c>
      <c r="C2004" s="11" t="s">
        <v>4181</v>
      </c>
      <c r="D2004" s="11" t="s">
        <v>26</v>
      </c>
      <c r="E2004" s="11" t="s">
        <v>3851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9" t="s">
        <v>26</v>
      </c>
      <c r="AA2004" s="12" t="s">
        <v>31</v>
      </c>
    </row>
    <row r="2005" spans="1:27" x14ac:dyDescent="0.25">
      <c r="A2005" s="10">
        <v>45687</v>
      </c>
      <c r="B2005" s="11" t="s">
        <v>662</v>
      </c>
      <c r="C2005" s="11" t="s">
        <v>4182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9" t="s">
        <v>26</v>
      </c>
      <c r="AA2005" s="12" t="s">
        <v>31</v>
      </c>
    </row>
    <row r="2006" spans="1:27" x14ac:dyDescent="0.25">
      <c r="A2006" s="10">
        <v>45687</v>
      </c>
      <c r="B2006" s="11" t="s">
        <v>745</v>
      </c>
      <c r="C2006" s="11" t="s">
        <v>4183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4439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9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4184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1926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9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4185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9" t="s">
        <v>26</v>
      </c>
      <c r="AA2008" s="12" t="s">
        <v>31</v>
      </c>
    </row>
    <row r="2009" spans="1:27" x14ac:dyDescent="0.25">
      <c r="A2009" s="10">
        <v>45687</v>
      </c>
      <c r="B2009" s="11" t="s">
        <v>4186</v>
      </c>
      <c r="C2009" s="11" t="s">
        <v>4187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9" t="s">
        <v>26</v>
      </c>
      <c r="AA2009" s="12" t="s">
        <v>31</v>
      </c>
    </row>
    <row r="2010" spans="1:27" x14ac:dyDescent="0.25">
      <c r="A2010" s="10">
        <v>45687</v>
      </c>
      <c r="B2010" s="11" t="s">
        <v>4188</v>
      </c>
      <c r="C2010" s="11" t="s">
        <v>4189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4463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9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4190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9" t="s">
        <v>26</v>
      </c>
      <c r="AA2011" s="12" t="s">
        <v>31</v>
      </c>
    </row>
    <row r="2012" spans="1:27" x14ac:dyDescent="0.25">
      <c r="A2012" s="10">
        <v>45687</v>
      </c>
      <c r="B2012" s="11" t="s">
        <v>690</v>
      </c>
      <c r="C2012" s="11" t="s">
        <v>4191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4463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9" t="s">
        <v>26</v>
      </c>
      <c r="AA2012" s="12" t="s">
        <v>31</v>
      </c>
    </row>
    <row r="2013" spans="1:27" x14ac:dyDescent="0.25">
      <c r="A2013" s="10">
        <v>45687</v>
      </c>
      <c r="B2013" s="11" t="s">
        <v>1240</v>
      </c>
      <c r="C2013" s="11" t="s">
        <v>4192</v>
      </c>
      <c r="D2013" s="11" t="s">
        <v>26</v>
      </c>
      <c r="E2013" s="11" t="s">
        <v>1217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9" t="s">
        <v>26</v>
      </c>
      <c r="AA2013" s="12" t="s">
        <v>31</v>
      </c>
    </row>
    <row r="2014" spans="1:27" x14ac:dyDescent="0.25">
      <c r="A2014" s="10">
        <v>45687</v>
      </c>
      <c r="B2014" s="11" t="s">
        <v>4193</v>
      </c>
      <c r="C2014" s="11" t="s">
        <v>4194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9" t="s">
        <v>26</v>
      </c>
      <c r="AA2014" s="12" t="s">
        <v>31</v>
      </c>
    </row>
    <row r="2015" spans="1:27" x14ac:dyDescent="0.25">
      <c r="A2015" s="10">
        <v>45687</v>
      </c>
      <c r="B2015" s="11" t="s">
        <v>670</v>
      </c>
      <c r="C2015" s="11" t="s">
        <v>4195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9" t="s">
        <v>26</v>
      </c>
      <c r="AA2015" s="12" t="s">
        <v>31</v>
      </c>
    </row>
    <row r="2016" spans="1:27" x14ac:dyDescent="0.25">
      <c r="A2016" s="10">
        <v>45687</v>
      </c>
      <c r="B2016" s="11" t="s">
        <v>4196</v>
      </c>
      <c r="C2016" s="11" t="s">
        <v>4197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9" t="s">
        <v>26</v>
      </c>
      <c r="AA2016" s="12" t="s">
        <v>31</v>
      </c>
    </row>
    <row r="2017" spans="1:27" x14ac:dyDescent="0.25">
      <c r="A2017" s="10">
        <v>45687</v>
      </c>
      <c r="B2017" s="11" t="s">
        <v>4198</v>
      </c>
      <c r="C2017" s="11" t="s">
        <v>4199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9" t="s">
        <v>26</v>
      </c>
      <c r="AA2017" s="12" t="s">
        <v>31</v>
      </c>
    </row>
    <row r="2018" spans="1:27" x14ac:dyDescent="0.25">
      <c r="A2018" s="10">
        <v>45687</v>
      </c>
      <c r="B2018" s="11" t="s">
        <v>4200</v>
      </c>
      <c r="C2018" s="11" t="s">
        <v>4201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9" t="s">
        <v>26</v>
      </c>
      <c r="AA2018" s="12" t="s">
        <v>31</v>
      </c>
    </row>
    <row r="2019" spans="1:27" x14ac:dyDescent="0.25">
      <c r="A2019" s="10">
        <v>45687</v>
      </c>
      <c r="B2019" s="11" t="s">
        <v>299</v>
      </c>
      <c r="C2019" s="11" t="s">
        <v>4202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9" t="s">
        <v>26</v>
      </c>
      <c r="AA2019" s="12" t="s">
        <v>31</v>
      </c>
    </row>
    <row r="2020" spans="1:27" x14ac:dyDescent="0.25">
      <c r="A2020" s="10">
        <v>45687</v>
      </c>
      <c r="B2020" s="11" t="s">
        <v>4203</v>
      </c>
      <c r="C2020" s="11" t="s">
        <v>4204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9" t="s">
        <v>26</v>
      </c>
      <c r="AA2020" s="12" t="s">
        <v>31</v>
      </c>
    </row>
    <row r="2021" spans="1:27" x14ac:dyDescent="0.25">
      <c r="A2021" s="10">
        <v>45687</v>
      </c>
      <c r="B2021" s="11" t="s">
        <v>2781</v>
      </c>
      <c r="C2021" s="11" t="s">
        <v>4205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9" t="s">
        <v>26</v>
      </c>
      <c r="AA2021" s="12" t="s">
        <v>31</v>
      </c>
    </row>
    <row r="2022" spans="1:27" x14ac:dyDescent="0.25">
      <c r="A2022" s="10">
        <v>45687</v>
      </c>
      <c r="B2022" s="11" t="s">
        <v>4206</v>
      </c>
      <c r="C2022" s="11" t="s">
        <v>4207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9" t="s">
        <v>26</v>
      </c>
      <c r="AA2022" s="12" t="s">
        <v>31</v>
      </c>
    </row>
    <row r="2023" spans="1:27" x14ac:dyDescent="0.25">
      <c r="A2023" s="10">
        <v>45687</v>
      </c>
      <c r="B2023" s="11" t="s">
        <v>403</v>
      </c>
      <c r="C2023" s="11" t="s">
        <v>4208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9" t="s">
        <v>26</v>
      </c>
      <c r="AA2023" s="12" t="s">
        <v>31</v>
      </c>
    </row>
    <row r="2024" spans="1:27" x14ac:dyDescent="0.25">
      <c r="A2024" s="10">
        <v>45687</v>
      </c>
      <c r="B2024" s="11" t="s">
        <v>3519</v>
      </c>
      <c r="C2024" s="11" t="s">
        <v>4209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9" t="s">
        <v>26</v>
      </c>
      <c r="AA2024" s="12" t="s">
        <v>31</v>
      </c>
    </row>
    <row r="2025" spans="1:27" x14ac:dyDescent="0.25">
      <c r="A2025" s="10">
        <v>45687</v>
      </c>
      <c r="B2025" s="11" t="s">
        <v>196</v>
      </c>
      <c r="C2025" s="11" t="s">
        <v>4210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4465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9" t="s">
        <v>26</v>
      </c>
      <c r="AA2025" s="12" t="s">
        <v>31</v>
      </c>
    </row>
    <row r="2026" spans="1:27" x14ac:dyDescent="0.25">
      <c r="A2026" s="10">
        <v>45687</v>
      </c>
      <c r="B2026" s="11" t="s">
        <v>4211</v>
      </c>
      <c r="C2026" s="11" t="s">
        <v>4212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9" t="s">
        <v>26</v>
      </c>
      <c r="AA2026" s="12" t="s">
        <v>31</v>
      </c>
    </row>
    <row r="2027" spans="1:27" x14ac:dyDescent="0.25">
      <c r="A2027" s="10">
        <v>45687</v>
      </c>
      <c r="B2027" s="11" t="s">
        <v>249</v>
      </c>
      <c r="C2027" s="11" t="s">
        <v>4213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9" t="s">
        <v>26</v>
      </c>
      <c r="AA2027" s="12" t="s">
        <v>31</v>
      </c>
    </row>
    <row r="2028" spans="1:27" x14ac:dyDescent="0.25">
      <c r="A2028" s="10">
        <v>45687</v>
      </c>
      <c r="B2028" s="11" t="s">
        <v>351</v>
      </c>
      <c r="C2028" s="11" t="s">
        <v>4214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4440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9" t="s">
        <v>26</v>
      </c>
      <c r="AA2028" s="12" t="s">
        <v>31</v>
      </c>
    </row>
    <row r="2029" spans="1:27" x14ac:dyDescent="0.25">
      <c r="A2029" s="10">
        <v>45687</v>
      </c>
      <c r="B2029" s="11" t="s">
        <v>648</v>
      </c>
      <c r="C2029" s="11" t="s">
        <v>4215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4465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9" t="s">
        <v>26</v>
      </c>
      <c r="AA2029" s="12" t="s">
        <v>31</v>
      </c>
    </row>
    <row r="2030" spans="1:27" x14ac:dyDescent="0.25">
      <c r="A2030" s="10">
        <v>45687</v>
      </c>
      <c r="B2030" s="11" t="s">
        <v>734</v>
      </c>
      <c r="C2030" s="11" t="s">
        <v>4216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9" t="s">
        <v>26</v>
      </c>
      <c r="AA2030" s="12" t="s">
        <v>31</v>
      </c>
    </row>
    <row r="2031" spans="1:27" x14ac:dyDescent="0.25">
      <c r="A2031" s="10">
        <v>45687</v>
      </c>
      <c r="B2031" s="11" t="s">
        <v>4217</v>
      </c>
      <c r="C2031" s="11" t="s">
        <v>4218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4440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9" t="s">
        <v>26</v>
      </c>
      <c r="AA2031" s="12" t="s">
        <v>31</v>
      </c>
    </row>
    <row r="2032" spans="1:27" x14ac:dyDescent="0.25">
      <c r="A2032" s="10">
        <v>45687</v>
      </c>
      <c r="B2032" s="11" t="s">
        <v>1681</v>
      </c>
      <c r="C2032" s="11" t="s">
        <v>4219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9" t="s">
        <v>26</v>
      </c>
      <c r="AA2032" s="12" t="s">
        <v>31</v>
      </c>
    </row>
    <row r="2033" spans="1:27" x14ac:dyDescent="0.25">
      <c r="A2033" s="10">
        <v>45687</v>
      </c>
      <c r="B2033" s="11" t="s">
        <v>627</v>
      </c>
      <c r="C2033" s="11" t="s">
        <v>4220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1926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9" t="s">
        <v>26</v>
      </c>
      <c r="AA2033" s="12" t="s">
        <v>31</v>
      </c>
    </row>
    <row r="2034" spans="1:27" x14ac:dyDescent="0.25">
      <c r="A2034" s="10">
        <v>45687</v>
      </c>
      <c r="B2034" s="11" t="s">
        <v>4221</v>
      </c>
      <c r="C2034" s="11" t="s">
        <v>4222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9" t="s">
        <v>26</v>
      </c>
      <c r="AA2034" s="12" t="s">
        <v>31</v>
      </c>
    </row>
    <row r="2035" spans="1:27" x14ac:dyDescent="0.25">
      <c r="A2035" s="10">
        <v>45687</v>
      </c>
      <c r="B2035" s="11" t="s">
        <v>402</v>
      </c>
      <c r="C2035" s="11" t="s">
        <v>4223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9" t="s">
        <v>26</v>
      </c>
      <c r="AA2035" s="12" t="s">
        <v>31</v>
      </c>
    </row>
    <row r="2036" spans="1:27" x14ac:dyDescent="0.25">
      <c r="A2036" s="10">
        <v>45687</v>
      </c>
      <c r="B2036" s="11" t="s">
        <v>1377</v>
      </c>
      <c r="C2036" s="11" t="s">
        <v>4224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1926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9" t="s">
        <v>26</v>
      </c>
      <c r="AA2036" s="12" t="s">
        <v>31</v>
      </c>
    </row>
    <row r="2037" spans="1:27" x14ac:dyDescent="0.25">
      <c r="A2037" s="10">
        <v>45687</v>
      </c>
      <c r="B2037" s="11" t="s">
        <v>4225</v>
      </c>
      <c r="C2037" s="11" t="s">
        <v>4226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9" t="s">
        <v>26</v>
      </c>
      <c r="AA2037" s="12" t="s">
        <v>31</v>
      </c>
    </row>
    <row r="2038" spans="1:27" x14ac:dyDescent="0.25">
      <c r="A2038" s="10">
        <v>45687</v>
      </c>
      <c r="B2038" s="11" t="s">
        <v>1870</v>
      </c>
      <c r="C2038" s="11" t="s">
        <v>4227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9" t="s">
        <v>26</v>
      </c>
      <c r="AA2038" s="12" t="s">
        <v>31</v>
      </c>
    </row>
    <row r="2039" spans="1:27" x14ac:dyDescent="0.25">
      <c r="A2039" s="10">
        <v>45687</v>
      </c>
      <c r="B2039" s="11" t="s">
        <v>4228</v>
      </c>
      <c r="C2039" s="11" t="s">
        <v>4229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9" t="s">
        <v>26</v>
      </c>
      <c r="AA2039" s="12" t="s">
        <v>31</v>
      </c>
    </row>
    <row r="2040" spans="1:27" x14ac:dyDescent="0.25">
      <c r="A2040" s="10">
        <v>45687</v>
      </c>
      <c r="B2040" s="11" t="s">
        <v>423</v>
      </c>
      <c r="C2040" s="11" t="s">
        <v>4230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9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4231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4440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9" t="s">
        <v>26</v>
      </c>
      <c r="AA2041" s="12" t="s">
        <v>31</v>
      </c>
    </row>
    <row r="2042" spans="1:27" x14ac:dyDescent="0.25">
      <c r="A2042" s="10">
        <v>45687</v>
      </c>
      <c r="B2042" s="11" t="s">
        <v>190</v>
      </c>
      <c r="C2042" s="11" t="s">
        <v>4232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9" t="s">
        <v>26</v>
      </c>
      <c r="AA2042" s="12" t="s">
        <v>31</v>
      </c>
    </row>
    <row r="2043" spans="1:27" x14ac:dyDescent="0.25">
      <c r="A2043" s="10">
        <v>45687</v>
      </c>
      <c r="B2043" s="11" t="s">
        <v>380</v>
      </c>
      <c r="C2043" s="11" t="s">
        <v>4233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4440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9" t="s">
        <v>26</v>
      </c>
      <c r="AA2043" s="12" t="s">
        <v>31</v>
      </c>
    </row>
    <row r="2044" spans="1:27" x14ac:dyDescent="0.25">
      <c r="A2044" s="10">
        <v>45687</v>
      </c>
      <c r="B2044" s="11" t="s">
        <v>4234</v>
      </c>
      <c r="C2044" s="11" t="s">
        <v>4235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4440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9" t="s">
        <v>26</v>
      </c>
      <c r="AA2044" s="12" t="s">
        <v>31</v>
      </c>
    </row>
    <row r="2045" spans="1:27" x14ac:dyDescent="0.25">
      <c r="A2045" s="10">
        <v>45687</v>
      </c>
      <c r="B2045" s="11" t="s">
        <v>4236</v>
      </c>
      <c r="C2045" s="11" t="s">
        <v>4237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9" t="s">
        <v>41</v>
      </c>
      <c r="AA2045" s="12" t="s">
        <v>79</v>
      </c>
    </row>
    <row r="2046" spans="1:27" x14ac:dyDescent="0.25">
      <c r="A2046" s="10">
        <v>45687</v>
      </c>
      <c r="B2046" s="11" t="s">
        <v>3596</v>
      </c>
      <c r="C2046" s="11" t="s">
        <v>4238</v>
      </c>
      <c r="D2046" s="11" t="s">
        <v>26</v>
      </c>
      <c r="E2046" s="11" t="s">
        <v>3955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9" t="s">
        <v>26</v>
      </c>
      <c r="AA2046" s="12" t="s">
        <v>31</v>
      </c>
    </row>
    <row r="2047" spans="1:27" x14ac:dyDescent="0.25">
      <c r="A2047" s="10">
        <v>45687</v>
      </c>
      <c r="B2047" s="11" t="s">
        <v>4239</v>
      </c>
      <c r="C2047" s="11" t="s">
        <v>4240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9" t="s">
        <v>26</v>
      </c>
      <c r="AA2047" s="12" t="s">
        <v>31</v>
      </c>
    </row>
    <row r="2048" spans="1:27" x14ac:dyDescent="0.25">
      <c r="A2048" s="10">
        <v>45687</v>
      </c>
      <c r="B2048" s="11" t="s">
        <v>4241</v>
      </c>
      <c r="C2048" s="11" t="s">
        <v>4242</v>
      </c>
      <c r="D2048" s="11" t="s">
        <v>26</v>
      </c>
      <c r="E2048" s="11" t="s">
        <v>1217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9" t="s">
        <v>26</v>
      </c>
      <c r="AA2048" s="12" t="s">
        <v>31</v>
      </c>
    </row>
    <row r="2049" spans="1:27" x14ac:dyDescent="0.25">
      <c r="A2049" s="10">
        <v>45687</v>
      </c>
      <c r="B2049" s="11" t="s">
        <v>4243</v>
      </c>
      <c r="C2049" s="11" t="s">
        <v>4244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9" t="s">
        <v>26</v>
      </c>
      <c r="AA2049" s="12" t="s">
        <v>31</v>
      </c>
    </row>
    <row r="2050" spans="1:27" x14ac:dyDescent="0.25">
      <c r="A2050" s="10">
        <v>45687</v>
      </c>
      <c r="B2050" s="11" t="s">
        <v>260</v>
      </c>
      <c r="C2050" s="11" t="s">
        <v>4245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9" t="s">
        <v>26</v>
      </c>
      <c r="AA2050" s="12" t="s">
        <v>31</v>
      </c>
    </row>
    <row r="2051" spans="1:27" x14ac:dyDescent="0.25">
      <c r="A2051" s="10">
        <v>45687</v>
      </c>
      <c r="B2051" s="11" t="s">
        <v>409</v>
      </c>
      <c r="C2051" s="11" t="s">
        <v>4246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9" t="s">
        <v>26</v>
      </c>
      <c r="AA2051" s="12" t="s">
        <v>31</v>
      </c>
    </row>
    <row r="2052" spans="1:27" x14ac:dyDescent="0.25">
      <c r="A2052" s="10">
        <v>45687</v>
      </c>
      <c r="B2052" s="11" t="s">
        <v>2552</v>
      </c>
      <c r="C2052" s="11" t="s">
        <v>4247</v>
      </c>
      <c r="D2052" s="11" t="s">
        <v>26</v>
      </c>
      <c r="E2052" s="11" t="s">
        <v>3955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9" t="s">
        <v>26</v>
      </c>
      <c r="AA2052" s="12" t="s">
        <v>31</v>
      </c>
    </row>
    <row r="2053" spans="1:27" x14ac:dyDescent="0.25">
      <c r="A2053" s="10">
        <v>45687</v>
      </c>
      <c r="B2053" s="11" t="s">
        <v>4248</v>
      </c>
      <c r="C2053" s="11" t="s">
        <v>4249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9" t="s">
        <v>26</v>
      </c>
      <c r="AA2053" s="12" t="s">
        <v>31</v>
      </c>
    </row>
    <row r="2054" spans="1:27" x14ac:dyDescent="0.25">
      <c r="A2054" s="10">
        <v>45687</v>
      </c>
      <c r="B2054" s="11" t="s">
        <v>1973</v>
      </c>
      <c r="C2054" s="11" t="s">
        <v>4250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9" t="s">
        <v>26</v>
      </c>
      <c r="AA2054" s="12" t="s">
        <v>31</v>
      </c>
    </row>
    <row r="2055" spans="1:27" x14ac:dyDescent="0.25">
      <c r="A2055" s="10">
        <v>45687</v>
      </c>
      <c r="B2055" s="11" t="s">
        <v>257</v>
      </c>
      <c r="C2055" s="11" t="s">
        <v>4251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9" t="s">
        <v>26</v>
      </c>
      <c r="AA2055" s="12" t="s">
        <v>31</v>
      </c>
    </row>
    <row r="2056" spans="1:27" x14ac:dyDescent="0.25">
      <c r="A2056" s="10">
        <v>45687</v>
      </c>
      <c r="B2056" s="11" t="s">
        <v>4252</v>
      </c>
      <c r="C2056" s="11" t="s">
        <v>4253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9" t="s">
        <v>26</v>
      </c>
      <c r="AA2056" s="12" t="s">
        <v>31</v>
      </c>
    </row>
    <row r="2057" spans="1:27" x14ac:dyDescent="0.25">
      <c r="A2057" s="10">
        <v>45687</v>
      </c>
      <c r="B2057" s="11" t="s">
        <v>3045</v>
      </c>
      <c r="C2057" s="11" t="s">
        <v>4254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1926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9" t="s">
        <v>26</v>
      </c>
      <c r="AA2057" s="12" t="s">
        <v>31</v>
      </c>
    </row>
    <row r="2058" spans="1:27" x14ac:dyDescent="0.25">
      <c r="A2058" s="10">
        <v>45687</v>
      </c>
      <c r="B2058" s="11" t="s">
        <v>4255</v>
      </c>
      <c r="C2058" s="11" t="s">
        <v>4256</v>
      </c>
      <c r="D2058" s="11" t="s">
        <v>26</v>
      </c>
      <c r="E2058" s="11" t="s">
        <v>3955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9" t="s">
        <v>26</v>
      </c>
      <c r="AA2058" s="12" t="s">
        <v>31</v>
      </c>
    </row>
    <row r="2059" spans="1:27" x14ac:dyDescent="0.25">
      <c r="A2059" s="10">
        <v>45687</v>
      </c>
      <c r="B2059" s="11" t="s">
        <v>4257</v>
      </c>
      <c r="C2059" s="11" t="s">
        <v>4258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9" t="s">
        <v>26</v>
      </c>
      <c r="AA2059" s="12" t="s">
        <v>31</v>
      </c>
    </row>
    <row r="2060" spans="1:27" x14ac:dyDescent="0.25">
      <c r="A2060" s="10">
        <v>45687</v>
      </c>
      <c r="B2060" s="11" t="s">
        <v>4259</v>
      </c>
      <c r="C2060" s="11" t="s">
        <v>4260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9" t="s">
        <v>41</v>
      </c>
      <c r="AA2060" s="12" t="s">
        <v>79</v>
      </c>
    </row>
    <row r="2061" spans="1:27" x14ac:dyDescent="0.25">
      <c r="A2061" s="10">
        <v>45687</v>
      </c>
      <c r="B2061" s="11" t="s">
        <v>645</v>
      </c>
      <c r="C2061" s="11" t="s">
        <v>4261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9" t="s">
        <v>26</v>
      </c>
      <c r="AA2061" s="12" t="s">
        <v>31</v>
      </c>
    </row>
    <row r="2062" spans="1:27" x14ac:dyDescent="0.25">
      <c r="A2062" s="10">
        <v>45687</v>
      </c>
      <c r="B2062" s="11" t="s">
        <v>4262</v>
      </c>
      <c r="C2062" s="11" t="s">
        <v>4263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9" t="s">
        <v>26</v>
      </c>
      <c r="AA2062" s="12" t="s">
        <v>31</v>
      </c>
    </row>
    <row r="2063" spans="1:27" x14ac:dyDescent="0.25">
      <c r="A2063" s="10">
        <v>45687</v>
      </c>
      <c r="B2063" s="11" t="s">
        <v>4264</v>
      </c>
      <c r="C2063" s="11" t="s">
        <v>4265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9" t="s">
        <v>26</v>
      </c>
      <c r="AA2063" s="12" t="s">
        <v>31</v>
      </c>
    </row>
    <row r="2064" spans="1:27" x14ac:dyDescent="0.25">
      <c r="A2064" s="10">
        <v>45687</v>
      </c>
      <c r="B2064" s="11" t="s">
        <v>323</v>
      </c>
      <c r="C2064" s="11" t="s">
        <v>4266</v>
      </c>
      <c r="D2064" s="11" t="s">
        <v>26</v>
      </c>
      <c r="E2064" s="11" t="s">
        <v>3955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9" t="s">
        <v>26</v>
      </c>
      <c r="AA2064" s="12" t="s">
        <v>31</v>
      </c>
    </row>
    <row r="2065" spans="1:27" x14ac:dyDescent="0.25">
      <c r="A2065" s="10">
        <v>45687</v>
      </c>
      <c r="B2065" s="11" t="s">
        <v>4267</v>
      </c>
      <c r="C2065" s="11" t="s">
        <v>4268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1926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9" t="s">
        <v>26</v>
      </c>
      <c r="AA2065" s="12" t="s">
        <v>31</v>
      </c>
    </row>
    <row r="2066" spans="1:27" x14ac:dyDescent="0.25">
      <c r="A2066" s="10">
        <v>45687</v>
      </c>
      <c r="B2066" s="11" t="s">
        <v>4269</v>
      </c>
      <c r="C2066" s="11" t="s">
        <v>4270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4440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9" t="s">
        <v>26</v>
      </c>
      <c r="AA2066" s="12" t="s">
        <v>31</v>
      </c>
    </row>
    <row r="2067" spans="1:27" x14ac:dyDescent="0.25">
      <c r="A2067" s="10">
        <v>45687</v>
      </c>
      <c r="B2067" s="11" t="s">
        <v>175</v>
      </c>
      <c r="C2067" s="11" t="s">
        <v>4271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9" t="s">
        <v>26</v>
      </c>
      <c r="AA2067" s="12" t="s">
        <v>31</v>
      </c>
    </row>
    <row r="2068" spans="1:27" x14ac:dyDescent="0.25">
      <c r="A2068" s="10">
        <v>45687</v>
      </c>
      <c r="B2068" s="11" t="s">
        <v>4272</v>
      </c>
      <c r="C2068" s="11" t="s">
        <v>4273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9" t="s">
        <v>26</v>
      </c>
      <c r="AA2068" s="12" t="s">
        <v>31</v>
      </c>
    </row>
    <row r="2069" spans="1:27" x14ac:dyDescent="0.25">
      <c r="A2069" s="10">
        <v>45687</v>
      </c>
      <c r="B2069" s="11" t="s">
        <v>4274</v>
      </c>
      <c r="C2069" s="11" t="s">
        <v>4275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9" t="s">
        <v>26</v>
      </c>
      <c r="AA2069" s="12" t="s">
        <v>31</v>
      </c>
    </row>
    <row r="2070" spans="1:27" x14ac:dyDescent="0.25">
      <c r="A2070" s="10">
        <v>45687</v>
      </c>
      <c r="B2070" s="11" t="s">
        <v>4276</v>
      </c>
      <c r="C2070" s="11" t="s">
        <v>4277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4440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9" t="s">
        <v>26</v>
      </c>
      <c r="AA2070" s="12" t="s">
        <v>31</v>
      </c>
    </row>
    <row r="2071" spans="1:27" x14ac:dyDescent="0.25">
      <c r="A2071" s="10">
        <v>45687</v>
      </c>
      <c r="B2071" s="11" t="s">
        <v>4278</v>
      </c>
      <c r="C2071" s="11" t="s">
        <v>4279</v>
      </c>
      <c r="D2071" s="11" t="s">
        <v>26</v>
      </c>
      <c r="E2071" s="11" t="s">
        <v>3654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9" t="s">
        <v>26</v>
      </c>
      <c r="AA2071" s="12" t="s">
        <v>31</v>
      </c>
    </row>
    <row r="2072" spans="1:27" x14ac:dyDescent="0.25">
      <c r="A2072" s="10">
        <v>45687</v>
      </c>
      <c r="B2072" s="11" t="s">
        <v>4280</v>
      </c>
      <c r="C2072" s="11" t="s">
        <v>4281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9" t="s">
        <v>26</v>
      </c>
      <c r="AA2072" s="12" t="s">
        <v>31</v>
      </c>
    </row>
    <row r="2073" spans="1:27" x14ac:dyDescent="0.25">
      <c r="A2073" s="10">
        <v>45687</v>
      </c>
      <c r="B2073" s="11" t="s">
        <v>384</v>
      </c>
      <c r="C2073" s="11" t="s">
        <v>4282</v>
      </c>
      <c r="D2073" s="11" t="s">
        <v>26</v>
      </c>
      <c r="E2073" s="11" t="s">
        <v>3955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9" t="s">
        <v>26</v>
      </c>
      <c r="AA2073" s="12" t="s">
        <v>31</v>
      </c>
    </row>
    <row r="2074" spans="1:27" x14ac:dyDescent="0.25">
      <c r="A2074" s="10">
        <v>45687</v>
      </c>
      <c r="B2074" s="11" t="s">
        <v>4283</v>
      </c>
      <c r="C2074" s="11" t="s">
        <v>4284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9" t="s">
        <v>26</v>
      </c>
      <c r="AA2074" s="12" t="s">
        <v>31</v>
      </c>
    </row>
    <row r="2075" spans="1:27" x14ac:dyDescent="0.25">
      <c r="A2075" s="10">
        <v>45687</v>
      </c>
      <c r="B2075" s="11" t="s">
        <v>3793</v>
      </c>
      <c r="C2075" s="11" t="s">
        <v>4285</v>
      </c>
      <c r="D2075" s="11" t="s">
        <v>26</v>
      </c>
      <c r="E2075" s="11" t="s">
        <v>1217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9" t="s">
        <v>26</v>
      </c>
      <c r="AA2075" s="12" t="s">
        <v>31</v>
      </c>
    </row>
    <row r="2076" spans="1:27" x14ac:dyDescent="0.25">
      <c r="A2076" s="10">
        <v>45687</v>
      </c>
      <c r="B2076" s="11" t="s">
        <v>3791</v>
      </c>
      <c r="C2076" s="11" t="s">
        <v>4286</v>
      </c>
      <c r="D2076" s="11" t="s">
        <v>26</v>
      </c>
      <c r="E2076" s="11" t="s">
        <v>3955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9" t="s">
        <v>26</v>
      </c>
      <c r="AA2076" s="12" t="s">
        <v>31</v>
      </c>
    </row>
    <row r="2077" spans="1:27" x14ac:dyDescent="0.25">
      <c r="A2077" s="10">
        <v>45688</v>
      </c>
      <c r="B2077" s="11" t="s">
        <v>4287</v>
      </c>
      <c r="C2077" s="11" t="s">
        <v>4288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4465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9" t="s">
        <v>26</v>
      </c>
      <c r="AA2077" s="12" t="s">
        <v>31</v>
      </c>
    </row>
    <row r="2078" spans="1:27" x14ac:dyDescent="0.25">
      <c r="A2078" s="10">
        <v>45688</v>
      </c>
      <c r="B2078" s="11" t="s">
        <v>1240</v>
      </c>
      <c r="C2078" s="11" t="s">
        <v>4289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4465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9" t="s">
        <v>26</v>
      </c>
      <c r="AA2078" s="12" t="s">
        <v>31</v>
      </c>
    </row>
    <row r="2079" spans="1:27" x14ac:dyDescent="0.25">
      <c r="A2079" s="10">
        <v>45688</v>
      </c>
      <c r="B2079" s="11" t="s">
        <v>1139</v>
      </c>
      <c r="C2079" s="11" t="s">
        <v>4290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4440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9" t="s">
        <v>26</v>
      </c>
      <c r="AA2079" s="12" t="s">
        <v>31</v>
      </c>
    </row>
    <row r="2080" spans="1:27" x14ac:dyDescent="0.25">
      <c r="A2080" s="10">
        <v>45688</v>
      </c>
      <c r="B2080" s="11" t="s">
        <v>298</v>
      </c>
      <c r="C2080" s="11" t="s">
        <v>4291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9" t="s">
        <v>26</v>
      </c>
      <c r="AA2080" s="12" t="s">
        <v>31</v>
      </c>
    </row>
    <row r="2081" spans="1:27" x14ac:dyDescent="0.25">
      <c r="A2081" s="10">
        <v>45688</v>
      </c>
      <c r="B2081" s="11" t="s">
        <v>470</v>
      </c>
      <c r="C2081" s="11" t="s">
        <v>4292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4440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9" t="s">
        <v>26</v>
      </c>
      <c r="AA2081" s="12" t="s">
        <v>31</v>
      </c>
    </row>
    <row r="2082" spans="1:27" x14ac:dyDescent="0.25">
      <c r="A2082" s="10">
        <v>45688</v>
      </c>
      <c r="B2082" s="11" t="s">
        <v>279</v>
      </c>
      <c r="C2082" s="11" t="s">
        <v>4293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9" t="s">
        <v>41</v>
      </c>
      <c r="AA2082" s="12" t="s">
        <v>79</v>
      </c>
    </row>
    <row r="2083" spans="1:27" x14ac:dyDescent="0.25">
      <c r="A2083" s="10">
        <v>45688</v>
      </c>
      <c r="B2083" s="11" t="s">
        <v>680</v>
      </c>
      <c r="C2083" s="11" t="s">
        <v>4294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4440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9" t="s">
        <v>26</v>
      </c>
      <c r="AA2083" s="12" t="s">
        <v>31</v>
      </c>
    </row>
    <row r="2084" spans="1:27" x14ac:dyDescent="0.25">
      <c r="A2084" s="10">
        <v>45688</v>
      </c>
      <c r="B2084" s="11" t="s">
        <v>4295</v>
      </c>
      <c r="C2084" s="11" t="s">
        <v>4296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9" t="s">
        <v>41</v>
      </c>
      <c r="AA2084" s="12" t="s">
        <v>79</v>
      </c>
    </row>
    <row r="2085" spans="1:27" x14ac:dyDescent="0.25">
      <c r="A2085" s="10">
        <v>45688</v>
      </c>
      <c r="B2085" s="11" t="s">
        <v>2557</v>
      </c>
      <c r="C2085" s="11" t="s">
        <v>4297</v>
      </c>
      <c r="D2085" s="11" t="s">
        <v>26</v>
      </c>
      <c r="E2085" s="11" t="s">
        <v>2126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9" t="s">
        <v>26</v>
      </c>
      <c r="AA2085" s="12" t="s">
        <v>31</v>
      </c>
    </row>
    <row r="2086" spans="1:27" x14ac:dyDescent="0.25">
      <c r="A2086" s="10">
        <v>45688</v>
      </c>
      <c r="B2086" s="11" t="s">
        <v>4298</v>
      </c>
      <c r="C2086" s="11" t="s">
        <v>4299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4439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9" t="s">
        <v>41</v>
      </c>
      <c r="AA2086" s="12" t="s">
        <v>78</v>
      </c>
    </row>
    <row r="2087" spans="1:27" x14ac:dyDescent="0.25">
      <c r="A2087" s="10">
        <v>45688</v>
      </c>
      <c r="B2087" s="11" t="s">
        <v>676</v>
      </c>
      <c r="C2087" s="11" t="s">
        <v>4300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9" t="s">
        <v>26</v>
      </c>
      <c r="AA2087" s="12" t="s">
        <v>31</v>
      </c>
    </row>
    <row r="2088" spans="1:27" x14ac:dyDescent="0.25">
      <c r="A2088" s="10">
        <v>45688</v>
      </c>
      <c r="B2088" s="11" t="s">
        <v>4200</v>
      </c>
      <c r="C2088" s="11" t="s">
        <v>4301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4465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9" t="s">
        <v>26</v>
      </c>
      <c r="AA2088" s="12" t="s">
        <v>31</v>
      </c>
    </row>
    <row r="2089" spans="1:27" x14ac:dyDescent="0.25">
      <c r="A2089" s="10">
        <v>45688</v>
      </c>
      <c r="B2089" s="11" t="s">
        <v>278</v>
      </c>
      <c r="C2089" s="11" t="s">
        <v>4302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4439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9" t="s">
        <v>41</v>
      </c>
      <c r="AA2089" s="12" t="s">
        <v>78</v>
      </c>
    </row>
    <row r="2090" spans="1:27" x14ac:dyDescent="0.25">
      <c r="A2090" s="10">
        <v>45688</v>
      </c>
      <c r="B2090" s="11" t="s">
        <v>4303</v>
      </c>
      <c r="C2090" s="11" t="s">
        <v>4304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4439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9" t="s">
        <v>41</v>
      </c>
      <c r="AA2090" s="12" t="s">
        <v>78</v>
      </c>
    </row>
    <row r="2091" spans="1:27" x14ac:dyDescent="0.25">
      <c r="A2091" s="10">
        <v>45688</v>
      </c>
      <c r="B2091" s="11" t="s">
        <v>4305</v>
      </c>
      <c r="C2091" s="11" t="s">
        <v>4306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9" t="s">
        <v>26</v>
      </c>
      <c r="AA2091" s="12" t="s">
        <v>31</v>
      </c>
    </row>
    <row r="2092" spans="1:27" x14ac:dyDescent="0.25">
      <c r="A2092" s="10">
        <v>45688</v>
      </c>
      <c r="B2092" s="11" t="s">
        <v>4307</v>
      </c>
      <c r="C2092" s="11" t="s">
        <v>4308</v>
      </c>
      <c r="D2092" s="11" t="s">
        <v>26</v>
      </c>
      <c r="E2092" s="11" t="s">
        <v>1742</v>
      </c>
      <c r="F2092" s="11" t="s">
        <v>26</v>
      </c>
      <c r="G2092" s="11">
        <v>3295</v>
      </c>
      <c r="H2092" s="12" t="s">
        <v>4465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9" t="s">
        <v>26</v>
      </c>
      <c r="AA2092" s="12" t="s">
        <v>31</v>
      </c>
    </row>
    <row r="2093" spans="1:27" x14ac:dyDescent="0.25">
      <c r="A2093" s="10">
        <v>45688</v>
      </c>
      <c r="B2093" s="11" t="s">
        <v>4309</v>
      </c>
      <c r="C2093" s="11" t="s">
        <v>4310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4439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9" t="s">
        <v>41</v>
      </c>
      <c r="AA2093" s="12" t="s">
        <v>78</v>
      </c>
    </row>
    <row r="2094" spans="1:27" x14ac:dyDescent="0.25">
      <c r="A2094" s="10">
        <v>45688</v>
      </c>
      <c r="B2094" s="11" t="s">
        <v>4311</v>
      </c>
      <c r="C2094" s="11" t="s">
        <v>4312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9" t="s">
        <v>26</v>
      </c>
      <c r="AA2094" s="12" t="s">
        <v>31</v>
      </c>
    </row>
    <row r="2095" spans="1:27" x14ac:dyDescent="0.25">
      <c r="A2095" s="10">
        <v>45688</v>
      </c>
      <c r="B2095" s="11" t="s">
        <v>4313</v>
      </c>
      <c r="C2095" s="11" t="s">
        <v>4314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9" t="s">
        <v>26</v>
      </c>
      <c r="AA2095" s="12" t="s">
        <v>31</v>
      </c>
    </row>
    <row r="2096" spans="1:27" x14ac:dyDescent="0.25">
      <c r="A2096" s="10">
        <v>45688</v>
      </c>
      <c r="B2096" s="11" t="s">
        <v>4315</v>
      </c>
      <c r="C2096" s="11" t="s">
        <v>4316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9" t="s">
        <v>26</v>
      </c>
      <c r="AA2096" s="12" t="s">
        <v>31</v>
      </c>
    </row>
    <row r="2097" spans="1:27" x14ac:dyDescent="0.25">
      <c r="A2097" s="10">
        <v>45688</v>
      </c>
      <c r="B2097" s="11" t="s">
        <v>1167</v>
      </c>
      <c r="C2097" s="11" t="s">
        <v>4317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9" t="s">
        <v>26</v>
      </c>
      <c r="AA2097" s="12" t="s">
        <v>31</v>
      </c>
    </row>
    <row r="2098" spans="1:27" x14ac:dyDescent="0.25">
      <c r="A2098" s="10">
        <v>45688</v>
      </c>
      <c r="B2098" s="11" t="s">
        <v>4318</v>
      </c>
      <c r="C2098" s="11" t="s">
        <v>4319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4440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9" t="s">
        <v>26</v>
      </c>
      <c r="AA2098" s="12" t="s">
        <v>31</v>
      </c>
    </row>
    <row r="2099" spans="1:27" x14ac:dyDescent="0.25">
      <c r="A2099" s="10">
        <v>45688</v>
      </c>
      <c r="B2099" s="11" t="s">
        <v>4320</v>
      </c>
      <c r="C2099" s="11" t="s">
        <v>4321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9" t="s">
        <v>26</v>
      </c>
      <c r="AA2099" s="12" t="s">
        <v>31</v>
      </c>
    </row>
    <row r="2100" spans="1:27" x14ac:dyDescent="0.25">
      <c r="A2100" s="10">
        <v>45688</v>
      </c>
      <c r="B2100" s="11" t="s">
        <v>625</v>
      </c>
      <c r="C2100" s="11" t="s">
        <v>4322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4440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9" t="s">
        <v>26</v>
      </c>
      <c r="AA2100" s="12" t="s">
        <v>31</v>
      </c>
    </row>
    <row r="2101" spans="1:27" x14ac:dyDescent="0.25">
      <c r="A2101" s="10">
        <v>45688</v>
      </c>
      <c r="B2101" s="11" t="s">
        <v>4323</v>
      </c>
      <c r="C2101" s="11" t="s">
        <v>4324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1926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9" t="s">
        <v>26</v>
      </c>
      <c r="AA2101" s="12" t="s">
        <v>31</v>
      </c>
    </row>
    <row r="2102" spans="1:27" x14ac:dyDescent="0.25">
      <c r="A2102" s="10">
        <v>45688</v>
      </c>
      <c r="B2102" s="11" t="s">
        <v>4325</v>
      </c>
      <c r="C2102" s="11" t="s">
        <v>4326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4440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9" t="s">
        <v>26</v>
      </c>
      <c r="AA2102" s="12" t="s">
        <v>31</v>
      </c>
    </row>
    <row r="2103" spans="1:27" x14ac:dyDescent="0.25">
      <c r="A2103" s="10">
        <v>45688</v>
      </c>
      <c r="B2103" s="11" t="s">
        <v>4327</v>
      </c>
      <c r="C2103" s="11" t="s">
        <v>4328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1926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9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4329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9" t="s">
        <v>26</v>
      </c>
      <c r="AA2104" s="12" t="s">
        <v>31</v>
      </c>
    </row>
    <row r="2105" spans="1:27" x14ac:dyDescent="0.25">
      <c r="A2105" s="10">
        <v>45688</v>
      </c>
      <c r="B2105" s="11" t="s">
        <v>4330</v>
      </c>
      <c r="C2105" s="11" t="s">
        <v>4331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4465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9" t="s">
        <v>26</v>
      </c>
      <c r="AA2105" s="12" t="s">
        <v>31</v>
      </c>
    </row>
    <row r="2106" spans="1:27" x14ac:dyDescent="0.25">
      <c r="A2106" s="10">
        <v>45688</v>
      </c>
      <c r="B2106" s="11" t="s">
        <v>348</v>
      </c>
      <c r="C2106" s="11" t="s">
        <v>4332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9" t="s">
        <v>26</v>
      </c>
      <c r="AA2106" s="12" t="s">
        <v>31</v>
      </c>
    </row>
    <row r="2107" spans="1:27" x14ac:dyDescent="0.25">
      <c r="A2107" s="10">
        <v>45688</v>
      </c>
      <c r="B2107" s="11" t="s">
        <v>4333</v>
      </c>
      <c r="C2107" s="11" t="s">
        <v>4334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9" t="s">
        <v>26</v>
      </c>
      <c r="AA2107" s="12" t="s">
        <v>31</v>
      </c>
    </row>
    <row r="2108" spans="1:27" x14ac:dyDescent="0.25">
      <c r="A2108" s="10">
        <v>45688</v>
      </c>
      <c r="B2108" s="11" t="s">
        <v>4335</v>
      </c>
      <c r="C2108" s="11" t="s">
        <v>4336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9" t="s">
        <v>26</v>
      </c>
      <c r="AA2108" s="12" t="s">
        <v>31</v>
      </c>
    </row>
    <row r="2109" spans="1:27" x14ac:dyDescent="0.25">
      <c r="A2109" s="10">
        <v>45688</v>
      </c>
      <c r="B2109" s="11" t="s">
        <v>196</v>
      </c>
      <c r="C2109" s="11" t="s">
        <v>4337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4465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9" t="s">
        <v>26</v>
      </c>
      <c r="AA2109" s="12" t="s">
        <v>31</v>
      </c>
    </row>
    <row r="2110" spans="1:27" x14ac:dyDescent="0.25">
      <c r="A2110" s="10">
        <v>45688</v>
      </c>
      <c r="B2110" s="11" t="s">
        <v>723</v>
      </c>
      <c r="C2110" s="11" t="s">
        <v>4338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4439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9" t="s">
        <v>70</v>
      </c>
      <c r="AA2110" s="12" t="s">
        <v>78</v>
      </c>
    </row>
    <row r="2111" spans="1:27" x14ac:dyDescent="0.25">
      <c r="A2111" s="10">
        <v>45688</v>
      </c>
      <c r="B2111" s="11" t="s">
        <v>402</v>
      </c>
      <c r="C2111" s="11" t="s">
        <v>4339</v>
      </c>
      <c r="D2111" s="11" t="s">
        <v>26</v>
      </c>
      <c r="E2111" s="11" t="s">
        <v>4340</v>
      </c>
      <c r="F2111" s="11" t="s">
        <v>26</v>
      </c>
      <c r="G2111" s="11">
        <v>2955</v>
      </c>
      <c r="H2111" s="12" t="s">
        <v>4459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>
        <v>0</v>
      </c>
      <c r="Y2111" s="16">
        <v>0</v>
      </c>
      <c r="Z2111" s="69" t="s">
        <v>26</v>
      </c>
      <c r="AA2111" s="12" t="s">
        <v>31</v>
      </c>
    </row>
    <row r="2112" spans="1:27" x14ac:dyDescent="0.25">
      <c r="A2112" s="10">
        <v>45688</v>
      </c>
      <c r="B2112" s="11" t="s">
        <v>271</v>
      </c>
      <c r="C2112" s="11" t="s">
        <v>4341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9" t="s">
        <v>26</v>
      </c>
      <c r="AA2112" s="12" t="s">
        <v>31</v>
      </c>
    </row>
    <row r="2113" spans="1:27" x14ac:dyDescent="0.25">
      <c r="A2113" s="10">
        <v>45688</v>
      </c>
      <c r="B2113" s="11" t="s">
        <v>4342</v>
      </c>
      <c r="C2113" s="11" t="s">
        <v>4343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9" t="s">
        <v>26</v>
      </c>
      <c r="AA2113" s="12" t="s">
        <v>31</v>
      </c>
    </row>
    <row r="2114" spans="1:27" x14ac:dyDescent="0.25">
      <c r="A2114" s="10">
        <v>45688</v>
      </c>
      <c r="B2114" s="11" t="s">
        <v>638</v>
      </c>
      <c r="C2114" s="11" t="s">
        <v>4344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9" t="s">
        <v>26</v>
      </c>
      <c r="AA2114" s="12" t="s">
        <v>31</v>
      </c>
    </row>
    <row r="2115" spans="1:27" x14ac:dyDescent="0.25">
      <c r="A2115" s="10">
        <v>45688</v>
      </c>
      <c r="B2115" s="11" t="s">
        <v>4345</v>
      </c>
      <c r="C2115" s="11" t="s">
        <v>4346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4440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9" t="s">
        <v>26</v>
      </c>
      <c r="AA2115" s="12" t="s">
        <v>31</v>
      </c>
    </row>
    <row r="2116" spans="1:27" x14ac:dyDescent="0.25">
      <c r="A2116" s="10">
        <v>45688</v>
      </c>
      <c r="B2116" s="11" t="s">
        <v>234</v>
      </c>
      <c r="C2116" s="11" t="s">
        <v>4347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4440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9" t="s">
        <v>26</v>
      </c>
      <c r="AA2116" s="12" t="s">
        <v>31</v>
      </c>
    </row>
    <row r="2117" spans="1:27" x14ac:dyDescent="0.25">
      <c r="A2117" s="10">
        <v>45688</v>
      </c>
      <c r="B2117" s="11" t="s">
        <v>1882</v>
      </c>
      <c r="C2117" s="11" t="s">
        <v>4348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9" t="s">
        <v>26</v>
      </c>
      <c r="AA2117" s="12" t="s">
        <v>31</v>
      </c>
    </row>
    <row r="2118" spans="1:27" x14ac:dyDescent="0.25">
      <c r="A2118" s="10">
        <v>45688</v>
      </c>
      <c r="B2118" s="11" t="s">
        <v>2727</v>
      </c>
      <c r="C2118" s="11" t="s">
        <v>4349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9" t="s">
        <v>26</v>
      </c>
      <c r="AA2118" s="12" t="s">
        <v>31</v>
      </c>
    </row>
    <row r="2119" spans="1:27" x14ac:dyDescent="0.25">
      <c r="A2119" s="10">
        <v>45688</v>
      </c>
      <c r="B2119" s="11" t="s">
        <v>4098</v>
      </c>
      <c r="C2119" s="11" t="s">
        <v>4350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9" t="s">
        <v>26</v>
      </c>
      <c r="AA2119" s="12" t="s">
        <v>31</v>
      </c>
    </row>
    <row r="2120" spans="1:27" x14ac:dyDescent="0.25">
      <c r="A2120" s="10">
        <v>45688</v>
      </c>
      <c r="B2120" s="11" t="s">
        <v>4351</v>
      </c>
      <c r="C2120" s="11" t="s">
        <v>4352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9" t="s">
        <v>26</v>
      </c>
      <c r="AA2120" s="12" t="s">
        <v>31</v>
      </c>
    </row>
    <row r="2121" spans="1:27" x14ac:dyDescent="0.25">
      <c r="A2121" s="10">
        <v>45688</v>
      </c>
      <c r="B2121" s="11" t="s">
        <v>4353</v>
      </c>
      <c r="C2121" s="11" t="s">
        <v>4354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4440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9" t="s">
        <v>26</v>
      </c>
      <c r="AA2121" s="12" t="s">
        <v>31</v>
      </c>
    </row>
    <row r="2122" spans="1:27" x14ac:dyDescent="0.25">
      <c r="A2122" s="10">
        <v>45688</v>
      </c>
      <c r="B2122" s="11" t="s">
        <v>4355</v>
      </c>
      <c r="C2122" s="11" t="s">
        <v>4356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9" t="s">
        <v>26</v>
      </c>
      <c r="AA2122" s="12" t="s">
        <v>31</v>
      </c>
    </row>
    <row r="2123" spans="1:27" x14ac:dyDescent="0.25">
      <c r="A2123" s="10">
        <v>45688</v>
      </c>
      <c r="B2123" s="11" t="s">
        <v>1722</v>
      </c>
      <c r="C2123" s="11" t="s">
        <v>4357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9" t="s">
        <v>26</v>
      </c>
      <c r="AA2123" s="12" t="s">
        <v>31</v>
      </c>
    </row>
    <row r="2124" spans="1:27" x14ac:dyDescent="0.25">
      <c r="A2124" s="10">
        <v>45688</v>
      </c>
      <c r="B2124" s="11" t="s">
        <v>725</v>
      </c>
      <c r="C2124" s="11" t="s">
        <v>4358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1926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9" t="s">
        <v>26</v>
      </c>
      <c r="AA2124" s="12" t="s">
        <v>31</v>
      </c>
    </row>
    <row r="2125" spans="1:27" x14ac:dyDescent="0.25">
      <c r="A2125" s="10">
        <v>45688</v>
      </c>
      <c r="B2125" s="11" t="s">
        <v>4359</v>
      </c>
      <c r="C2125" s="11" t="s">
        <v>4360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4439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9" t="s">
        <v>41</v>
      </c>
      <c r="AA2125" s="12" t="s">
        <v>78</v>
      </c>
    </row>
    <row r="2126" spans="1:27" x14ac:dyDescent="0.25">
      <c r="A2126" s="10">
        <v>45688</v>
      </c>
      <c r="B2126" s="11" t="s">
        <v>4361</v>
      </c>
      <c r="C2126" s="11" t="s">
        <v>4362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4440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9" t="s">
        <v>26</v>
      </c>
      <c r="AA2126" s="12" t="s">
        <v>31</v>
      </c>
    </row>
    <row r="2127" spans="1:27" x14ac:dyDescent="0.25">
      <c r="A2127" s="10">
        <v>45688</v>
      </c>
      <c r="B2127" s="11" t="s">
        <v>247</v>
      </c>
      <c r="C2127" s="11" t="s">
        <v>4363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1926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9" t="s">
        <v>26</v>
      </c>
      <c r="AA2127" s="12" t="s">
        <v>31</v>
      </c>
    </row>
    <row r="2128" spans="1:27" x14ac:dyDescent="0.25">
      <c r="A2128" s="10">
        <v>45688</v>
      </c>
      <c r="B2128" s="11" t="s">
        <v>4364</v>
      </c>
      <c r="C2128" s="11" t="s">
        <v>4365</v>
      </c>
      <c r="D2128" s="11" t="s">
        <v>26</v>
      </c>
      <c r="E2128" s="11" t="s">
        <v>1217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9" t="s">
        <v>26</v>
      </c>
      <c r="AA2128" s="12" t="s">
        <v>31</v>
      </c>
    </row>
    <row r="2129" spans="1:27" x14ac:dyDescent="0.25">
      <c r="A2129" s="10">
        <v>45688</v>
      </c>
      <c r="B2129" s="11" t="s">
        <v>452</v>
      </c>
      <c r="C2129" s="11" t="s">
        <v>4366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9" t="s">
        <v>26</v>
      </c>
      <c r="AA2129" s="12" t="s">
        <v>31</v>
      </c>
    </row>
    <row r="2130" spans="1:27" x14ac:dyDescent="0.25">
      <c r="A2130" s="10">
        <v>45688</v>
      </c>
      <c r="B2130" s="11" t="s">
        <v>4367</v>
      </c>
      <c r="C2130" s="11" t="s">
        <v>4368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9" t="s">
        <v>26</v>
      </c>
      <c r="AA2130" s="12" t="s">
        <v>31</v>
      </c>
    </row>
    <row r="2131" spans="1:27" x14ac:dyDescent="0.25">
      <c r="A2131" s="10">
        <v>45688</v>
      </c>
      <c r="B2131" s="11" t="s">
        <v>4367</v>
      </c>
      <c r="C2131" s="11" t="s">
        <v>4369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9" t="s">
        <v>26</v>
      </c>
      <c r="AA2131" s="12" t="s">
        <v>31</v>
      </c>
    </row>
    <row r="2132" spans="1:27" x14ac:dyDescent="0.25">
      <c r="A2132" s="10">
        <v>45688</v>
      </c>
      <c r="B2132" s="11" t="s">
        <v>1780</v>
      </c>
      <c r="C2132" s="11" t="s">
        <v>4370</v>
      </c>
      <c r="D2132" s="11" t="s">
        <v>26</v>
      </c>
      <c r="E2132" s="11" t="s">
        <v>4178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9" t="s">
        <v>26</v>
      </c>
      <c r="AA2132" s="12" t="s">
        <v>31</v>
      </c>
    </row>
    <row r="2133" spans="1:27" x14ac:dyDescent="0.25">
      <c r="A2133" s="10">
        <v>45688</v>
      </c>
      <c r="B2133" s="11" t="s">
        <v>4371</v>
      </c>
      <c r="C2133" s="11" t="s">
        <v>4372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9" t="s">
        <v>26</v>
      </c>
      <c r="AA2133" s="12" t="s">
        <v>31</v>
      </c>
    </row>
    <row r="2134" spans="1:27" x14ac:dyDescent="0.25">
      <c r="A2134" s="10">
        <v>45688</v>
      </c>
      <c r="B2134" s="11" t="s">
        <v>4373</v>
      </c>
      <c r="C2134" s="11" t="s">
        <v>4374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9" t="s">
        <v>26</v>
      </c>
      <c r="AA2134" s="12" t="s">
        <v>31</v>
      </c>
    </row>
    <row r="2135" spans="1:27" x14ac:dyDescent="0.25">
      <c r="A2135" s="10">
        <v>45688</v>
      </c>
      <c r="B2135" s="11" t="s">
        <v>349</v>
      </c>
      <c r="C2135" s="11" t="s">
        <v>4375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9" t="s">
        <v>26</v>
      </c>
      <c r="AA2135" s="12" t="s">
        <v>31</v>
      </c>
    </row>
    <row r="2136" spans="1:27" x14ac:dyDescent="0.25">
      <c r="A2136" s="10">
        <v>45688</v>
      </c>
      <c r="B2136" s="11" t="s">
        <v>4376</v>
      </c>
      <c r="C2136" s="11" t="s">
        <v>4377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9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4378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9" t="s">
        <v>26</v>
      </c>
      <c r="AA2137" s="12" t="s">
        <v>31</v>
      </c>
    </row>
    <row r="2138" spans="1:27" x14ac:dyDescent="0.25">
      <c r="A2138" s="10">
        <v>45688</v>
      </c>
      <c r="B2138" s="11" t="s">
        <v>4379</v>
      </c>
      <c r="C2138" s="11" t="s">
        <v>4380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4440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9" t="s">
        <v>26</v>
      </c>
      <c r="AA2138" s="12" t="s">
        <v>31</v>
      </c>
    </row>
    <row r="2139" spans="1:27" x14ac:dyDescent="0.25">
      <c r="A2139" s="10">
        <v>45688</v>
      </c>
      <c r="B2139" s="11" t="s">
        <v>689</v>
      </c>
      <c r="C2139" s="11" t="s">
        <v>4381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9" t="s">
        <v>26</v>
      </c>
      <c r="AA2139" s="12" t="s">
        <v>31</v>
      </c>
    </row>
    <row r="2140" spans="1:27" x14ac:dyDescent="0.25">
      <c r="A2140" s="10">
        <v>45688</v>
      </c>
      <c r="B2140" s="11" t="s">
        <v>280</v>
      </c>
      <c r="C2140" s="11" t="s">
        <v>4382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9" t="s">
        <v>26</v>
      </c>
      <c r="AA2140" s="12" t="s">
        <v>31</v>
      </c>
    </row>
    <row r="2141" spans="1:27" x14ac:dyDescent="0.25">
      <c r="A2141" s="10">
        <v>45688</v>
      </c>
      <c r="B2141" s="11" t="s">
        <v>4383</v>
      </c>
      <c r="C2141" s="11" t="s">
        <v>4384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9" t="s">
        <v>26</v>
      </c>
      <c r="AA2141" s="12" t="s">
        <v>31</v>
      </c>
    </row>
    <row r="2142" spans="1:27" x14ac:dyDescent="0.25">
      <c r="A2142" s="10">
        <v>45688</v>
      </c>
      <c r="B2142" s="11" t="s">
        <v>4385</v>
      </c>
      <c r="C2142" s="11" t="s">
        <v>4386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4439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9" t="s">
        <v>70</v>
      </c>
      <c r="AA2142" s="12" t="s">
        <v>78</v>
      </c>
    </row>
    <row r="2143" spans="1:27" x14ac:dyDescent="0.25">
      <c r="A2143" s="10">
        <v>45688</v>
      </c>
      <c r="B2143" s="11" t="s">
        <v>1479</v>
      </c>
      <c r="C2143" s="11" t="s">
        <v>4387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9" t="s">
        <v>26</v>
      </c>
      <c r="AA2143" s="12" t="s">
        <v>31</v>
      </c>
    </row>
    <row r="2144" spans="1:27" x14ac:dyDescent="0.25">
      <c r="A2144" s="10">
        <v>45688</v>
      </c>
      <c r="B2144" s="11" t="s">
        <v>4388</v>
      </c>
      <c r="C2144" s="11" t="s">
        <v>4389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9" t="s">
        <v>26</v>
      </c>
      <c r="AA2144" s="12" t="s">
        <v>31</v>
      </c>
    </row>
    <row r="2145" spans="1:27" x14ac:dyDescent="0.25">
      <c r="A2145" s="10">
        <v>45688</v>
      </c>
      <c r="B2145" s="11" t="s">
        <v>4390</v>
      </c>
      <c r="C2145" s="11" t="s">
        <v>4391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9" t="s">
        <v>26</v>
      </c>
      <c r="AA2145" s="12" t="s">
        <v>31</v>
      </c>
    </row>
    <row r="2146" spans="1:27" x14ac:dyDescent="0.25">
      <c r="A2146" s="10">
        <v>45688</v>
      </c>
      <c r="B2146" s="11" t="s">
        <v>295</v>
      </c>
      <c r="C2146" s="11" t="s">
        <v>4392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9" t="s">
        <v>26</v>
      </c>
      <c r="AA2146" s="12" t="s">
        <v>31</v>
      </c>
    </row>
    <row r="2147" spans="1:27" x14ac:dyDescent="0.25">
      <c r="A2147" s="10">
        <v>45688</v>
      </c>
      <c r="B2147" s="11" t="s">
        <v>646</v>
      </c>
      <c r="C2147" s="11" t="s">
        <v>4393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9" t="s">
        <v>26</v>
      </c>
      <c r="AA2147" s="12" t="s">
        <v>31</v>
      </c>
    </row>
    <row r="2148" spans="1:27" x14ac:dyDescent="0.25">
      <c r="A2148" s="10">
        <v>45688</v>
      </c>
      <c r="B2148" s="11" t="s">
        <v>3635</v>
      </c>
      <c r="C2148" s="11" t="s">
        <v>4394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9" t="s">
        <v>26</v>
      </c>
      <c r="AA2148" s="12" t="s">
        <v>31</v>
      </c>
    </row>
    <row r="2149" spans="1:27" x14ac:dyDescent="0.25">
      <c r="A2149" s="10">
        <v>45688</v>
      </c>
      <c r="B2149" s="11" t="s">
        <v>406</v>
      </c>
      <c r="C2149" s="11" t="s">
        <v>4395</v>
      </c>
      <c r="D2149" s="11" t="s">
        <v>26</v>
      </c>
      <c r="E2149" s="11" t="s">
        <v>4340</v>
      </c>
      <c r="F2149" s="11" t="s">
        <v>26</v>
      </c>
      <c r="G2149" s="11">
        <v>2956</v>
      </c>
      <c r="H2149" s="12" t="s">
        <v>4459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>
        <v>0</v>
      </c>
      <c r="Y2149" s="16">
        <v>0</v>
      </c>
      <c r="Z2149" s="69" t="s">
        <v>26</v>
      </c>
      <c r="AA2149" s="12" t="s">
        <v>31</v>
      </c>
    </row>
    <row r="2150" spans="1:27" x14ac:dyDescent="0.25">
      <c r="A2150" s="10">
        <v>45688</v>
      </c>
      <c r="B2150" s="11" t="s">
        <v>270</v>
      </c>
      <c r="C2150" s="11" t="s">
        <v>4396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9" t="s">
        <v>26</v>
      </c>
      <c r="AA2150" s="12" t="s">
        <v>31</v>
      </c>
    </row>
    <row r="2151" spans="1:27" x14ac:dyDescent="0.25">
      <c r="A2151" s="10">
        <v>45688</v>
      </c>
      <c r="B2151" s="11" t="s">
        <v>420</v>
      </c>
      <c r="C2151" s="11" t="s">
        <v>4397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9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4398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4440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9" t="s">
        <v>26</v>
      </c>
      <c r="AA2152" s="12" t="s">
        <v>31</v>
      </c>
    </row>
    <row r="2153" spans="1:27" x14ac:dyDescent="0.25">
      <c r="A2153" s="10">
        <v>45688</v>
      </c>
      <c r="B2153" s="11" t="s">
        <v>4399</v>
      </c>
      <c r="C2153" s="11" t="s">
        <v>4400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9" t="s">
        <v>26</v>
      </c>
      <c r="AA2153" s="12" t="s">
        <v>31</v>
      </c>
    </row>
    <row r="2154" spans="1:27" x14ac:dyDescent="0.25">
      <c r="A2154" s="10">
        <v>45688</v>
      </c>
      <c r="B2154" s="11" t="s">
        <v>314</v>
      </c>
      <c r="C2154" s="11" t="s">
        <v>4401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1926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9" t="s">
        <v>26</v>
      </c>
      <c r="AA2154" s="12" t="s">
        <v>31</v>
      </c>
    </row>
    <row r="2155" spans="1:27" x14ac:dyDescent="0.25">
      <c r="A2155" s="10">
        <v>45688</v>
      </c>
      <c r="B2155" s="11" t="s">
        <v>4402</v>
      </c>
      <c r="C2155" s="11" t="s">
        <v>4403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1926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9" t="s">
        <v>26</v>
      </c>
      <c r="AA2155" s="12" t="s">
        <v>31</v>
      </c>
    </row>
    <row r="2156" spans="1:27" x14ac:dyDescent="0.25">
      <c r="A2156" s="10">
        <v>45688</v>
      </c>
      <c r="B2156" s="11" t="s">
        <v>3429</v>
      </c>
      <c r="C2156" s="11" t="s">
        <v>4404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9" t="s">
        <v>26</v>
      </c>
      <c r="AA2156" s="12" t="s">
        <v>31</v>
      </c>
    </row>
    <row r="2157" spans="1:27" x14ac:dyDescent="0.25">
      <c r="A2157" s="10">
        <v>45688</v>
      </c>
      <c r="B2157" s="11" t="s">
        <v>4405</v>
      </c>
      <c r="C2157" s="11" t="s">
        <v>4406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4440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9" t="s">
        <v>26</v>
      </c>
      <c r="AA2157" s="12" t="s">
        <v>31</v>
      </c>
    </row>
    <row r="2158" spans="1:27" x14ac:dyDescent="0.25">
      <c r="A2158" s="10">
        <v>45688</v>
      </c>
      <c r="B2158" s="11" t="s">
        <v>2909</v>
      </c>
      <c r="C2158" s="11" t="s">
        <v>4407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9" t="s">
        <v>26</v>
      </c>
      <c r="AA2158" s="12" t="s">
        <v>31</v>
      </c>
    </row>
    <row r="2159" spans="1:27" x14ac:dyDescent="0.25">
      <c r="A2159" s="10">
        <v>45688</v>
      </c>
      <c r="B2159" s="11" t="s">
        <v>3985</v>
      </c>
      <c r="C2159" s="11" t="s">
        <v>4408</v>
      </c>
      <c r="D2159" s="11" t="s">
        <v>26</v>
      </c>
      <c r="E2159" s="11" t="s">
        <v>1217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9" t="s">
        <v>26</v>
      </c>
      <c r="AA2159" s="12" t="s">
        <v>31</v>
      </c>
    </row>
    <row r="2160" spans="1:27" x14ac:dyDescent="0.25">
      <c r="A2160" s="10">
        <v>45688</v>
      </c>
      <c r="B2160" s="11" t="s">
        <v>728</v>
      </c>
      <c r="C2160" s="11" t="s">
        <v>4409</v>
      </c>
      <c r="D2160" s="11" t="s">
        <v>26</v>
      </c>
      <c r="E2160" s="11" t="s">
        <v>4178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9" t="s">
        <v>26</v>
      </c>
      <c r="AA2160" s="12" t="s">
        <v>31</v>
      </c>
    </row>
    <row r="2161" spans="1:27" x14ac:dyDescent="0.25">
      <c r="A2161" s="10">
        <v>45688</v>
      </c>
      <c r="B2161" s="11" t="s">
        <v>366</v>
      </c>
      <c r="C2161" s="11" t="s">
        <v>4410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9" t="s">
        <v>26</v>
      </c>
      <c r="AA2161" s="12" t="s">
        <v>31</v>
      </c>
    </row>
    <row r="2162" spans="1:27" x14ac:dyDescent="0.25">
      <c r="A2162" s="10">
        <v>45688</v>
      </c>
      <c r="B2162" s="11" t="s">
        <v>4411</v>
      </c>
      <c r="C2162" s="11" t="s">
        <v>4412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9" t="s">
        <v>26</v>
      </c>
      <c r="AA2162" s="12" t="s">
        <v>31</v>
      </c>
    </row>
    <row r="2163" spans="1:27" x14ac:dyDescent="0.25">
      <c r="A2163" s="10">
        <v>45688</v>
      </c>
      <c r="B2163" s="11" t="s">
        <v>374</v>
      </c>
      <c r="C2163" s="11" t="s">
        <v>4413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9" t="s">
        <v>26</v>
      </c>
      <c r="AA2163" s="12" t="s">
        <v>31</v>
      </c>
    </row>
    <row r="2164" spans="1:27" x14ac:dyDescent="0.25">
      <c r="A2164" s="10">
        <v>45688</v>
      </c>
      <c r="B2164" s="11" t="s">
        <v>4414</v>
      </c>
      <c r="C2164" s="11" t="s">
        <v>4415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9" t="s">
        <v>26</v>
      </c>
      <c r="AA2164" s="12" t="s">
        <v>31</v>
      </c>
    </row>
    <row r="2165" spans="1:27" x14ac:dyDescent="0.25">
      <c r="A2165" s="10">
        <v>45689</v>
      </c>
      <c r="B2165" s="71">
        <v>9.0624999999999734E-3</v>
      </c>
      <c r="C2165" s="11" t="s">
        <v>4545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4465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2">
        <f>+L2165*O2165</f>
        <v>1847.8999999999999</v>
      </c>
      <c r="S2165" s="72">
        <v>0</v>
      </c>
      <c r="T2165" s="72">
        <f>+L2165*S2165</f>
        <v>0</v>
      </c>
      <c r="U2165" s="72">
        <f>+R2165-T2165</f>
        <v>1847.8999999999999</v>
      </c>
      <c r="V2165" s="72">
        <f>+U2165*0.75</f>
        <v>1385.925</v>
      </c>
      <c r="W2165" s="72">
        <f>+U2165-V2165</f>
        <v>461.97499999999991</v>
      </c>
      <c r="X2165" s="72">
        <v>0</v>
      </c>
      <c r="Y2165" s="14">
        <f t="shared" ref="Y2165:Y2168" si="0">T2165-X2165</f>
        <v>0</v>
      </c>
      <c r="Z2165" s="11" t="s">
        <v>26</v>
      </c>
      <c r="AA2165" s="12" t="s">
        <v>31</v>
      </c>
    </row>
    <row r="2166" spans="1:27" x14ac:dyDescent="0.25">
      <c r="A2166" s="10">
        <v>45689</v>
      </c>
      <c r="B2166" s="71">
        <v>1.4733796296296287E-2</v>
      </c>
      <c r="C2166" s="11" t="s">
        <v>4546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2">
        <f>M2166*P2166</f>
        <v>1500</v>
      </c>
      <c r="S2166" s="72">
        <v>0</v>
      </c>
      <c r="T2166" s="72">
        <f>M2166*S2166</f>
        <v>0</v>
      </c>
      <c r="U2166" s="72">
        <f>R2166-T2166</f>
        <v>1500</v>
      </c>
      <c r="V2166" s="72">
        <f>U2166*0</f>
        <v>0</v>
      </c>
      <c r="W2166" s="72">
        <f>U2166-V2166</f>
        <v>1500</v>
      </c>
      <c r="X2166" s="72">
        <v>0</v>
      </c>
      <c r="Y2166" s="14">
        <f t="shared" si="0"/>
        <v>0</v>
      </c>
      <c r="Z2166" s="11" t="s">
        <v>26</v>
      </c>
      <c r="AA2166" s="12" t="s">
        <v>31</v>
      </c>
    </row>
    <row r="2167" spans="1:27" x14ac:dyDescent="0.25">
      <c r="A2167" s="10">
        <v>45689</v>
      </c>
      <c r="B2167" s="71">
        <v>1.807870370370368E-2</v>
      </c>
      <c r="C2167" s="11" t="s">
        <v>4547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4463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2">
        <f t="shared" ref="R2167" si="2">+L2167*O2167</f>
        <v>1606.88</v>
      </c>
      <c r="S2167" s="72">
        <v>0</v>
      </c>
      <c r="T2167" s="72">
        <f>+L2167*S2167</f>
        <v>0</v>
      </c>
      <c r="U2167" s="72">
        <f>+R2167-T2167</f>
        <v>1606.88</v>
      </c>
      <c r="V2167" s="72">
        <f>+U2167*1</f>
        <v>1606.88</v>
      </c>
      <c r="W2167" s="72">
        <f>+U2167-V2167</f>
        <v>0</v>
      </c>
      <c r="X2167" s="72">
        <v>0</v>
      </c>
      <c r="Y2167" s="14">
        <f t="shared" si="0"/>
        <v>0</v>
      </c>
      <c r="Z2167" s="11" t="s">
        <v>26</v>
      </c>
      <c r="AA2167" s="12" t="s">
        <v>31</v>
      </c>
    </row>
    <row r="2168" spans="1:27" x14ac:dyDescent="0.25">
      <c r="A2168" s="10">
        <v>45689</v>
      </c>
      <c r="B2168" s="71">
        <v>1.8888888888888899E-2</v>
      </c>
      <c r="C2168" s="11" t="s">
        <v>4548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4465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2">
        <f>+L2168*O2168</f>
        <v>1742.4851999999998</v>
      </c>
      <c r="S2168" s="72">
        <v>0</v>
      </c>
      <c r="T2168" s="72">
        <f>+L2168*S2168</f>
        <v>0</v>
      </c>
      <c r="U2168" s="72">
        <f>+R2168-T2168</f>
        <v>1742.4851999999998</v>
      </c>
      <c r="V2168" s="72">
        <f>+U2168*0.75</f>
        <v>1306.8638999999998</v>
      </c>
      <c r="W2168" s="72">
        <f>+U2168-V2168</f>
        <v>435.62130000000002</v>
      </c>
      <c r="X2168" s="72">
        <v>0</v>
      </c>
      <c r="Y2168" s="14">
        <f t="shared" si="0"/>
        <v>0</v>
      </c>
      <c r="Z2168" s="11" t="s">
        <v>26</v>
      </c>
      <c r="AA2168" s="12" t="s">
        <v>31</v>
      </c>
    </row>
    <row r="2169" spans="1:27" x14ac:dyDescent="0.25">
      <c r="A2169" s="10">
        <v>45689</v>
      </c>
      <c r="B2169" s="71">
        <v>1.6805555555555518E-2</v>
      </c>
      <c r="C2169" s="11" t="s">
        <v>4549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4439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2">
        <f>L2169*O2169</f>
        <v>4069.86</v>
      </c>
      <c r="S2169" s="72">
        <v>38</v>
      </c>
      <c r="T2169" s="72">
        <f>L2169*S2169</f>
        <v>1777.64</v>
      </c>
      <c r="U2169" s="72">
        <f>R2169-T2169</f>
        <v>2292.2200000000003</v>
      </c>
      <c r="V2169" s="72">
        <f>U2169*1</f>
        <v>2292.2200000000003</v>
      </c>
      <c r="W2169" s="72">
        <f>U2169-V2169</f>
        <v>0</v>
      </c>
      <c r="X2169" s="72">
        <f>L2169*37</f>
        <v>1730.8600000000001</v>
      </c>
      <c r="Y2169" s="73">
        <f t="shared" ref="Y2169" si="3">+T2169-X2169</f>
        <v>46.779999999999973</v>
      </c>
      <c r="Z2169" s="12" t="s">
        <v>41</v>
      </c>
      <c r="AA2169" s="12" t="s">
        <v>78</v>
      </c>
    </row>
    <row r="2170" spans="1:27" x14ac:dyDescent="0.25">
      <c r="A2170" s="10">
        <v>45689</v>
      </c>
      <c r="B2170" s="71">
        <v>2.692129629629636E-2</v>
      </c>
      <c r="C2170" s="11" t="s">
        <v>4550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4440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2">
        <f>+L2170*O2170</f>
        <v>1587.6000000000001</v>
      </c>
      <c r="S2170" s="72">
        <v>0</v>
      </c>
      <c r="T2170" s="72">
        <f>+L2170*S2170</f>
        <v>0</v>
      </c>
      <c r="U2170" s="72">
        <f t="shared" ref="U2170" si="4">+R2170-T2170</f>
        <v>1587.6000000000001</v>
      </c>
      <c r="V2170" s="72">
        <f>+U2170*1</f>
        <v>1587.6000000000001</v>
      </c>
      <c r="W2170" s="72">
        <f t="shared" ref="W2170" si="5">+U2170-V2170</f>
        <v>0</v>
      </c>
      <c r="X2170" s="72">
        <v>0</v>
      </c>
      <c r="Y2170" s="14">
        <f t="shared" ref="Y2170:Y2171" si="6">T2170-X2170</f>
        <v>0</v>
      </c>
      <c r="Z2170" s="11" t="s">
        <v>26</v>
      </c>
      <c r="AA2170" s="12" t="s">
        <v>31</v>
      </c>
    </row>
    <row r="2171" spans="1:27" x14ac:dyDescent="0.25">
      <c r="A2171" s="10">
        <v>45689</v>
      </c>
      <c r="B2171" s="71">
        <v>2.7534722222222197E-2</v>
      </c>
      <c r="C2171" s="11" t="s">
        <v>4551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2">
        <f>L2171*O2171</f>
        <v>567</v>
      </c>
      <c r="S2171" s="72">
        <v>0</v>
      </c>
      <c r="T2171" s="72">
        <f>L2171*S2171</f>
        <v>0</v>
      </c>
      <c r="U2171" s="72">
        <f>R2171-T2171</f>
        <v>567</v>
      </c>
      <c r="V2171" s="72">
        <f>U2171*0</f>
        <v>0</v>
      </c>
      <c r="W2171" s="72">
        <f>U2171-V2171</f>
        <v>567</v>
      </c>
      <c r="X2171" s="72">
        <v>0</v>
      </c>
      <c r="Y2171" s="14">
        <f t="shared" si="6"/>
        <v>0</v>
      </c>
      <c r="Z2171" s="11" t="s">
        <v>26</v>
      </c>
      <c r="AA2171" s="12" t="s">
        <v>31</v>
      </c>
    </row>
    <row r="2172" spans="1:27" x14ac:dyDescent="0.25">
      <c r="A2172" s="10">
        <v>45689</v>
      </c>
      <c r="B2172" s="71">
        <v>1.3703703703703718E-2</v>
      </c>
      <c r="C2172" s="11" t="s">
        <v>4552</v>
      </c>
      <c r="D2172" s="11" t="s">
        <v>26</v>
      </c>
      <c r="E2172" s="11" t="s">
        <v>4178</v>
      </c>
      <c r="F2172" s="11" t="s">
        <v>26</v>
      </c>
      <c r="G2172" s="11" t="s">
        <v>26</v>
      </c>
      <c r="H2172" s="12" t="s">
        <v>4441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2">
        <f>L2172*O2172</f>
        <v>2993.3999999999996</v>
      </c>
      <c r="S2172" s="72">
        <v>41</v>
      </c>
      <c r="T2172" s="72">
        <f>+L2172*S2172</f>
        <v>1363.6599999999999</v>
      </c>
      <c r="U2172" s="72">
        <f t="shared" ref="U2172" si="7">R2172-T2172</f>
        <v>1629.7399999999998</v>
      </c>
      <c r="V2172" s="72">
        <f>U2172*1</f>
        <v>1629.7399999999998</v>
      </c>
      <c r="W2172" s="72">
        <f t="shared" ref="W2172" si="8">U2172-V2172</f>
        <v>0</v>
      </c>
      <c r="X2172" s="16">
        <f>L2172*40</f>
        <v>1330.3999999999999</v>
      </c>
      <c r="Y2172" s="73">
        <f t="shared" ref="Y2172" si="9">+T2172-X2172</f>
        <v>33.259999999999991</v>
      </c>
      <c r="Z2172" s="12" t="s">
        <v>41</v>
      </c>
      <c r="AA2172" s="12" t="s">
        <v>747</v>
      </c>
    </row>
    <row r="2173" spans="1:27" x14ac:dyDescent="0.25">
      <c r="A2173" s="10">
        <v>45689</v>
      </c>
      <c r="B2173" s="71">
        <v>2.5902777777777775E-2</v>
      </c>
      <c r="C2173" s="11" t="s">
        <v>4553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2">
        <f>+M2173*P2173</f>
        <v>480</v>
      </c>
      <c r="S2173" s="72">
        <v>0</v>
      </c>
      <c r="T2173" s="72">
        <f>+M2173*S2173</f>
        <v>0</v>
      </c>
      <c r="U2173" s="72">
        <f t="shared" ref="U2173:U2174" si="10">+R2173-T2173</f>
        <v>480</v>
      </c>
      <c r="V2173" s="72">
        <f>+U2173*0</f>
        <v>0</v>
      </c>
      <c r="W2173" s="72">
        <f t="shared" ref="W2173:W2174" si="11">+U2173-V2173</f>
        <v>480</v>
      </c>
      <c r="X2173" s="72">
        <v>0</v>
      </c>
      <c r="Y2173" s="14">
        <f t="shared" ref="Y2173:Y2183" si="12">T2173-X2173</f>
        <v>0</v>
      </c>
      <c r="Z2173" s="11" t="s">
        <v>26</v>
      </c>
      <c r="AA2173" s="12" t="s">
        <v>31</v>
      </c>
    </row>
    <row r="2174" spans="1:27" x14ac:dyDescent="0.25">
      <c r="A2174" s="10">
        <v>45689</v>
      </c>
      <c r="B2174" s="71">
        <v>3.9884259259259258E-2</v>
      </c>
      <c r="C2174" s="11" t="s">
        <v>4554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4440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2">
        <f t="shared" ref="R2174" si="13">+L2174*O2174</f>
        <v>1564.0800000000002</v>
      </c>
      <c r="S2174" s="72">
        <v>0</v>
      </c>
      <c r="T2174" s="72">
        <f t="shared" ref="T2174" si="14">+L2174*S2174</f>
        <v>0</v>
      </c>
      <c r="U2174" s="72">
        <f t="shared" si="10"/>
        <v>1564.0800000000002</v>
      </c>
      <c r="V2174" s="72">
        <f>+U2174*1</f>
        <v>1564.0800000000002</v>
      </c>
      <c r="W2174" s="72">
        <f t="shared" si="11"/>
        <v>0</v>
      </c>
      <c r="X2174" s="72">
        <v>0</v>
      </c>
      <c r="Y2174" s="14">
        <f t="shared" si="12"/>
        <v>0</v>
      </c>
      <c r="Z2174" s="11" t="s">
        <v>26</v>
      </c>
      <c r="AA2174" s="12" t="s">
        <v>31</v>
      </c>
    </row>
    <row r="2175" spans="1:27" x14ac:dyDescent="0.25">
      <c r="A2175" s="10">
        <v>45689</v>
      </c>
      <c r="B2175" s="71">
        <v>3.1643518518518488E-2</v>
      </c>
      <c r="C2175" s="11" t="s">
        <v>4555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2">
        <f>L2175*O2175</f>
        <v>570.6</v>
      </c>
      <c r="S2175" s="72">
        <v>0</v>
      </c>
      <c r="T2175" s="72">
        <f>L2175*S2175</f>
        <v>0</v>
      </c>
      <c r="U2175" s="72">
        <f>R2175-T2175</f>
        <v>570.6</v>
      </c>
      <c r="V2175" s="72">
        <f>U2175*0</f>
        <v>0</v>
      </c>
      <c r="W2175" s="72">
        <f>U2175-V2175</f>
        <v>570.6</v>
      </c>
      <c r="X2175" s="72">
        <v>0</v>
      </c>
      <c r="Y2175" s="14">
        <f t="shared" si="12"/>
        <v>0</v>
      </c>
      <c r="Z2175" s="11" t="s">
        <v>26</v>
      </c>
      <c r="AA2175" s="12" t="s">
        <v>31</v>
      </c>
    </row>
    <row r="2176" spans="1:27" x14ac:dyDescent="0.25">
      <c r="A2176" s="10">
        <v>45689</v>
      </c>
      <c r="B2176" s="71">
        <v>3.4236111111111134E-2</v>
      </c>
      <c r="C2176" s="11" t="s">
        <v>4556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2">
        <f>L2176*O2176</f>
        <v>575.4</v>
      </c>
      <c r="S2176" s="72">
        <v>0</v>
      </c>
      <c r="T2176" s="72">
        <f>L2176*S2176</f>
        <v>0</v>
      </c>
      <c r="U2176" s="72">
        <f>R2176-T2176</f>
        <v>575.4</v>
      </c>
      <c r="V2176" s="72">
        <f>U2176*0</f>
        <v>0</v>
      </c>
      <c r="W2176" s="72">
        <f>U2176-V2176</f>
        <v>575.4</v>
      </c>
      <c r="X2176" s="72">
        <v>0</v>
      </c>
      <c r="Y2176" s="14">
        <f t="shared" si="12"/>
        <v>0</v>
      </c>
      <c r="Z2176" s="11" t="s">
        <v>26</v>
      </c>
      <c r="AA2176" s="12" t="s">
        <v>31</v>
      </c>
    </row>
    <row r="2177" spans="1:27" x14ac:dyDescent="0.25">
      <c r="A2177" s="10">
        <v>45689</v>
      </c>
      <c r="B2177" s="71">
        <v>2.7812500000000018E-2</v>
      </c>
      <c r="C2177" s="11" t="s">
        <v>4557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2">
        <f>L2177*O2177</f>
        <v>1737</v>
      </c>
      <c r="S2177" s="72">
        <v>0</v>
      </c>
      <c r="T2177" s="72">
        <f>L2177*S2177</f>
        <v>0</v>
      </c>
      <c r="U2177" s="72">
        <f>R2177-T2177</f>
        <v>1737</v>
      </c>
      <c r="V2177" s="72">
        <f>U2177*0</f>
        <v>0</v>
      </c>
      <c r="W2177" s="72">
        <f>U2177-V2177</f>
        <v>1737</v>
      </c>
      <c r="X2177" s="72">
        <v>0</v>
      </c>
      <c r="Y2177" s="14">
        <f t="shared" si="12"/>
        <v>0</v>
      </c>
      <c r="Z2177" s="11" t="s">
        <v>26</v>
      </c>
      <c r="AA2177" s="12" t="s">
        <v>31</v>
      </c>
    </row>
    <row r="2178" spans="1:27" x14ac:dyDescent="0.25">
      <c r="A2178" s="10">
        <v>45689</v>
      </c>
      <c r="B2178" s="71">
        <v>3.7280092592592573E-2</v>
      </c>
      <c r="C2178" s="11" t="s">
        <v>4558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4440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2">
        <f t="shared" ref="R2178" si="15">+L2178*O2178</f>
        <v>1665.7199999999998</v>
      </c>
      <c r="S2178" s="72">
        <v>0</v>
      </c>
      <c r="T2178" s="72">
        <f t="shared" ref="T2178:T2181" si="16">+L2178*S2178</f>
        <v>0</v>
      </c>
      <c r="U2178" s="72">
        <f t="shared" ref="U2178:U2181" si="17">+R2178-T2178</f>
        <v>1665.7199999999998</v>
      </c>
      <c r="V2178" s="72">
        <f>+U2178*1</f>
        <v>1665.7199999999998</v>
      </c>
      <c r="W2178" s="72">
        <f t="shared" ref="W2178:W2181" si="18">+U2178-V2178</f>
        <v>0</v>
      </c>
      <c r="X2178" s="72">
        <v>0</v>
      </c>
      <c r="Y2178" s="14">
        <f t="shared" si="12"/>
        <v>0</v>
      </c>
      <c r="Z2178" s="11" t="s">
        <v>26</v>
      </c>
      <c r="AA2178" s="12" t="s">
        <v>31</v>
      </c>
    </row>
    <row r="2179" spans="1:27" x14ac:dyDescent="0.25">
      <c r="A2179" s="10">
        <v>45689</v>
      </c>
      <c r="B2179" s="71">
        <v>0</v>
      </c>
      <c r="C2179" s="11" t="s">
        <v>4559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2">
        <f>(L2179*O2179)-Q2179</f>
        <v>681.2</v>
      </c>
      <c r="S2179" s="72">
        <v>0</v>
      </c>
      <c r="T2179" s="72">
        <f t="shared" si="16"/>
        <v>0</v>
      </c>
      <c r="U2179" s="72">
        <f t="shared" si="17"/>
        <v>681.2</v>
      </c>
      <c r="V2179" s="72">
        <f>+U2179*0</f>
        <v>0</v>
      </c>
      <c r="W2179" s="72">
        <f t="shared" si="18"/>
        <v>681.2</v>
      </c>
      <c r="X2179" s="72">
        <v>0</v>
      </c>
      <c r="Y2179" s="14">
        <f t="shared" si="12"/>
        <v>0</v>
      </c>
      <c r="Z2179" s="11" t="s">
        <v>26</v>
      </c>
      <c r="AA2179" s="12" t="s">
        <v>31</v>
      </c>
    </row>
    <row r="2180" spans="1:27" x14ac:dyDescent="0.25">
      <c r="A2180" s="10">
        <v>45689</v>
      </c>
      <c r="B2180" s="71">
        <v>0</v>
      </c>
      <c r="C2180" s="11" t="s">
        <v>4560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4440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2">
        <f t="shared" ref="R2180" si="19">+L2180*O2180</f>
        <v>1579.2</v>
      </c>
      <c r="S2180" s="72">
        <v>0</v>
      </c>
      <c r="T2180" s="72">
        <f t="shared" si="16"/>
        <v>0</v>
      </c>
      <c r="U2180" s="72">
        <f t="shared" si="17"/>
        <v>1579.2</v>
      </c>
      <c r="V2180" s="72">
        <f>+U2180*1</f>
        <v>1579.2</v>
      </c>
      <c r="W2180" s="72">
        <f t="shared" si="18"/>
        <v>0</v>
      </c>
      <c r="X2180" s="72">
        <v>0</v>
      </c>
      <c r="Y2180" s="14">
        <f t="shared" si="12"/>
        <v>0</v>
      </c>
      <c r="Z2180" s="11" t="s">
        <v>26</v>
      </c>
      <c r="AA2180" s="12" t="s">
        <v>31</v>
      </c>
    </row>
    <row r="2181" spans="1:27" x14ac:dyDescent="0.25">
      <c r="A2181" s="10">
        <v>45689</v>
      </c>
      <c r="B2181" s="71">
        <v>0</v>
      </c>
      <c r="C2181" s="11" t="s">
        <v>4561</v>
      </c>
      <c r="D2181" s="11" t="s">
        <v>26</v>
      </c>
      <c r="E2181" s="11" t="s">
        <v>4562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2">
        <f>(L2181*O2181)-Q2181</f>
        <v>675.19999999999993</v>
      </c>
      <c r="S2181" s="72">
        <v>0</v>
      </c>
      <c r="T2181" s="72">
        <f t="shared" si="16"/>
        <v>0</v>
      </c>
      <c r="U2181" s="72">
        <f t="shared" si="17"/>
        <v>675.19999999999993</v>
      </c>
      <c r="V2181" s="72">
        <f>+U2181*0</f>
        <v>0</v>
      </c>
      <c r="W2181" s="72">
        <f t="shared" si="18"/>
        <v>675.19999999999993</v>
      </c>
      <c r="X2181" s="72">
        <v>0</v>
      </c>
      <c r="Y2181" s="14">
        <f t="shared" si="12"/>
        <v>0</v>
      </c>
      <c r="Z2181" s="11" t="s">
        <v>26</v>
      </c>
      <c r="AA2181" s="12" t="s">
        <v>31</v>
      </c>
    </row>
    <row r="2182" spans="1:27" x14ac:dyDescent="0.25">
      <c r="A2182" s="10">
        <v>45689</v>
      </c>
      <c r="B2182" s="71">
        <v>3.9050925925925906E-2</v>
      </c>
      <c r="C2182" s="11" t="s">
        <v>4563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4465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2">
        <f>+L2182*O2182</f>
        <v>624.6</v>
      </c>
      <c r="S2182" s="72">
        <v>0</v>
      </c>
      <c r="T2182" s="72">
        <f>+L2182*S2182</f>
        <v>0</v>
      </c>
      <c r="U2182" s="72">
        <f>+R2182-T2182</f>
        <v>624.6</v>
      </c>
      <c r="V2182" s="72">
        <f>+U2182*0.75</f>
        <v>468.45000000000005</v>
      </c>
      <c r="W2182" s="72">
        <f>+U2182-V2182</f>
        <v>156.14999999999998</v>
      </c>
      <c r="X2182" s="72">
        <v>0</v>
      </c>
      <c r="Y2182" s="14">
        <f t="shared" si="12"/>
        <v>0</v>
      </c>
      <c r="Z2182" s="11" t="s">
        <v>26</v>
      </c>
      <c r="AA2182" s="12" t="s">
        <v>31</v>
      </c>
    </row>
    <row r="2183" spans="1:27" x14ac:dyDescent="0.25">
      <c r="A2183" s="10">
        <v>45689</v>
      </c>
      <c r="B2183" s="71">
        <v>1.6469907407407391E-2</v>
      </c>
      <c r="C2183" s="11" t="s">
        <v>4564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2">
        <f>L2183*O2183</f>
        <v>561.9</v>
      </c>
      <c r="S2183" s="72">
        <v>0</v>
      </c>
      <c r="T2183" s="72">
        <f>L2183*S2183</f>
        <v>0</v>
      </c>
      <c r="U2183" s="72">
        <f>R2183-T2183</f>
        <v>561.9</v>
      </c>
      <c r="V2183" s="72">
        <f>U2183*0</f>
        <v>0</v>
      </c>
      <c r="W2183" s="72">
        <f>U2183-V2183</f>
        <v>561.9</v>
      </c>
      <c r="X2183" s="72">
        <v>0</v>
      </c>
      <c r="Y2183" s="14">
        <f t="shared" si="12"/>
        <v>0</v>
      </c>
      <c r="Z2183" s="11" t="s">
        <v>26</v>
      </c>
      <c r="AA2183" s="12" t="s">
        <v>31</v>
      </c>
    </row>
    <row r="2184" spans="1:27" x14ac:dyDescent="0.25">
      <c r="A2184" s="10">
        <v>45689</v>
      </c>
      <c r="B2184" s="71">
        <v>2.3217592592592595E-2</v>
      </c>
      <c r="C2184" s="11" t="s">
        <v>4565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4439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2">
        <f>L2184*O2184</f>
        <v>3746.2200000000003</v>
      </c>
      <c r="S2184" s="72">
        <v>38</v>
      </c>
      <c r="T2184" s="72">
        <f>L2184*S2184</f>
        <v>1636.2800000000002</v>
      </c>
      <c r="U2184" s="72">
        <f>R2184-T2184</f>
        <v>2109.94</v>
      </c>
      <c r="V2184" s="72">
        <f>U2184*1</f>
        <v>2109.94</v>
      </c>
      <c r="W2184" s="72">
        <f>U2184-V2184</f>
        <v>0</v>
      </c>
      <c r="X2184" s="72">
        <f>L2184*37</f>
        <v>1593.22</v>
      </c>
      <c r="Y2184" s="73">
        <f t="shared" ref="Y2184" si="20">+T2184-X2184</f>
        <v>43.060000000000173</v>
      </c>
      <c r="Z2184" s="12" t="s">
        <v>41</v>
      </c>
      <c r="AA2184" s="12" t="s">
        <v>78</v>
      </c>
    </row>
    <row r="2185" spans="1:27" x14ac:dyDescent="0.25">
      <c r="A2185" s="10">
        <v>45689</v>
      </c>
      <c r="B2185" s="71">
        <v>9.6180555555556158E-3</v>
      </c>
      <c r="C2185" s="11" t="s">
        <v>4566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4440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2">
        <f t="shared" ref="R2185" si="21">+L2185*O2185</f>
        <v>1556.52</v>
      </c>
      <c r="S2185" s="72">
        <v>0</v>
      </c>
      <c r="T2185" s="72">
        <f t="shared" ref="T2185" si="22">+L2185*S2185</f>
        <v>0</v>
      </c>
      <c r="U2185" s="72">
        <f t="shared" ref="U2185" si="23">+R2185-T2185</f>
        <v>1556.52</v>
      </c>
      <c r="V2185" s="72">
        <f>+U2185*1</f>
        <v>1556.52</v>
      </c>
      <c r="W2185" s="72">
        <f t="shared" ref="W2185" si="24">+U2185-V2185</f>
        <v>0</v>
      </c>
      <c r="X2185" s="72">
        <v>0</v>
      </c>
      <c r="Y2185" s="14">
        <f t="shared" ref="Y2185:Y2189" si="25">T2185-X2185</f>
        <v>0</v>
      </c>
      <c r="Z2185" s="11" t="s">
        <v>26</v>
      </c>
      <c r="AA2185" s="12" t="s">
        <v>31</v>
      </c>
    </row>
    <row r="2186" spans="1:27" x14ac:dyDescent="0.25">
      <c r="A2186" s="10">
        <v>45689</v>
      </c>
      <c r="B2186" s="71">
        <v>7.2453703703703742E-3</v>
      </c>
      <c r="C2186" s="11" t="s">
        <v>4567</v>
      </c>
      <c r="D2186" s="11" t="s">
        <v>26</v>
      </c>
      <c r="E2186" s="11" t="s">
        <v>1742</v>
      </c>
      <c r="F2186" s="11" t="s">
        <v>26</v>
      </c>
      <c r="G2186" s="11">
        <v>3296</v>
      </c>
      <c r="H2186" s="12" t="s">
        <v>4465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2">
        <f>+L2186*O2186</f>
        <v>572.1</v>
      </c>
      <c r="S2186" s="72">
        <v>0</v>
      </c>
      <c r="T2186" s="72">
        <f>+L2186*S2186</f>
        <v>0</v>
      </c>
      <c r="U2186" s="72">
        <f>+R2186-T2186</f>
        <v>572.1</v>
      </c>
      <c r="V2186" s="72">
        <f>+U2186*0.75</f>
        <v>429.07500000000005</v>
      </c>
      <c r="W2186" s="72">
        <f>+U2186-V2186</f>
        <v>143.02499999999998</v>
      </c>
      <c r="X2186" s="72">
        <v>0</v>
      </c>
      <c r="Y2186" s="14">
        <f t="shared" si="25"/>
        <v>0</v>
      </c>
      <c r="Z2186" s="11" t="s">
        <v>26</v>
      </c>
      <c r="AA2186" s="12" t="s">
        <v>31</v>
      </c>
    </row>
    <row r="2187" spans="1:27" x14ac:dyDescent="0.25">
      <c r="A2187" s="10">
        <v>45689</v>
      </c>
      <c r="B2187" s="71">
        <v>6.7199074074074105E-2</v>
      </c>
      <c r="C2187" s="11" t="s">
        <v>4568</v>
      </c>
      <c r="D2187" s="11" t="s">
        <v>26</v>
      </c>
      <c r="E2187" s="11" t="s">
        <v>1217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2">
        <f>M2187*P2187</f>
        <v>1600</v>
      </c>
      <c r="S2187" s="72">
        <v>0</v>
      </c>
      <c r="T2187" s="72">
        <f>M2187*S2187</f>
        <v>0</v>
      </c>
      <c r="U2187" s="72">
        <f>R2187-T2187</f>
        <v>1600</v>
      </c>
      <c r="V2187" s="72">
        <f>U2187*0</f>
        <v>0</v>
      </c>
      <c r="W2187" s="72">
        <f>U2187-V2187</f>
        <v>1600</v>
      </c>
      <c r="X2187" s="72">
        <v>0</v>
      </c>
      <c r="Y2187" s="14">
        <f t="shared" si="25"/>
        <v>0</v>
      </c>
      <c r="Z2187" s="11" t="s">
        <v>26</v>
      </c>
      <c r="AA2187" s="12" t="s">
        <v>31</v>
      </c>
    </row>
    <row r="2188" spans="1:27" x14ac:dyDescent="0.25">
      <c r="A2188" s="10">
        <v>45689</v>
      </c>
      <c r="B2188" s="71">
        <v>7.6851851851852393E-3</v>
      </c>
      <c r="C2188" s="11" t="s">
        <v>4569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1926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2">
        <f>M2188*P2188</f>
        <v>1350</v>
      </c>
      <c r="S2188" s="72">
        <v>0</v>
      </c>
      <c r="T2188" s="72">
        <f>M2188*S2188</f>
        <v>0</v>
      </c>
      <c r="U2188" s="72">
        <f>R2188-T2188</f>
        <v>1350</v>
      </c>
      <c r="V2188" s="72">
        <f>U2188*1</f>
        <v>1350</v>
      </c>
      <c r="W2188" s="72">
        <f>U2188-V2188</f>
        <v>0</v>
      </c>
      <c r="X2188" s="72">
        <v>0</v>
      </c>
      <c r="Y2188" s="14">
        <f t="shared" si="25"/>
        <v>0</v>
      </c>
      <c r="Z2188" s="11" t="s">
        <v>26</v>
      </c>
      <c r="AA2188" s="12" t="s">
        <v>31</v>
      </c>
    </row>
    <row r="2189" spans="1:27" x14ac:dyDescent="0.25">
      <c r="A2189" s="10">
        <v>45689</v>
      </c>
      <c r="B2189" s="71">
        <v>7.6620370370370505E-3</v>
      </c>
      <c r="C2189" s="11" t="s">
        <v>4570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1926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2">
        <f>M2189*P2189</f>
        <v>1350</v>
      </c>
      <c r="S2189" s="72">
        <v>0</v>
      </c>
      <c r="T2189" s="72">
        <f>M2189*S2189</f>
        <v>0</v>
      </c>
      <c r="U2189" s="72">
        <f>R2189-T2189</f>
        <v>1350</v>
      </c>
      <c r="V2189" s="72">
        <f>U2189*1</f>
        <v>1350</v>
      </c>
      <c r="W2189" s="72">
        <f>U2189-V2189</f>
        <v>0</v>
      </c>
      <c r="X2189" s="72">
        <v>0</v>
      </c>
      <c r="Y2189" s="14">
        <f t="shared" si="25"/>
        <v>0</v>
      </c>
      <c r="Z2189" s="11" t="s">
        <v>26</v>
      </c>
      <c r="AA2189" s="12" t="s">
        <v>31</v>
      </c>
    </row>
    <row r="2190" spans="1:27" x14ac:dyDescent="0.25">
      <c r="A2190" s="10">
        <v>45689</v>
      </c>
      <c r="B2190" s="71">
        <v>1.3472222222222219E-2</v>
      </c>
      <c r="C2190" s="11" t="s">
        <v>4571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4439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2">
        <f>L2190*O2190</f>
        <v>3731.5</v>
      </c>
      <c r="S2190" s="72">
        <v>38</v>
      </c>
      <c r="T2190" s="72">
        <f>L2190*S2190</f>
        <v>1668.2</v>
      </c>
      <c r="U2190" s="72">
        <f>R2190-T2190</f>
        <v>2063.3000000000002</v>
      </c>
      <c r="V2190" s="72">
        <f>U2190*1</f>
        <v>2063.3000000000002</v>
      </c>
      <c r="W2190" s="72">
        <f>U2190-V2190</f>
        <v>0</v>
      </c>
      <c r="X2190" s="72">
        <f>L2190*37</f>
        <v>1624.3</v>
      </c>
      <c r="Y2190" s="73">
        <f>+T2190-X2190</f>
        <v>43.900000000000091</v>
      </c>
      <c r="Z2190" s="12" t="s">
        <v>41</v>
      </c>
      <c r="AA2190" s="12" t="s">
        <v>78</v>
      </c>
    </row>
    <row r="2191" spans="1:27" x14ac:dyDescent="0.25">
      <c r="A2191" s="10">
        <v>45689</v>
      </c>
      <c r="B2191" s="71">
        <v>0.11859953703703707</v>
      </c>
      <c r="C2191" s="11" t="s">
        <v>4572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2">
        <f>M2191*P2191</f>
        <v>1450</v>
      </c>
      <c r="S2191" s="72">
        <v>0</v>
      </c>
      <c r="T2191" s="72">
        <f>M2191*S2191</f>
        <v>0</v>
      </c>
      <c r="U2191" s="72">
        <f>R2191-T2191</f>
        <v>1450</v>
      </c>
      <c r="V2191" s="72">
        <f>U2191*0</f>
        <v>0</v>
      </c>
      <c r="W2191" s="72">
        <f>U2191-V2191</f>
        <v>1450</v>
      </c>
      <c r="X2191" s="72">
        <v>0</v>
      </c>
      <c r="Y2191" s="14">
        <f t="shared" ref="Y2191:Y2194" si="26">T2191-X2191</f>
        <v>0</v>
      </c>
      <c r="Z2191" s="11" t="s">
        <v>26</v>
      </c>
      <c r="AA2191" s="12" t="s">
        <v>31</v>
      </c>
    </row>
    <row r="2192" spans="1:27" x14ac:dyDescent="0.25">
      <c r="A2192" s="10">
        <v>45689</v>
      </c>
      <c r="B2192" s="71">
        <v>2.6388888888888573E-3</v>
      </c>
      <c r="C2192" s="11" t="s">
        <v>4573</v>
      </c>
      <c r="D2192" s="11" t="s">
        <v>26</v>
      </c>
      <c r="E2192" s="11" t="s">
        <v>3955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2">
        <f>(L2192*O2192)-Q2192</f>
        <v>177.2</v>
      </c>
      <c r="S2192" s="72">
        <v>0</v>
      </c>
      <c r="T2192" s="72">
        <f t="shared" ref="T2192" si="27">+L2192*S2192</f>
        <v>0</v>
      </c>
      <c r="U2192" s="72">
        <f t="shared" ref="U2192" si="28">+R2192-T2192</f>
        <v>177.2</v>
      </c>
      <c r="V2192" s="72">
        <f>+U2192*0</f>
        <v>0</v>
      </c>
      <c r="W2192" s="72">
        <f t="shared" ref="W2192" si="29">+U2192-V2192</f>
        <v>177.2</v>
      </c>
      <c r="X2192" s="72">
        <v>0</v>
      </c>
      <c r="Y2192" s="14">
        <f t="shared" si="26"/>
        <v>0</v>
      </c>
      <c r="Z2192" s="11" t="s">
        <v>26</v>
      </c>
      <c r="AA2192" s="12" t="s">
        <v>31</v>
      </c>
    </row>
    <row r="2193" spans="1:27" x14ac:dyDescent="0.25">
      <c r="A2193" s="10">
        <v>45689</v>
      </c>
      <c r="B2193" s="71">
        <v>0.12966435185185188</v>
      </c>
      <c r="C2193" s="11" t="s">
        <v>4574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2">
        <f>+L2193*O2193</f>
        <v>1697.6</v>
      </c>
      <c r="S2193" s="72">
        <v>0</v>
      </c>
      <c r="T2193" s="72">
        <f>+L2193*S2193</f>
        <v>0</v>
      </c>
      <c r="U2193" s="72">
        <f>+R2193-T2193</f>
        <v>1697.6</v>
      </c>
      <c r="V2193" s="72">
        <f>+U2193*0</f>
        <v>0</v>
      </c>
      <c r="W2193" s="72">
        <f>+U2193-V2193</f>
        <v>1697.6</v>
      </c>
      <c r="X2193" s="72">
        <v>0</v>
      </c>
      <c r="Y2193" s="14">
        <f t="shared" si="26"/>
        <v>0</v>
      </c>
      <c r="Z2193" s="11" t="s">
        <v>26</v>
      </c>
      <c r="AA2193" s="12" t="s">
        <v>31</v>
      </c>
    </row>
    <row r="2194" spans="1:27" x14ac:dyDescent="0.25">
      <c r="A2194" s="10">
        <v>45689</v>
      </c>
      <c r="B2194" s="71">
        <v>7.9166666666666274E-3</v>
      </c>
      <c r="C2194" s="11" t="s">
        <v>4575</v>
      </c>
      <c r="D2194" s="11" t="s">
        <v>26</v>
      </c>
      <c r="E2194" s="11" t="s">
        <v>4576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2">
        <f>(L2194*O2194)-Q2194</f>
        <v>556.48</v>
      </c>
      <c r="S2194" s="72">
        <v>0</v>
      </c>
      <c r="T2194" s="72">
        <f t="shared" ref="T2194" si="30">+L2194*S2194</f>
        <v>0</v>
      </c>
      <c r="U2194" s="72">
        <f t="shared" ref="U2194" si="31">+R2194-T2194</f>
        <v>556.48</v>
      </c>
      <c r="V2194" s="72">
        <f>+U2194*0</f>
        <v>0</v>
      </c>
      <c r="W2194" s="72">
        <f t="shared" ref="W2194" si="32">+U2194-V2194</f>
        <v>556.48</v>
      </c>
      <c r="X2194" s="72">
        <v>0</v>
      </c>
      <c r="Y2194" s="14">
        <f t="shared" si="26"/>
        <v>0</v>
      </c>
      <c r="Z2194" s="11" t="s">
        <v>26</v>
      </c>
      <c r="AA2194" s="12" t="s">
        <v>31</v>
      </c>
    </row>
    <row r="2195" spans="1:27" x14ac:dyDescent="0.25">
      <c r="A2195" s="10">
        <v>45689</v>
      </c>
      <c r="B2195" s="71">
        <v>1.8483796296296318E-2</v>
      </c>
      <c r="C2195" s="11" t="s">
        <v>4577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4439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2">
        <f>L2195*O2195</f>
        <v>3872.6000000000004</v>
      </c>
      <c r="S2195" s="72">
        <v>38</v>
      </c>
      <c r="T2195" s="72">
        <f>L2195*S2195</f>
        <v>1731.2800000000002</v>
      </c>
      <c r="U2195" s="72">
        <f>R2195-T2195</f>
        <v>2141.3200000000002</v>
      </c>
      <c r="V2195" s="72">
        <f>U2195*1</f>
        <v>2141.3200000000002</v>
      </c>
      <c r="W2195" s="72">
        <f>U2195-V2195</f>
        <v>0</v>
      </c>
      <c r="X2195" s="72">
        <f>L2195*37</f>
        <v>1685.72</v>
      </c>
      <c r="Y2195" s="73">
        <f>+T2195-X2195</f>
        <v>45.560000000000173</v>
      </c>
      <c r="Z2195" s="12" t="s">
        <v>41</v>
      </c>
      <c r="AA2195" s="12" t="s">
        <v>78</v>
      </c>
    </row>
    <row r="2196" spans="1:27" x14ac:dyDescent="0.25">
      <c r="A2196" s="10">
        <v>45689</v>
      </c>
      <c r="B2196" s="71">
        <v>4.2858796296296298E-2</v>
      </c>
      <c r="C2196" s="11" t="s">
        <v>4578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2">
        <f>+M2196*P2196</f>
        <v>600</v>
      </c>
      <c r="S2196" s="72">
        <v>0</v>
      </c>
      <c r="T2196" s="72">
        <f>+M2196*S2196</f>
        <v>0</v>
      </c>
      <c r="U2196" s="72">
        <f t="shared" ref="U2196" si="33">+R2196-T2196</f>
        <v>600</v>
      </c>
      <c r="V2196" s="72">
        <f>+U2196*0</f>
        <v>0</v>
      </c>
      <c r="W2196" s="72">
        <f t="shared" ref="W2196" si="34">+U2196-V2196</f>
        <v>600</v>
      </c>
      <c r="X2196" s="72">
        <v>0</v>
      </c>
      <c r="Y2196" s="14">
        <f t="shared" ref="Y2196" si="35">T2196-X2196</f>
        <v>0</v>
      </c>
      <c r="Z2196" s="11" t="s">
        <v>26</v>
      </c>
      <c r="AA2196" s="12" t="s">
        <v>31</v>
      </c>
    </row>
    <row r="2197" spans="1:27" x14ac:dyDescent="0.25">
      <c r="A2197" s="10">
        <v>45689</v>
      </c>
      <c r="B2197" s="71">
        <v>1.7916666666666692E-2</v>
      </c>
      <c r="C2197" s="11" t="s">
        <v>4579</v>
      </c>
      <c r="D2197" s="11" t="s">
        <v>26</v>
      </c>
      <c r="E2197" s="11" t="s">
        <v>4178</v>
      </c>
      <c r="F2197" s="11" t="s">
        <v>26</v>
      </c>
      <c r="G2197" s="11" t="s">
        <v>26</v>
      </c>
      <c r="H2197" s="12" t="s">
        <v>4441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2">
        <f>L2197*O2197</f>
        <v>3083.3999999999996</v>
      </c>
      <c r="S2197" s="72">
        <v>41</v>
      </c>
      <c r="T2197" s="72">
        <f>+L2197*S2197</f>
        <v>1404.6599999999999</v>
      </c>
      <c r="U2197" s="72">
        <f t="shared" ref="U2197" si="36">R2197-T2197</f>
        <v>1678.7399999999998</v>
      </c>
      <c r="V2197" s="72">
        <f>U2197*1</f>
        <v>1678.7399999999998</v>
      </c>
      <c r="W2197" s="72">
        <f t="shared" ref="W2197" si="37">U2197-V2197</f>
        <v>0</v>
      </c>
      <c r="X2197" s="16">
        <f>L2197*40</f>
        <v>1370.3999999999999</v>
      </c>
      <c r="Y2197" s="73">
        <f t="shared" ref="Y2197" si="38">+T2197-X2197</f>
        <v>34.259999999999991</v>
      </c>
      <c r="Z2197" s="12" t="s">
        <v>41</v>
      </c>
      <c r="AA2197" s="12" t="s">
        <v>747</v>
      </c>
    </row>
    <row r="2198" spans="1:27" x14ac:dyDescent="0.25">
      <c r="A2198" s="10">
        <v>45689</v>
      </c>
      <c r="B2198" s="71">
        <v>7.9513888888889106E-3</v>
      </c>
      <c r="C2198" s="11" t="s">
        <v>4580</v>
      </c>
      <c r="D2198" s="11" t="s">
        <v>26</v>
      </c>
      <c r="E2198" s="11" t="s">
        <v>4340</v>
      </c>
      <c r="F2198" s="11" t="s">
        <v>26</v>
      </c>
      <c r="G2198" s="11">
        <v>2958</v>
      </c>
      <c r="H2198" s="12" t="s">
        <v>4459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2">
        <f>L2198*O2198</f>
        <v>1453.2</v>
      </c>
      <c r="S2198" s="72">
        <v>0</v>
      </c>
      <c r="T2198" s="72">
        <f>L2198*S2198</f>
        <v>0</v>
      </c>
      <c r="U2198" s="72">
        <f>R2198-T2198</f>
        <v>1453.2</v>
      </c>
      <c r="V2198" s="72">
        <f>U2198*1</f>
        <v>1453.2</v>
      </c>
      <c r="W2198" s="72">
        <f>U2198-V2198</f>
        <v>0</v>
      </c>
      <c r="X2198" s="72">
        <v>0</v>
      </c>
      <c r="Y2198" s="73">
        <f>T2198-X2198</f>
        <v>0</v>
      </c>
      <c r="Z2198" s="11" t="s">
        <v>26</v>
      </c>
      <c r="AA2198" s="12" t="s">
        <v>31</v>
      </c>
    </row>
    <row r="2199" spans="1:27" x14ac:dyDescent="0.25">
      <c r="A2199" s="10">
        <v>45689</v>
      </c>
      <c r="B2199" s="71">
        <v>7.3263888888888684E-3</v>
      </c>
      <c r="C2199" s="11" t="s">
        <v>4581</v>
      </c>
      <c r="D2199" s="11" t="s">
        <v>26</v>
      </c>
      <c r="E2199" s="11" t="s">
        <v>2126</v>
      </c>
      <c r="F2199" s="11" t="s">
        <v>26</v>
      </c>
      <c r="G2199" s="11" t="s">
        <v>26</v>
      </c>
      <c r="H2199" s="12" t="s">
        <v>4439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2">
        <f>L2199*O2199</f>
        <v>3681.88</v>
      </c>
      <c r="S2199" s="72">
        <v>38</v>
      </c>
      <c r="T2199" s="72">
        <f>L2199*S2199</f>
        <v>1685.68</v>
      </c>
      <c r="U2199" s="72">
        <f>R2199-T2199</f>
        <v>1996.2</v>
      </c>
      <c r="V2199" s="72">
        <f>U2199*1</f>
        <v>1996.2</v>
      </c>
      <c r="W2199" s="72">
        <f>U2199-V2199</f>
        <v>0</v>
      </c>
      <c r="X2199" s="72">
        <f>L2199*36</f>
        <v>1596.96</v>
      </c>
      <c r="Y2199" s="73">
        <f>+T2199-X2199</f>
        <v>88.720000000000027</v>
      </c>
      <c r="Z2199" s="12" t="s">
        <v>140</v>
      </c>
      <c r="AA2199" s="12" t="s">
        <v>78</v>
      </c>
    </row>
    <row r="2200" spans="1:27" x14ac:dyDescent="0.25">
      <c r="A2200" s="10">
        <v>45689</v>
      </c>
      <c r="B2200" s="71">
        <v>7.5462962962962732E-3</v>
      </c>
      <c r="C2200" s="11" t="s">
        <v>4582</v>
      </c>
      <c r="D2200" s="11" t="s">
        <v>26</v>
      </c>
      <c r="E2200" s="11" t="s">
        <v>3955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2">
        <f>(L2200*O2200)-Q2200</f>
        <v>197.2</v>
      </c>
      <c r="S2200" s="72">
        <v>0</v>
      </c>
      <c r="T2200" s="72">
        <f t="shared" ref="T2200" si="39">+L2200*S2200</f>
        <v>0</v>
      </c>
      <c r="U2200" s="72">
        <f t="shared" ref="U2200" si="40">+R2200-T2200</f>
        <v>197.2</v>
      </c>
      <c r="V2200" s="72">
        <f>+U2200*0</f>
        <v>0</v>
      </c>
      <c r="W2200" s="72">
        <f t="shared" ref="W2200" si="41">+U2200-V2200</f>
        <v>197.2</v>
      </c>
      <c r="X2200" s="72">
        <v>0</v>
      </c>
      <c r="Y2200" s="14">
        <f t="shared" ref="Y2200:Y2201" si="42">T2200-X2200</f>
        <v>0</v>
      </c>
      <c r="Z2200" s="11" t="s">
        <v>26</v>
      </c>
      <c r="AA2200" s="12" t="s">
        <v>31</v>
      </c>
    </row>
    <row r="2201" spans="1:27" x14ac:dyDescent="0.25">
      <c r="A2201" s="10">
        <v>45689</v>
      </c>
      <c r="B2201" s="71">
        <v>1.1840277777777741E-2</v>
      </c>
      <c r="C2201" s="11" t="s">
        <v>4583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4465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2">
        <f>+L2201*O2201</f>
        <v>1762.05</v>
      </c>
      <c r="S2201" s="72">
        <v>0</v>
      </c>
      <c r="T2201" s="72">
        <f>+L2201*S2201</f>
        <v>0</v>
      </c>
      <c r="U2201" s="72">
        <f>+R2201-T2201</f>
        <v>1762.05</v>
      </c>
      <c r="V2201" s="72">
        <f>+U2201*0.75</f>
        <v>1321.5374999999999</v>
      </c>
      <c r="W2201" s="72">
        <f>+U2201-V2201</f>
        <v>440.51250000000005</v>
      </c>
      <c r="X2201" s="72">
        <v>0</v>
      </c>
      <c r="Y2201" s="14">
        <f t="shared" si="42"/>
        <v>0</v>
      </c>
      <c r="Z2201" s="11" t="s">
        <v>26</v>
      </c>
      <c r="AA2201" s="12" t="s">
        <v>31</v>
      </c>
    </row>
    <row r="2202" spans="1:27" x14ac:dyDescent="0.25">
      <c r="A2202" s="10">
        <v>45689</v>
      </c>
      <c r="B2202" s="71">
        <v>7.8009259259259611E-3</v>
      </c>
      <c r="C2202" s="11" t="s">
        <v>4584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4439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2">
        <f>L2202*O2202</f>
        <v>3763.2200000000003</v>
      </c>
      <c r="S2202" s="72">
        <v>38</v>
      </c>
      <c r="T2202" s="72">
        <f>L2202*S2202</f>
        <v>1722.92</v>
      </c>
      <c r="U2202" s="72">
        <f>R2202-T2202</f>
        <v>2040.3000000000002</v>
      </c>
      <c r="V2202" s="72">
        <f>U2202*1</f>
        <v>2040.3000000000002</v>
      </c>
      <c r="W2202" s="72">
        <f>U2202-V2202</f>
        <v>0</v>
      </c>
      <c r="X2202" s="72">
        <f>L2202*37</f>
        <v>1677.5800000000002</v>
      </c>
      <c r="Y2202" s="73">
        <f>+T2202-X2202</f>
        <v>45.339999999999918</v>
      </c>
      <c r="Z2202" s="12" t="s">
        <v>41</v>
      </c>
      <c r="AA2202" s="12" t="s">
        <v>78</v>
      </c>
    </row>
    <row r="2203" spans="1:27" x14ac:dyDescent="0.25">
      <c r="A2203" s="10">
        <v>45689</v>
      </c>
      <c r="B2203" s="71">
        <v>1.4317129629629666E-2</v>
      </c>
      <c r="C2203" s="11" t="s">
        <v>4585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2">
        <f>+M2203*P2203</f>
        <v>600</v>
      </c>
      <c r="S2203" s="72">
        <v>0</v>
      </c>
      <c r="T2203" s="72">
        <f>+M2203*S2203</f>
        <v>0</v>
      </c>
      <c r="U2203" s="72">
        <f t="shared" ref="U2203:U2204" si="43">+R2203-T2203</f>
        <v>600</v>
      </c>
      <c r="V2203" s="72">
        <f>+U2203*0</f>
        <v>0</v>
      </c>
      <c r="W2203" s="72">
        <f t="shared" ref="W2203:W2204" si="44">+U2203-V2203</f>
        <v>600</v>
      </c>
      <c r="X2203" s="72">
        <v>0</v>
      </c>
      <c r="Y2203" s="14">
        <f t="shared" ref="Y2203:Y2212" si="45">T2203-X2203</f>
        <v>0</v>
      </c>
      <c r="Z2203" s="11" t="s">
        <v>26</v>
      </c>
      <c r="AA2203" s="12" t="s">
        <v>31</v>
      </c>
    </row>
    <row r="2204" spans="1:27" x14ac:dyDescent="0.25">
      <c r="A2204" s="10">
        <v>45689</v>
      </c>
      <c r="B2204" s="71">
        <v>4.502314814814834E-3</v>
      </c>
      <c r="C2204" s="11" t="s">
        <v>4586</v>
      </c>
      <c r="D2204" s="11" t="s">
        <v>26</v>
      </c>
      <c r="E2204" s="11" t="s">
        <v>3955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2">
        <f>(L2204*O2204)-Q2204</f>
        <v>202</v>
      </c>
      <c r="S2204" s="72">
        <v>0</v>
      </c>
      <c r="T2204" s="72">
        <f t="shared" ref="T2204" si="46">+L2204*S2204</f>
        <v>0</v>
      </c>
      <c r="U2204" s="72">
        <f t="shared" si="43"/>
        <v>202</v>
      </c>
      <c r="V2204" s="72">
        <f>+U2204*0</f>
        <v>0</v>
      </c>
      <c r="W2204" s="72">
        <f t="shared" si="44"/>
        <v>202</v>
      </c>
      <c r="X2204" s="72">
        <v>0</v>
      </c>
      <c r="Y2204" s="14">
        <f t="shared" si="45"/>
        <v>0</v>
      </c>
      <c r="Z2204" s="11" t="s">
        <v>26</v>
      </c>
      <c r="AA2204" s="12" t="s">
        <v>31</v>
      </c>
    </row>
    <row r="2205" spans="1:27" x14ac:dyDescent="0.25">
      <c r="A2205" s="10">
        <v>45689</v>
      </c>
      <c r="B2205" s="71">
        <v>0.19321759259259264</v>
      </c>
      <c r="C2205" s="11" t="s">
        <v>4587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2">
        <f>+L2205*O2205</f>
        <v>1693.6000000000001</v>
      </c>
      <c r="S2205" s="72">
        <v>0</v>
      </c>
      <c r="T2205" s="72">
        <f>+L2205*S2205</f>
        <v>0</v>
      </c>
      <c r="U2205" s="72">
        <f>+R2205-T2205</f>
        <v>1693.6000000000001</v>
      </c>
      <c r="V2205" s="72">
        <f>+U2205*0</f>
        <v>0</v>
      </c>
      <c r="W2205" s="72">
        <f>+U2205-V2205</f>
        <v>1693.6000000000001</v>
      </c>
      <c r="X2205" s="72">
        <v>0</v>
      </c>
      <c r="Y2205" s="14">
        <f t="shared" si="45"/>
        <v>0</v>
      </c>
      <c r="Z2205" s="11" t="s">
        <v>26</v>
      </c>
      <c r="AA2205" s="12" t="s">
        <v>31</v>
      </c>
    </row>
    <row r="2206" spans="1:27" x14ac:dyDescent="0.25">
      <c r="A2206" s="10">
        <v>45689</v>
      </c>
      <c r="B2206" s="71">
        <v>1.5150462962963018E-2</v>
      </c>
      <c r="C2206" s="11" t="s">
        <v>4588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4466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2">
        <f>L2206*O2206</f>
        <v>1848</v>
      </c>
      <c r="S2206" s="72">
        <v>0</v>
      </c>
      <c r="T2206" s="72">
        <f>L2206*S2206</f>
        <v>0</v>
      </c>
      <c r="U2206" s="72">
        <f>R2206-T2206</f>
        <v>1848</v>
      </c>
      <c r="V2206" s="72">
        <f>U2206*0</f>
        <v>0</v>
      </c>
      <c r="W2206" s="72">
        <f>U2206-V2206</f>
        <v>1848</v>
      </c>
      <c r="X2206" s="72">
        <v>0</v>
      </c>
      <c r="Y2206" s="14">
        <f t="shared" si="45"/>
        <v>0</v>
      </c>
      <c r="Z2206" s="11" t="s">
        <v>26</v>
      </c>
      <c r="AA2206" s="12" t="s">
        <v>31</v>
      </c>
    </row>
    <row r="2207" spans="1:27" x14ac:dyDescent="0.25">
      <c r="A2207" s="10">
        <v>45689</v>
      </c>
      <c r="B2207" s="71">
        <v>6.7824074074074314E-3</v>
      </c>
      <c r="C2207" s="11" t="s">
        <v>4589</v>
      </c>
      <c r="D2207" s="11" t="s">
        <v>26</v>
      </c>
      <c r="E2207" s="11" t="s">
        <v>3955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2">
        <f>(L2207*O2207)-Q2207</f>
        <v>204.8</v>
      </c>
      <c r="S2207" s="72">
        <v>0</v>
      </c>
      <c r="T2207" s="72">
        <f t="shared" ref="T2207" si="47">+L2207*S2207</f>
        <v>0</v>
      </c>
      <c r="U2207" s="72">
        <f t="shared" ref="U2207" si="48">+R2207-T2207</f>
        <v>204.8</v>
      </c>
      <c r="V2207" s="72">
        <f>+U2207*0</f>
        <v>0</v>
      </c>
      <c r="W2207" s="72">
        <f t="shared" ref="W2207" si="49">+U2207-V2207</f>
        <v>204.8</v>
      </c>
      <c r="X2207" s="72">
        <v>0</v>
      </c>
      <c r="Y2207" s="14">
        <f t="shared" si="45"/>
        <v>0</v>
      </c>
      <c r="Z2207" s="11" t="s">
        <v>26</v>
      </c>
      <c r="AA2207" s="12" t="s">
        <v>31</v>
      </c>
    </row>
    <row r="2208" spans="1:27" x14ac:dyDescent="0.25">
      <c r="A2208" s="10">
        <v>45689</v>
      </c>
      <c r="B2208" s="71">
        <v>9.8148148148148318E-3</v>
      </c>
      <c r="C2208" s="11" t="s">
        <v>4590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2">
        <f>M2208*P2208</f>
        <v>1087.5</v>
      </c>
      <c r="S2208" s="72">
        <v>0</v>
      </c>
      <c r="T2208" s="72">
        <f>M2208*S2208</f>
        <v>0</v>
      </c>
      <c r="U2208" s="72">
        <f>R2208-T2208</f>
        <v>1087.5</v>
      </c>
      <c r="V2208" s="72">
        <f>U2208*0</f>
        <v>0</v>
      </c>
      <c r="W2208" s="72">
        <f>U2208-V2208</f>
        <v>1087.5</v>
      </c>
      <c r="X2208" s="72">
        <v>0</v>
      </c>
      <c r="Y2208" s="14">
        <f t="shared" si="45"/>
        <v>0</v>
      </c>
      <c r="Z2208" s="11" t="s">
        <v>26</v>
      </c>
      <c r="AA2208" s="12" t="s">
        <v>31</v>
      </c>
    </row>
    <row r="2209" spans="1:27" x14ac:dyDescent="0.25">
      <c r="A2209" s="10">
        <v>45689</v>
      </c>
      <c r="B2209" s="71">
        <v>9.8495370370370039E-3</v>
      </c>
      <c r="C2209" s="11" t="s">
        <v>4591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1926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2">
        <f>M2209*P2209</f>
        <v>1350</v>
      </c>
      <c r="S2209" s="72">
        <v>0</v>
      </c>
      <c r="T2209" s="72">
        <f>M2209*S2209</f>
        <v>0</v>
      </c>
      <c r="U2209" s="72">
        <f>R2209-T2209</f>
        <v>1350</v>
      </c>
      <c r="V2209" s="72">
        <f>U2209*1</f>
        <v>1350</v>
      </c>
      <c r="W2209" s="72">
        <f>U2209-V2209</f>
        <v>0</v>
      </c>
      <c r="X2209" s="72">
        <v>0</v>
      </c>
      <c r="Y2209" s="14">
        <f t="shared" si="45"/>
        <v>0</v>
      </c>
      <c r="Z2209" s="11" t="s">
        <v>26</v>
      </c>
      <c r="AA2209" s="12" t="s">
        <v>31</v>
      </c>
    </row>
    <row r="2210" spans="1:27" x14ac:dyDescent="0.25">
      <c r="A2210" s="10">
        <v>45689</v>
      </c>
      <c r="B2210" s="71">
        <v>7.4259259259259303E-2</v>
      </c>
      <c r="C2210" s="11" t="s">
        <v>4592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2">
        <f>M2210*P2210</f>
        <v>1500</v>
      </c>
      <c r="S2210" s="72">
        <v>0</v>
      </c>
      <c r="T2210" s="72">
        <f>M2210*S2210</f>
        <v>0</v>
      </c>
      <c r="U2210" s="72">
        <f>R2210-T2210</f>
        <v>1500</v>
      </c>
      <c r="V2210" s="72">
        <f>U2210*0</f>
        <v>0</v>
      </c>
      <c r="W2210" s="72">
        <f>U2210-V2210</f>
        <v>1500</v>
      </c>
      <c r="X2210" s="72">
        <v>0</v>
      </c>
      <c r="Y2210" s="14">
        <f t="shared" si="45"/>
        <v>0</v>
      </c>
      <c r="Z2210" s="11" t="s">
        <v>26</v>
      </c>
      <c r="AA2210" s="12" t="s">
        <v>31</v>
      </c>
    </row>
    <row r="2211" spans="1:27" x14ac:dyDescent="0.25">
      <c r="A2211" s="10">
        <v>45689</v>
      </c>
      <c r="B2211" s="71">
        <v>6.6435185185185208E-3</v>
      </c>
      <c r="C2211" s="11" t="s">
        <v>4593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4440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2">
        <f>+L2211*O2211</f>
        <v>1611.9</v>
      </c>
      <c r="S2211" s="72">
        <v>0</v>
      </c>
      <c r="T2211" s="72">
        <f>+L2211*S2211</f>
        <v>0</v>
      </c>
      <c r="U2211" s="72">
        <f t="shared" ref="U2211" si="50">+R2211-T2211</f>
        <v>1611.9</v>
      </c>
      <c r="V2211" s="72">
        <f>+U2211*1</f>
        <v>1611.9</v>
      </c>
      <c r="W2211" s="72">
        <f t="shared" ref="W2211" si="51">+U2211-V2211</f>
        <v>0</v>
      </c>
      <c r="X2211" s="72">
        <v>0</v>
      </c>
      <c r="Y2211" s="14">
        <f t="shared" si="45"/>
        <v>0</v>
      </c>
      <c r="Z2211" s="11" t="s">
        <v>26</v>
      </c>
      <c r="AA2211" s="12" t="s">
        <v>31</v>
      </c>
    </row>
    <row r="2212" spans="1:27" x14ac:dyDescent="0.25">
      <c r="A2212" s="10">
        <v>45689</v>
      </c>
      <c r="B2212" s="71">
        <v>2.2685185185185197E-2</v>
      </c>
      <c r="C2212" s="11" t="s">
        <v>4594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2">
        <f>L2212*O2212</f>
        <v>1032.5</v>
      </c>
      <c r="S2212" s="72">
        <v>0</v>
      </c>
      <c r="T2212" s="72">
        <f>L2212*S2212</f>
        <v>0</v>
      </c>
      <c r="U2212" s="72">
        <f>R2212-T2212</f>
        <v>1032.5</v>
      </c>
      <c r="V2212" s="72">
        <f>U2212*0</f>
        <v>0</v>
      </c>
      <c r="W2212" s="72">
        <f>U2212-V2212</f>
        <v>1032.5</v>
      </c>
      <c r="X2212" s="72">
        <v>0</v>
      </c>
      <c r="Y2212" s="14">
        <f t="shared" si="45"/>
        <v>0</v>
      </c>
      <c r="Z2212" s="11" t="s">
        <v>26</v>
      </c>
      <c r="AA2212" s="12" t="s">
        <v>31</v>
      </c>
    </row>
    <row r="2213" spans="1:27" x14ac:dyDescent="0.25">
      <c r="A2213" s="10">
        <v>45689</v>
      </c>
      <c r="B2213" s="71">
        <v>9.791666666666643E-3</v>
      </c>
      <c r="C2213" s="11" t="s">
        <v>4595</v>
      </c>
      <c r="D2213" s="11" t="s">
        <v>26</v>
      </c>
      <c r="E2213" s="11" t="s">
        <v>4178</v>
      </c>
      <c r="F2213" s="11" t="s">
        <v>26</v>
      </c>
      <c r="G2213" s="11" t="s">
        <v>26</v>
      </c>
      <c r="H2213" s="12" t="s">
        <v>4441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2">
        <f>L2213*O2213</f>
        <v>2835</v>
      </c>
      <c r="S2213" s="72">
        <v>41</v>
      </c>
      <c r="T2213" s="72">
        <f>+L2213*S2213</f>
        <v>1291.5</v>
      </c>
      <c r="U2213" s="72">
        <f t="shared" ref="U2213" si="52">R2213-T2213</f>
        <v>1543.5</v>
      </c>
      <c r="V2213" s="72">
        <f>U2213*1</f>
        <v>1543.5</v>
      </c>
      <c r="W2213" s="72">
        <f t="shared" ref="W2213" si="53">U2213-V2213</f>
        <v>0</v>
      </c>
      <c r="X2213" s="16">
        <f>L2213*40</f>
        <v>1260</v>
      </c>
      <c r="Y2213" s="73">
        <f t="shared" ref="Y2213" si="54">+T2213-X2213</f>
        <v>31.5</v>
      </c>
      <c r="Z2213" s="12" t="s">
        <v>41</v>
      </c>
      <c r="AA2213" s="12" t="s">
        <v>747</v>
      </c>
    </row>
    <row r="2214" spans="1:27" x14ac:dyDescent="0.25">
      <c r="A2214" s="10">
        <v>45689</v>
      </c>
      <c r="B2214" s="71">
        <v>9.7685185185184542E-3</v>
      </c>
      <c r="C2214" s="11" t="s">
        <v>4596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2">
        <f>+M2214*P2214</f>
        <v>1500</v>
      </c>
      <c r="S2214" s="72">
        <v>0</v>
      </c>
      <c r="T2214" s="72">
        <f>+M2214*S2214</f>
        <v>0</v>
      </c>
      <c r="U2214" s="72">
        <f t="shared" ref="U2214:U2216" si="55">+R2214-T2214</f>
        <v>1500</v>
      </c>
      <c r="V2214" s="72">
        <f>+U2214*0</f>
        <v>0</v>
      </c>
      <c r="W2214" s="72">
        <f t="shared" ref="W2214:W2216" si="56">+U2214-V2214</f>
        <v>1500</v>
      </c>
      <c r="X2214" s="72">
        <v>0</v>
      </c>
      <c r="Y2214" s="14">
        <f t="shared" ref="Y2214:Y2216" si="57">T2214-X2214</f>
        <v>0</v>
      </c>
      <c r="Z2214" s="11" t="s">
        <v>26</v>
      </c>
      <c r="AA2214" s="12" t="s">
        <v>31</v>
      </c>
    </row>
    <row r="2215" spans="1:27" x14ac:dyDescent="0.25">
      <c r="A2215" s="10">
        <v>45689</v>
      </c>
      <c r="B2215" s="71">
        <v>7.6620370370370505E-3</v>
      </c>
      <c r="C2215" s="11" t="s">
        <v>4597</v>
      </c>
      <c r="D2215" s="11" t="s">
        <v>26</v>
      </c>
      <c r="E2215" s="11" t="s">
        <v>3955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2">
        <f>(L2215*O2215)-Q2215</f>
        <v>199.20000000000002</v>
      </c>
      <c r="S2215" s="72">
        <v>0</v>
      </c>
      <c r="T2215" s="72">
        <f t="shared" ref="T2215" si="58">+L2215*S2215</f>
        <v>0</v>
      </c>
      <c r="U2215" s="72">
        <f t="shared" si="55"/>
        <v>199.20000000000002</v>
      </c>
      <c r="V2215" s="72">
        <f>+U2215*0</f>
        <v>0</v>
      </c>
      <c r="W2215" s="72">
        <f t="shared" si="56"/>
        <v>199.20000000000002</v>
      </c>
      <c r="X2215" s="72">
        <v>0</v>
      </c>
      <c r="Y2215" s="14">
        <f t="shared" si="57"/>
        <v>0</v>
      </c>
      <c r="Z2215" s="11" t="s">
        <v>26</v>
      </c>
      <c r="AA2215" s="12" t="s">
        <v>31</v>
      </c>
    </row>
    <row r="2216" spans="1:27" x14ac:dyDescent="0.25">
      <c r="A2216" s="10">
        <v>45689</v>
      </c>
      <c r="B2216" s="71">
        <v>1.1874999999999969E-2</v>
      </c>
      <c r="C2216" s="11" t="s">
        <v>4598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2">
        <f>+M2216*P2216</f>
        <v>1500</v>
      </c>
      <c r="S2216" s="72">
        <v>0</v>
      </c>
      <c r="T2216" s="72">
        <f>+M2216*S2216</f>
        <v>0</v>
      </c>
      <c r="U2216" s="72">
        <f t="shared" si="55"/>
        <v>1500</v>
      </c>
      <c r="V2216" s="72">
        <f>+U2216*0</f>
        <v>0</v>
      </c>
      <c r="W2216" s="72">
        <f t="shared" si="56"/>
        <v>1500</v>
      </c>
      <c r="X2216" s="72">
        <v>0</v>
      </c>
      <c r="Y2216" s="14">
        <f t="shared" si="57"/>
        <v>0</v>
      </c>
      <c r="Z2216" s="11" t="s">
        <v>26</v>
      </c>
      <c r="AA2216" s="12" t="s">
        <v>31</v>
      </c>
    </row>
    <row r="2217" spans="1:27" x14ac:dyDescent="0.25">
      <c r="A2217" s="10">
        <v>45689</v>
      </c>
      <c r="B2217" s="71">
        <v>1.1099537037037033E-2</v>
      </c>
      <c r="C2217" s="11" t="s">
        <v>4599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4439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2">
        <f>L2217*O2217</f>
        <v>3696.8199999999997</v>
      </c>
      <c r="S2217" s="72">
        <v>38</v>
      </c>
      <c r="T2217" s="72">
        <f>L2217*S2217</f>
        <v>1692.52</v>
      </c>
      <c r="U2217" s="72">
        <f>R2217-T2217</f>
        <v>2004.2999999999997</v>
      </c>
      <c r="V2217" s="72">
        <f>U2217*1</f>
        <v>2004.2999999999997</v>
      </c>
      <c r="W2217" s="72">
        <f>U2217-V2217</f>
        <v>0</v>
      </c>
      <c r="X2217" s="72">
        <f>L2217*36</f>
        <v>1603.44</v>
      </c>
      <c r="Y2217" s="73">
        <f>+T2217-X2217</f>
        <v>89.079999999999927</v>
      </c>
      <c r="Z2217" s="12" t="s">
        <v>140</v>
      </c>
      <c r="AA2217" s="12" t="s">
        <v>78</v>
      </c>
    </row>
    <row r="2218" spans="1:27" x14ac:dyDescent="0.25">
      <c r="A2218" s="10">
        <v>45689</v>
      </c>
      <c r="B2218" s="71">
        <v>2.3379629629629695E-2</v>
      </c>
      <c r="C2218" s="11" t="s">
        <v>4600</v>
      </c>
      <c r="D2218" s="11" t="s">
        <v>26</v>
      </c>
      <c r="E2218" s="11" t="s">
        <v>1217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2">
        <f>M2218*P2218</f>
        <v>1500</v>
      </c>
      <c r="S2218" s="72">
        <v>0</v>
      </c>
      <c r="T2218" s="72">
        <f>M2218*S2218</f>
        <v>0</v>
      </c>
      <c r="U2218" s="72">
        <f>R2218-T2218</f>
        <v>1500</v>
      </c>
      <c r="V2218" s="72">
        <f>U2218*0</f>
        <v>0</v>
      </c>
      <c r="W2218" s="72">
        <f>U2218-V2218</f>
        <v>1500</v>
      </c>
      <c r="X2218" s="72">
        <v>0</v>
      </c>
      <c r="Y2218" s="14">
        <f t="shared" ref="Y2218" si="59">T2218-X2218</f>
        <v>0</v>
      </c>
      <c r="Z2218" s="11" t="s">
        <v>26</v>
      </c>
      <c r="AA2218" s="12" t="s">
        <v>31</v>
      </c>
    </row>
    <row r="2219" spans="1:27" x14ac:dyDescent="0.25">
      <c r="A2219" s="10">
        <v>45689</v>
      </c>
      <c r="B2219" s="71">
        <v>1.8969907407407449E-2</v>
      </c>
      <c r="C2219" s="11" t="s">
        <v>4601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2">
        <f>(L2219*O2219)-Q2219</f>
        <v>399.6</v>
      </c>
      <c r="S2219" s="72">
        <v>0</v>
      </c>
      <c r="T2219" s="72">
        <f t="shared" ref="T2219" si="60">+L2219*S2219</f>
        <v>0</v>
      </c>
      <c r="U2219" s="72">
        <f t="shared" ref="U2219" si="61">+R2219-T2219</f>
        <v>399.6</v>
      </c>
      <c r="V2219" s="72">
        <f>+U2219*0</f>
        <v>0</v>
      </c>
      <c r="W2219" s="72">
        <f t="shared" ref="W2219" si="62">+U2219-V2219</f>
        <v>399.6</v>
      </c>
      <c r="X2219" s="72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x14ac:dyDescent="0.25">
      <c r="A2220" s="10">
        <v>45689</v>
      </c>
      <c r="B2220" s="71">
        <v>5.9953703703703454E-3</v>
      </c>
      <c r="C2220" s="11" t="s">
        <v>4602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1926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2">
        <f>M2220*P2220</f>
        <v>1350</v>
      </c>
      <c r="S2220" s="72">
        <v>0</v>
      </c>
      <c r="T2220" s="72">
        <f>M2220*S2220</f>
        <v>0</v>
      </c>
      <c r="U2220" s="72">
        <f>R2220-T2220</f>
        <v>1350</v>
      </c>
      <c r="V2220" s="72">
        <f>U2220*1</f>
        <v>1350</v>
      </c>
      <c r="W2220" s="72">
        <f>U2220-V2220</f>
        <v>0</v>
      </c>
      <c r="X2220" s="72">
        <v>0</v>
      </c>
      <c r="Y2220" s="14">
        <f t="shared" ref="Y2220:Y2225" si="63">T2220-X2220</f>
        <v>0</v>
      </c>
      <c r="Z2220" s="11" t="s">
        <v>26</v>
      </c>
      <c r="AA2220" s="12" t="s">
        <v>31</v>
      </c>
    </row>
    <row r="2221" spans="1:27" x14ac:dyDescent="0.25">
      <c r="A2221" s="10">
        <v>45689</v>
      </c>
      <c r="B2221" s="71">
        <v>5.0231481481480822E-3</v>
      </c>
      <c r="C2221" s="11" t="s">
        <v>4603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4465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2">
        <f>+L2221*O2221</f>
        <v>1739.1000000000001</v>
      </c>
      <c r="S2221" s="72">
        <v>0</v>
      </c>
      <c r="T2221" s="72">
        <f>+L2221*S2221</f>
        <v>0</v>
      </c>
      <c r="U2221" s="72">
        <f>+R2221-T2221</f>
        <v>1739.1000000000001</v>
      </c>
      <c r="V2221" s="72">
        <f>+U2221*0.75</f>
        <v>1304.325</v>
      </c>
      <c r="W2221" s="72">
        <f>+U2221-V2221</f>
        <v>434.77500000000009</v>
      </c>
      <c r="X2221" s="72">
        <v>0</v>
      </c>
      <c r="Y2221" s="14">
        <f t="shared" si="63"/>
        <v>0</v>
      </c>
      <c r="Z2221" s="11" t="s">
        <v>26</v>
      </c>
      <c r="AA2221" s="12" t="s">
        <v>31</v>
      </c>
    </row>
    <row r="2222" spans="1:27" x14ac:dyDescent="0.25">
      <c r="A2222" s="10">
        <v>45689</v>
      </c>
      <c r="B2222" s="71">
        <v>6.423611111111116E-3</v>
      </c>
      <c r="C2222" s="11" t="s">
        <v>4604</v>
      </c>
      <c r="D2222" s="11" t="s">
        <v>26</v>
      </c>
      <c r="E2222" s="11" t="s">
        <v>3955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2">
        <f>(L2222*O2222)-Q2222</f>
        <v>200.39999999999998</v>
      </c>
      <c r="S2222" s="72">
        <v>0</v>
      </c>
      <c r="T2222" s="72">
        <f t="shared" ref="T2222" si="64">+L2222*S2222</f>
        <v>0</v>
      </c>
      <c r="U2222" s="72">
        <f t="shared" ref="U2222" si="65">+R2222-T2222</f>
        <v>200.39999999999998</v>
      </c>
      <c r="V2222" s="72">
        <f>+U2222*0</f>
        <v>0</v>
      </c>
      <c r="W2222" s="72">
        <f t="shared" ref="W2222" si="66">+U2222-V2222</f>
        <v>200.39999999999998</v>
      </c>
      <c r="X2222" s="72">
        <v>0</v>
      </c>
      <c r="Y2222" s="14">
        <f t="shared" si="63"/>
        <v>0</v>
      </c>
      <c r="Z2222" s="11" t="s">
        <v>26</v>
      </c>
      <c r="AA2222" s="12" t="s">
        <v>31</v>
      </c>
    </row>
    <row r="2223" spans="1:27" x14ac:dyDescent="0.25">
      <c r="A2223" s="10">
        <v>45689</v>
      </c>
      <c r="B2223" s="71">
        <v>7.0023148148148362E-3</v>
      </c>
      <c r="C2223" s="11" t="s">
        <v>4605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4465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2">
        <f>+L2223*O2223</f>
        <v>1768.85</v>
      </c>
      <c r="S2223" s="72">
        <v>0</v>
      </c>
      <c r="T2223" s="72">
        <f>+L2223*S2223</f>
        <v>0</v>
      </c>
      <c r="U2223" s="72">
        <f>+R2223-T2223</f>
        <v>1768.85</v>
      </c>
      <c r="V2223" s="72">
        <f>+U2223*0.75</f>
        <v>1326.6374999999998</v>
      </c>
      <c r="W2223" s="72">
        <f>+U2223-V2223</f>
        <v>442.21250000000009</v>
      </c>
      <c r="X2223" s="72">
        <v>0</v>
      </c>
      <c r="Y2223" s="14">
        <f t="shared" si="63"/>
        <v>0</v>
      </c>
      <c r="Z2223" s="11" t="s">
        <v>26</v>
      </c>
      <c r="AA2223" s="12" t="s">
        <v>31</v>
      </c>
    </row>
    <row r="2224" spans="1:27" x14ac:dyDescent="0.25">
      <c r="A2224" s="10">
        <v>45689</v>
      </c>
      <c r="B2224" s="71">
        <v>8.6574074074073915E-3</v>
      </c>
      <c r="C2224" s="11" t="s">
        <v>4606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4465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2">
        <f>+L2224*O2224</f>
        <v>571.5</v>
      </c>
      <c r="S2224" s="72">
        <v>0</v>
      </c>
      <c r="T2224" s="72">
        <f>+L2224*S2224</f>
        <v>0</v>
      </c>
      <c r="U2224" s="72">
        <f>+R2224-T2224</f>
        <v>571.5</v>
      </c>
      <c r="V2224" s="72">
        <f>+U2224*0.75</f>
        <v>428.625</v>
      </c>
      <c r="W2224" s="72">
        <f>+U2224-V2224</f>
        <v>142.875</v>
      </c>
      <c r="X2224" s="72">
        <v>0</v>
      </c>
      <c r="Y2224" s="14">
        <f t="shared" si="63"/>
        <v>0</v>
      </c>
      <c r="Z2224" s="11" t="s">
        <v>26</v>
      </c>
      <c r="AA2224" s="12" t="s">
        <v>31</v>
      </c>
    </row>
    <row r="2225" spans="1:27" x14ac:dyDescent="0.25">
      <c r="A2225" s="10">
        <v>45689</v>
      </c>
      <c r="B2225" s="71">
        <v>1.3935185185185217E-2</v>
      </c>
      <c r="C2225" s="11" t="s">
        <v>4607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2">
        <f>+L2225*O2225</f>
        <v>1642.4</v>
      </c>
      <c r="S2225" s="72">
        <v>0</v>
      </c>
      <c r="T2225" s="72">
        <f>+L2225*S2225</f>
        <v>0</v>
      </c>
      <c r="U2225" s="72">
        <f>+R2225-T2225</f>
        <v>1642.4</v>
      </c>
      <c r="V2225" s="72">
        <f>+U2225*0</f>
        <v>0</v>
      </c>
      <c r="W2225" s="72">
        <f>+U2225-V2225</f>
        <v>1642.4</v>
      </c>
      <c r="X2225" s="72">
        <v>0</v>
      </c>
      <c r="Y2225" s="14">
        <f t="shared" si="63"/>
        <v>0</v>
      </c>
      <c r="Z2225" s="11" t="s">
        <v>26</v>
      </c>
      <c r="AA2225" s="12" t="s">
        <v>31</v>
      </c>
    </row>
    <row r="2226" spans="1:27" x14ac:dyDescent="0.25">
      <c r="A2226" s="10">
        <v>45689</v>
      </c>
      <c r="B2226" s="71">
        <v>6.0763888888889506E-3</v>
      </c>
      <c r="C2226" s="11" t="s">
        <v>4608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4439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2">
        <f>L2226*O2226</f>
        <v>3585.6000000000004</v>
      </c>
      <c r="S2226" s="72">
        <v>38</v>
      </c>
      <c r="T2226" s="72">
        <f>L2226*S2226</f>
        <v>1641.6000000000001</v>
      </c>
      <c r="U2226" s="72">
        <f>R2226-T2226</f>
        <v>1944.0000000000002</v>
      </c>
      <c r="V2226" s="72">
        <f>U2226*1</f>
        <v>1944.0000000000002</v>
      </c>
      <c r="W2226" s="72">
        <f>U2226-V2226</f>
        <v>0</v>
      </c>
      <c r="X2226" s="72">
        <f>L2226*37</f>
        <v>1598.4</v>
      </c>
      <c r="Y2226" s="73">
        <f>+T2226-X2226</f>
        <v>43.200000000000045</v>
      </c>
      <c r="Z2226" s="12" t="s">
        <v>41</v>
      </c>
      <c r="AA2226" s="12" t="s">
        <v>78</v>
      </c>
    </row>
    <row r="2227" spans="1:27" x14ac:dyDescent="0.25">
      <c r="A2227" s="10">
        <v>45689</v>
      </c>
      <c r="B2227" s="71">
        <v>1.5625E-2</v>
      </c>
      <c r="C2227" s="11" t="s">
        <v>4609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2">
        <f>+M2227*P2227</f>
        <v>600</v>
      </c>
      <c r="S2227" s="72">
        <v>0</v>
      </c>
      <c r="T2227" s="72">
        <f>+M2227*S2227</f>
        <v>0</v>
      </c>
      <c r="U2227" s="72">
        <f t="shared" ref="U2227:U2228" si="67">+R2227-T2227</f>
        <v>600</v>
      </c>
      <c r="V2227" s="72">
        <f>+U2227*0</f>
        <v>0</v>
      </c>
      <c r="W2227" s="72">
        <f t="shared" ref="W2227:W2228" si="68">+U2227-V2227</f>
        <v>600</v>
      </c>
      <c r="X2227" s="72">
        <v>0</v>
      </c>
      <c r="Y2227" s="14">
        <f t="shared" ref="Y2227:Y2233" si="69">T2227-X2227</f>
        <v>0</v>
      </c>
      <c r="Z2227" s="11" t="s">
        <v>26</v>
      </c>
      <c r="AA2227" s="12" t="s">
        <v>31</v>
      </c>
    </row>
    <row r="2228" spans="1:27" x14ac:dyDescent="0.25">
      <c r="A2228" s="10">
        <v>45689</v>
      </c>
      <c r="B2228" s="71">
        <v>1.6759259259259363E-2</v>
      </c>
      <c r="C2228" s="11" t="s">
        <v>4610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2">
        <f>+M2228*P2228</f>
        <v>480</v>
      </c>
      <c r="S2228" s="72">
        <v>0</v>
      </c>
      <c r="T2228" s="72">
        <f>+M2228*S2228</f>
        <v>0</v>
      </c>
      <c r="U2228" s="72">
        <f t="shared" si="67"/>
        <v>480</v>
      </c>
      <c r="V2228" s="72">
        <f>+U2228*0</f>
        <v>0</v>
      </c>
      <c r="W2228" s="72">
        <f t="shared" si="68"/>
        <v>480</v>
      </c>
      <c r="X2228" s="72">
        <v>0</v>
      </c>
      <c r="Y2228" s="14">
        <f t="shared" si="69"/>
        <v>0</v>
      </c>
      <c r="Z2228" s="11" t="s">
        <v>26</v>
      </c>
      <c r="AA2228" s="12" t="s">
        <v>31</v>
      </c>
    </row>
    <row r="2229" spans="1:27" x14ac:dyDescent="0.25">
      <c r="A2229" s="10">
        <v>45689</v>
      </c>
      <c r="B2229" s="71">
        <v>1.2164351851851829E-2</v>
      </c>
      <c r="C2229" s="11" t="s">
        <v>4611</v>
      </c>
      <c r="D2229" s="11" t="s">
        <v>26</v>
      </c>
      <c r="E2229" s="11" t="s">
        <v>4612</v>
      </c>
      <c r="F2229" s="11" t="s">
        <v>26</v>
      </c>
      <c r="G2229" s="11">
        <v>74549</v>
      </c>
      <c r="H2229" s="12" t="s">
        <v>4465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2">
        <f>+L2229*O2229</f>
        <v>1845.3500000000001</v>
      </c>
      <c r="S2229" s="72">
        <v>0</v>
      </c>
      <c r="T2229" s="72">
        <f>+L2229*S2229</f>
        <v>0</v>
      </c>
      <c r="U2229" s="72">
        <f>+R2229-T2229</f>
        <v>1845.3500000000001</v>
      </c>
      <c r="V2229" s="72">
        <f>+U2229*0.75</f>
        <v>1384.0125</v>
      </c>
      <c r="W2229" s="72">
        <f>+U2229-V2229</f>
        <v>461.33750000000009</v>
      </c>
      <c r="X2229" s="72">
        <v>0</v>
      </c>
      <c r="Y2229" s="14">
        <f t="shared" si="69"/>
        <v>0</v>
      </c>
      <c r="Z2229" s="11" t="s">
        <v>26</v>
      </c>
      <c r="AA2229" s="12" t="s">
        <v>31</v>
      </c>
    </row>
    <row r="2230" spans="1:27" x14ac:dyDescent="0.25">
      <c r="A2230" s="10">
        <v>45689</v>
      </c>
      <c r="B2230" s="71">
        <v>9.6759259259259212E-3</v>
      </c>
      <c r="C2230" s="11" t="s">
        <v>4613</v>
      </c>
      <c r="D2230" s="11" t="s">
        <v>26</v>
      </c>
      <c r="E2230" s="11" t="s">
        <v>3955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2">
        <f>(L2230*O2230)-Q2230</f>
        <v>186.4</v>
      </c>
      <c r="S2230" s="72">
        <v>0</v>
      </c>
      <c r="T2230" s="72">
        <f t="shared" ref="T2230" si="71">+L2230*S2230</f>
        <v>0</v>
      </c>
      <c r="U2230" s="72">
        <f t="shared" ref="U2230" si="72">+R2230-T2230</f>
        <v>186.4</v>
      </c>
      <c r="V2230" s="72">
        <f>+U2230*0</f>
        <v>0</v>
      </c>
      <c r="W2230" s="72">
        <f t="shared" ref="W2230" si="73">+U2230-V2230</f>
        <v>186.4</v>
      </c>
      <c r="X2230" s="72">
        <v>0</v>
      </c>
      <c r="Y2230" s="14">
        <f t="shared" si="69"/>
        <v>0</v>
      </c>
      <c r="Z2230" s="11" t="s">
        <v>26</v>
      </c>
      <c r="AA2230" s="12" t="s">
        <v>31</v>
      </c>
    </row>
    <row r="2231" spans="1:27" x14ac:dyDescent="0.25">
      <c r="A2231" s="10">
        <v>45689</v>
      </c>
      <c r="B2231" s="71">
        <v>3.5208333333333397E-2</v>
      </c>
      <c r="C2231" s="11" t="s">
        <v>4614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2">
        <f>+L2231*O2231</f>
        <v>1721.6</v>
      </c>
      <c r="S2231" s="72">
        <v>0</v>
      </c>
      <c r="T2231" s="72">
        <f>+L2231*S2231</f>
        <v>0</v>
      </c>
      <c r="U2231" s="72">
        <f>+R2231-T2231</f>
        <v>1721.6</v>
      </c>
      <c r="V2231" s="72">
        <f>+U2231*0</f>
        <v>0</v>
      </c>
      <c r="W2231" s="72">
        <f>+U2231-V2231</f>
        <v>1721.6</v>
      </c>
      <c r="X2231" s="72">
        <v>0</v>
      </c>
      <c r="Y2231" s="14">
        <f t="shared" si="69"/>
        <v>0</v>
      </c>
      <c r="Z2231" s="11" t="s">
        <v>26</v>
      </c>
      <c r="AA2231" s="12" t="s">
        <v>31</v>
      </c>
    </row>
    <row r="2232" spans="1:27" x14ac:dyDescent="0.25">
      <c r="A2232" s="10">
        <v>45689</v>
      </c>
      <c r="B2232" s="71">
        <v>9.2592592592593004E-3</v>
      </c>
      <c r="C2232" s="11" t="s">
        <v>4615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2">
        <f>+M2232*P2232</f>
        <v>1500</v>
      </c>
      <c r="S2232" s="72">
        <v>0</v>
      </c>
      <c r="T2232" s="72">
        <f>+M2232*S2232</f>
        <v>0</v>
      </c>
      <c r="U2232" s="72">
        <f t="shared" ref="U2232:U2233" si="74">+R2232-T2232</f>
        <v>1500</v>
      </c>
      <c r="V2232" s="72">
        <f>+U2232*0</f>
        <v>0</v>
      </c>
      <c r="W2232" s="72">
        <f t="shared" ref="W2232:W2233" si="75">+U2232-V2232</f>
        <v>1500</v>
      </c>
      <c r="X2232" s="72">
        <v>0</v>
      </c>
      <c r="Y2232" s="14">
        <f t="shared" si="69"/>
        <v>0</v>
      </c>
      <c r="Z2232" s="11" t="s">
        <v>26</v>
      </c>
      <c r="AA2232" s="12" t="s">
        <v>31</v>
      </c>
    </row>
    <row r="2233" spans="1:27" x14ac:dyDescent="0.25">
      <c r="A2233" s="10">
        <v>45689</v>
      </c>
      <c r="B2233" s="71">
        <v>2.8101851851851878E-2</v>
      </c>
      <c r="C2233" s="11" t="s">
        <v>4616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2">
        <f>+M2233*P2233</f>
        <v>1600</v>
      </c>
      <c r="S2233" s="72">
        <v>0</v>
      </c>
      <c r="T2233" s="72">
        <f>+M2233*S2233</f>
        <v>0</v>
      </c>
      <c r="U2233" s="72">
        <f t="shared" si="74"/>
        <v>1600</v>
      </c>
      <c r="V2233" s="72">
        <f>+U2233*0</f>
        <v>0</v>
      </c>
      <c r="W2233" s="72">
        <f t="shared" si="75"/>
        <v>1600</v>
      </c>
      <c r="X2233" s="72">
        <v>0</v>
      </c>
      <c r="Y2233" s="14">
        <f t="shared" si="69"/>
        <v>0</v>
      </c>
      <c r="Z2233" s="11" t="s">
        <v>26</v>
      </c>
      <c r="AA2233" s="12" t="s">
        <v>31</v>
      </c>
    </row>
    <row r="2234" spans="1:27" x14ac:dyDescent="0.25">
      <c r="A2234" s="10">
        <v>45689</v>
      </c>
      <c r="B2234" s="71">
        <v>1.2268518518518512E-2</v>
      </c>
      <c r="C2234" s="11" t="s">
        <v>4617</v>
      </c>
      <c r="D2234" s="11" t="s">
        <v>26</v>
      </c>
      <c r="E2234" s="11" t="s">
        <v>4340</v>
      </c>
      <c r="F2234" s="11" t="s">
        <v>26</v>
      </c>
      <c r="G2234" s="11">
        <v>2957</v>
      </c>
      <c r="H2234" s="12" t="s">
        <v>4459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2">
        <f>L2234*O2234</f>
        <v>1689.3</v>
      </c>
      <c r="S2234" s="72">
        <v>0</v>
      </c>
      <c r="T2234" s="72">
        <f>L2234*S2234</f>
        <v>0</v>
      </c>
      <c r="U2234" s="72">
        <f>R2234-T2234</f>
        <v>1689.3</v>
      </c>
      <c r="V2234" s="72">
        <f>U2234*1</f>
        <v>1689.3</v>
      </c>
      <c r="W2234" s="72">
        <f>U2234-V2234</f>
        <v>0</v>
      </c>
      <c r="X2234" s="72">
        <v>0</v>
      </c>
      <c r="Y2234" s="73">
        <f>T2234-X2234</f>
        <v>0</v>
      </c>
      <c r="Z2234" s="11" t="s">
        <v>26</v>
      </c>
      <c r="AA2234" s="12" t="s">
        <v>31</v>
      </c>
    </row>
    <row r="2235" spans="1:27" x14ac:dyDescent="0.25">
      <c r="A2235" s="10">
        <v>45689</v>
      </c>
      <c r="B2235" s="71">
        <v>1.5266203703703685E-2</v>
      </c>
      <c r="C2235" s="11" t="s">
        <v>4618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2">
        <f>+M2235*P2235</f>
        <v>480</v>
      </c>
      <c r="S2235" s="72">
        <v>0</v>
      </c>
      <c r="T2235" s="72">
        <f>+M2235*S2235</f>
        <v>0</v>
      </c>
      <c r="U2235" s="72">
        <f t="shared" ref="U2235" si="76">+R2235-T2235</f>
        <v>480</v>
      </c>
      <c r="V2235" s="72">
        <f>+U2235*0</f>
        <v>0</v>
      </c>
      <c r="W2235" s="72">
        <f t="shared" ref="W2235" si="77">+U2235-V2235</f>
        <v>480</v>
      </c>
      <c r="X2235" s="72">
        <v>0</v>
      </c>
      <c r="Y2235" s="14">
        <f t="shared" ref="Y2235:Y2259" si="78">T2235-X2235</f>
        <v>0</v>
      </c>
      <c r="Z2235" s="11" t="s">
        <v>26</v>
      </c>
      <c r="AA2235" s="12" t="s">
        <v>31</v>
      </c>
    </row>
    <row r="2236" spans="1:27" x14ac:dyDescent="0.25">
      <c r="A2236" s="10">
        <v>45689</v>
      </c>
      <c r="B2236" s="71">
        <v>0.30568287037037045</v>
      </c>
      <c r="C2236" s="11" t="s">
        <v>4619</v>
      </c>
      <c r="D2236" s="11" t="s">
        <v>26</v>
      </c>
      <c r="E2236" s="11" t="s">
        <v>659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2">
        <f>L2236*O2236</f>
        <v>1145.5</v>
      </c>
      <c r="S2236" s="72">
        <v>0</v>
      </c>
      <c r="T2236" s="72">
        <f>L2236*S2236</f>
        <v>0</v>
      </c>
      <c r="U2236" s="72">
        <f>R2236-T2236</f>
        <v>1145.5</v>
      </c>
      <c r="V2236" s="72">
        <f>U2236*0</f>
        <v>0</v>
      </c>
      <c r="W2236" s="72">
        <f>U2236-V2236</f>
        <v>1145.5</v>
      </c>
      <c r="X2236" s="72">
        <v>0</v>
      </c>
      <c r="Y2236" s="14">
        <f t="shared" si="78"/>
        <v>0</v>
      </c>
      <c r="Z2236" s="11" t="s">
        <v>26</v>
      </c>
      <c r="AA2236" s="12" t="s">
        <v>31</v>
      </c>
    </row>
    <row r="2237" spans="1:27" x14ac:dyDescent="0.25">
      <c r="A2237" s="10">
        <v>45689</v>
      </c>
      <c r="B2237" s="71">
        <v>1.260416666666675E-2</v>
      </c>
      <c r="C2237" s="11" t="s">
        <v>4620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4465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2">
        <f>+L2237*O2237</f>
        <v>572.70000000000005</v>
      </c>
      <c r="S2237" s="72">
        <v>0</v>
      </c>
      <c r="T2237" s="72">
        <f>+L2237*S2237</f>
        <v>0</v>
      </c>
      <c r="U2237" s="72">
        <f>+R2237-T2237</f>
        <v>572.70000000000005</v>
      </c>
      <c r="V2237" s="72">
        <f>+U2237*0.75</f>
        <v>429.52500000000003</v>
      </c>
      <c r="W2237" s="72">
        <f>+U2237-V2237</f>
        <v>143.17500000000001</v>
      </c>
      <c r="X2237" s="72">
        <v>0</v>
      </c>
      <c r="Y2237" s="14">
        <f t="shared" si="78"/>
        <v>0</v>
      </c>
      <c r="Z2237" s="11" t="s">
        <v>26</v>
      </c>
      <c r="AA2237" s="12" t="s">
        <v>31</v>
      </c>
    </row>
    <row r="2238" spans="1:27" x14ac:dyDescent="0.25">
      <c r="A2238" s="10">
        <v>45689</v>
      </c>
      <c r="B2238" s="71">
        <v>7.3842592592593403E-3</v>
      </c>
      <c r="C2238" s="11" t="s">
        <v>4621</v>
      </c>
      <c r="D2238" s="11" t="s">
        <v>26</v>
      </c>
      <c r="E2238" s="11" t="s">
        <v>4178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2">
        <f>+M2238*P2238</f>
        <v>480</v>
      </c>
      <c r="S2238" s="72">
        <v>0</v>
      </c>
      <c r="T2238" s="72">
        <f>+M2238*S2238</f>
        <v>0</v>
      </c>
      <c r="U2238" s="72">
        <f t="shared" ref="U2238" si="79">+R2238-T2238</f>
        <v>480</v>
      </c>
      <c r="V2238" s="72">
        <f>+U2238*0</f>
        <v>0</v>
      </c>
      <c r="W2238" s="72">
        <f t="shared" ref="W2238" si="80">+U2238-V2238</f>
        <v>480</v>
      </c>
      <c r="X2238" s="72">
        <v>0</v>
      </c>
      <c r="Y2238" s="14">
        <f t="shared" si="78"/>
        <v>0</v>
      </c>
      <c r="Z2238" s="11" t="s">
        <v>26</v>
      </c>
      <c r="AA2238" s="12" t="s">
        <v>31</v>
      </c>
    </row>
    <row r="2239" spans="1:27" x14ac:dyDescent="0.25">
      <c r="A2239" s="10">
        <v>45689</v>
      </c>
      <c r="B2239" s="71">
        <v>9.9652777777777812E-3</v>
      </c>
      <c r="C2239" s="11" t="s">
        <v>4622</v>
      </c>
      <c r="D2239" s="11" t="s">
        <v>26</v>
      </c>
      <c r="E2239" s="11" t="s">
        <v>3803</v>
      </c>
      <c r="F2239" s="11" t="s">
        <v>26</v>
      </c>
      <c r="G2239" s="11">
        <v>24329</v>
      </c>
      <c r="H2239" s="12" t="s">
        <v>4465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2">
        <f>+L2239*O2239</f>
        <v>567.6</v>
      </c>
      <c r="S2239" s="72">
        <v>0</v>
      </c>
      <c r="T2239" s="72">
        <f>+L2239*S2239</f>
        <v>0</v>
      </c>
      <c r="U2239" s="72">
        <f>+R2239-T2239</f>
        <v>567.6</v>
      </c>
      <c r="V2239" s="72">
        <f>+U2239*0.75</f>
        <v>425.70000000000005</v>
      </c>
      <c r="W2239" s="72">
        <f>+U2239-V2239</f>
        <v>141.89999999999998</v>
      </c>
      <c r="X2239" s="72">
        <v>0</v>
      </c>
      <c r="Y2239" s="14">
        <f t="shared" si="78"/>
        <v>0</v>
      </c>
      <c r="Z2239" s="11" t="s">
        <v>26</v>
      </c>
      <c r="AA2239" s="12" t="s">
        <v>31</v>
      </c>
    </row>
    <row r="2240" spans="1:27" x14ac:dyDescent="0.25">
      <c r="A2240" s="10">
        <v>45689</v>
      </c>
      <c r="B2240" s="71">
        <v>1.6319444444444553E-2</v>
      </c>
      <c r="C2240" s="11" t="s">
        <v>4623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2">
        <f>L2240*O2240</f>
        <v>582.9</v>
      </c>
      <c r="S2240" s="72">
        <v>0</v>
      </c>
      <c r="T2240" s="72">
        <f>L2240*S2240</f>
        <v>0</v>
      </c>
      <c r="U2240" s="72">
        <f>R2240-T2240</f>
        <v>582.9</v>
      </c>
      <c r="V2240" s="72">
        <f>U2240*0</f>
        <v>0</v>
      </c>
      <c r="W2240" s="72">
        <f>U2240-V2240</f>
        <v>582.9</v>
      </c>
      <c r="X2240" s="72">
        <v>0</v>
      </c>
      <c r="Y2240" s="14">
        <f t="shared" si="78"/>
        <v>0</v>
      </c>
      <c r="Z2240" s="11" t="s">
        <v>26</v>
      </c>
      <c r="AA2240" s="12" t="s">
        <v>31</v>
      </c>
    </row>
    <row r="2241" spans="1:27" x14ac:dyDescent="0.25">
      <c r="A2241" s="10">
        <v>45689</v>
      </c>
      <c r="B2241" s="71">
        <v>2.3009259259259229E-2</v>
      </c>
      <c r="C2241" s="11" t="s">
        <v>4624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2">
        <f>+M2241*P2241</f>
        <v>576</v>
      </c>
      <c r="S2241" s="72">
        <v>0</v>
      </c>
      <c r="T2241" s="72">
        <f>+M2241*S2241</f>
        <v>0</v>
      </c>
      <c r="U2241" s="72">
        <f t="shared" ref="U2241" si="81">+R2241-T2241</f>
        <v>576</v>
      </c>
      <c r="V2241" s="72">
        <f>+U2241*0</f>
        <v>0</v>
      </c>
      <c r="W2241" s="72">
        <f t="shared" ref="W2241" si="82">+U2241-V2241</f>
        <v>576</v>
      </c>
      <c r="X2241" s="72">
        <v>0</v>
      </c>
      <c r="Y2241" s="14">
        <f t="shared" si="78"/>
        <v>0</v>
      </c>
      <c r="Z2241" s="11" t="s">
        <v>26</v>
      </c>
      <c r="AA2241" s="12" t="s">
        <v>31</v>
      </c>
    </row>
    <row r="2242" spans="1:27" x14ac:dyDescent="0.25">
      <c r="A2242" s="10">
        <v>45689</v>
      </c>
      <c r="B2242" s="71">
        <v>1.0104166666666692E-2</v>
      </c>
      <c r="C2242" s="11" t="s">
        <v>4625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1926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2">
        <f>M2242*P2242</f>
        <v>1350</v>
      </c>
      <c r="S2242" s="72">
        <v>0</v>
      </c>
      <c r="T2242" s="72">
        <f>M2242*S2242</f>
        <v>0</v>
      </c>
      <c r="U2242" s="72">
        <f>R2242-T2242</f>
        <v>1350</v>
      </c>
      <c r="V2242" s="72">
        <f>U2242*1</f>
        <v>1350</v>
      </c>
      <c r="W2242" s="72">
        <f>U2242-V2242</f>
        <v>0</v>
      </c>
      <c r="X2242" s="72">
        <v>0</v>
      </c>
      <c r="Y2242" s="14">
        <f t="shared" si="78"/>
        <v>0</v>
      </c>
      <c r="Z2242" s="11" t="s">
        <v>26</v>
      </c>
      <c r="AA2242" s="12" t="s">
        <v>31</v>
      </c>
    </row>
    <row r="2243" spans="1:27" x14ac:dyDescent="0.25">
      <c r="A2243" s="10">
        <v>45689</v>
      </c>
      <c r="B2243" s="71">
        <v>7.0833333333333304E-3</v>
      </c>
      <c r="C2243" s="11" t="s">
        <v>4626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4465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2">
        <f>+L2243*O2243</f>
        <v>1836.85</v>
      </c>
      <c r="S2243" s="72">
        <v>0</v>
      </c>
      <c r="T2243" s="72">
        <f>+L2243*S2243</f>
        <v>0</v>
      </c>
      <c r="U2243" s="72">
        <f>+R2243-T2243</f>
        <v>1836.85</v>
      </c>
      <c r="V2243" s="72">
        <f>+U2243*0.75</f>
        <v>1377.6374999999998</v>
      </c>
      <c r="W2243" s="72">
        <f>+U2243-V2243</f>
        <v>459.21250000000009</v>
      </c>
      <c r="X2243" s="72">
        <v>0</v>
      </c>
      <c r="Y2243" s="14">
        <f t="shared" si="78"/>
        <v>0</v>
      </c>
      <c r="Z2243" s="11" t="s">
        <v>26</v>
      </c>
      <c r="AA2243" s="12" t="s">
        <v>31</v>
      </c>
    </row>
    <row r="2244" spans="1:27" x14ac:dyDescent="0.25">
      <c r="A2244" s="10">
        <v>45689</v>
      </c>
      <c r="B2244" s="71">
        <v>1.0266203703703791E-2</v>
      </c>
      <c r="C2244" s="11" t="s">
        <v>4627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2">
        <f t="shared" ref="R2244" si="83">L2244*O2244</f>
        <v>1112.44</v>
      </c>
      <c r="S2244" s="72">
        <v>0</v>
      </c>
      <c r="T2244" s="72">
        <f t="shared" ref="T2244" si="84">L2244*S2244</f>
        <v>0</v>
      </c>
      <c r="U2244" s="72">
        <f t="shared" ref="U2244" si="85">R2244-T2244</f>
        <v>1112.44</v>
      </c>
      <c r="V2244" s="72">
        <f t="shared" ref="V2244" si="86">U2244*0</f>
        <v>0</v>
      </c>
      <c r="W2244" s="72">
        <f t="shared" ref="W2244" si="87">U2244-V2244</f>
        <v>1112.44</v>
      </c>
      <c r="X2244" s="72">
        <v>0</v>
      </c>
      <c r="Y2244" s="14">
        <f t="shared" si="78"/>
        <v>0</v>
      </c>
      <c r="Z2244" s="11" t="s">
        <v>26</v>
      </c>
      <c r="AA2244" s="12" t="s">
        <v>31</v>
      </c>
    </row>
    <row r="2245" spans="1:27" x14ac:dyDescent="0.25">
      <c r="A2245" s="10">
        <v>45689</v>
      </c>
      <c r="B2245" s="71">
        <v>1.1527777777777692E-2</v>
      </c>
      <c r="C2245" s="11" t="s">
        <v>4628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2">
        <f>L2245*O2245</f>
        <v>1115.9199999999998</v>
      </c>
      <c r="S2245" s="72">
        <v>0</v>
      </c>
      <c r="T2245" s="72">
        <f>L2245*S2245</f>
        <v>0</v>
      </c>
      <c r="U2245" s="72">
        <f>R2245-T2245</f>
        <v>1115.9199999999998</v>
      </c>
      <c r="V2245" s="72">
        <f>U2245*0</f>
        <v>0</v>
      </c>
      <c r="W2245" s="72">
        <f>U2245-V2245</f>
        <v>1115.9199999999998</v>
      </c>
      <c r="X2245" s="72">
        <v>0</v>
      </c>
      <c r="Y2245" s="14">
        <f t="shared" si="78"/>
        <v>0</v>
      </c>
      <c r="Z2245" s="11" t="s">
        <v>26</v>
      </c>
      <c r="AA2245" s="12" t="s">
        <v>31</v>
      </c>
    </row>
    <row r="2246" spans="1:27" x14ac:dyDescent="0.25">
      <c r="A2246" s="10">
        <v>45689</v>
      </c>
      <c r="B2246" s="71">
        <v>1.6249999999999987E-2</v>
      </c>
      <c r="C2246" s="11" t="s">
        <v>4629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2">
        <f t="shared" ref="R2246:R2247" si="88">L2246*O2246</f>
        <v>1094.46</v>
      </c>
      <c r="S2246" s="72">
        <v>0</v>
      </c>
      <c r="T2246" s="72">
        <f t="shared" ref="T2246:T2247" si="89">L2246*S2246</f>
        <v>0</v>
      </c>
      <c r="U2246" s="72">
        <f t="shared" ref="U2246:U2247" si="90">R2246-T2246</f>
        <v>1094.46</v>
      </c>
      <c r="V2246" s="72">
        <f t="shared" ref="V2246:V2247" si="91">U2246*0</f>
        <v>0</v>
      </c>
      <c r="W2246" s="72">
        <f t="shared" ref="W2246:W2247" si="92">U2246-V2246</f>
        <v>1094.46</v>
      </c>
      <c r="X2246" s="72">
        <v>0</v>
      </c>
      <c r="Y2246" s="14">
        <f t="shared" si="78"/>
        <v>0</v>
      </c>
      <c r="Z2246" s="11" t="s">
        <v>26</v>
      </c>
      <c r="AA2246" s="12" t="s">
        <v>31</v>
      </c>
    </row>
    <row r="2247" spans="1:27" x14ac:dyDescent="0.25">
      <c r="A2247" s="10">
        <v>45689</v>
      </c>
      <c r="B2247" s="71">
        <v>1.7037037037037073E-2</v>
      </c>
      <c r="C2247" s="11" t="s">
        <v>4630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2">
        <f t="shared" si="88"/>
        <v>1096.78</v>
      </c>
      <c r="S2247" s="72">
        <v>0</v>
      </c>
      <c r="T2247" s="72">
        <f t="shared" si="89"/>
        <v>0</v>
      </c>
      <c r="U2247" s="72">
        <f t="shared" si="90"/>
        <v>1096.78</v>
      </c>
      <c r="V2247" s="72">
        <f t="shared" si="91"/>
        <v>0</v>
      </c>
      <c r="W2247" s="72">
        <f t="shared" si="92"/>
        <v>1096.78</v>
      </c>
      <c r="X2247" s="72">
        <v>0</v>
      </c>
      <c r="Y2247" s="14">
        <f t="shared" si="78"/>
        <v>0</v>
      </c>
      <c r="Z2247" s="11" t="s">
        <v>26</v>
      </c>
      <c r="AA2247" s="12" t="s">
        <v>31</v>
      </c>
    </row>
    <row r="2248" spans="1:27" x14ac:dyDescent="0.25">
      <c r="A2248" s="10">
        <v>45689</v>
      </c>
      <c r="B2248" s="71">
        <v>8.6342592592592027E-3</v>
      </c>
      <c r="C2248" s="11" t="s">
        <v>4631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2">
        <f>L2248*O2248</f>
        <v>1608</v>
      </c>
      <c r="S2248" s="72">
        <v>0</v>
      </c>
      <c r="T2248" s="72">
        <f>L2248*S2248</f>
        <v>0</v>
      </c>
      <c r="U2248" s="72">
        <f>R2248-T2248</f>
        <v>1608</v>
      </c>
      <c r="V2248" s="72">
        <f>U2248*0</f>
        <v>0</v>
      </c>
      <c r="W2248" s="72">
        <f>U2248-V2248</f>
        <v>1608</v>
      </c>
      <c r="X2248" s="72">
        <v>0</v>
      </c>
      <c r="Y2248" s="14">
        <f t="shared" si="78"/>
        <v>0</v>
      </c>
      <c r="Z2248" s="11" t="s">
        <v>26</v>
      </c>
      <c r="AA2248" s="12" t="s">
        <v>31</v>
      </c>
    </row>
    <row r="2249" spans="1:27" x14ac:dyDescent="0.25">
      <c r="A2249" s="10">
        <v>45689</v>
      </c>
      <c r="B2249" s="71">
        <v>1.2256944444444473E-2</v>
      </c>
      <c r="C2249" s="11" t="s">
        <v>4632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2">
        <f>L2249*O2249</f>
        <v>982.49999999999989</v>
      </c>
      <c r="S2249" s="72">
        <v>0</v>
      </c>
      <c r="T2249" s="72">
        <f>L2249*S2249</f>
        <v>0</v>
      </c>
      <c r="U2249" s="72">
        <f>R2249-T2249</f>
        <v>982.49999999999989</v>
      </c>
      <c r="V2249" s="72">
        <f>U2249*0</f>
        <v>0</v>
      </c>
      <c r="W2249" s="72">
        <f>U2249-V2249</f>
        <v>982.49999999999989</v>
      </c>
      <c r="X2249" s="72">
        <v>0</v>
      </c>
      <c r="Y2249" s="14">
        <f t="shared" si="78"/>
        <v>0</v>
      </c>
      <c r="Z2249" s="11" t="s">
        <v>26</v>
      </c>
      <c r="AA2249" s="12" t="s">
        <v>31</v>
      </c>
    </row>
    <row r="2250" spans="1:27" x14ac:dyDescent="0.25">
      <c r="A2250" s="10">
        <v>45689</v>
      </c>
      <c r="B2250" s="71">
        <v>1.72106481481481E-2</v>
      </c>
      <c r="C2250" s="11" t="s">
        <v>4633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2">
        <f>L2250*O2250</f>
        <v>976</v>
      </c>
      <c r="S2250" s="72">
        <v>0</v>
      </c>
      <c r="T2250" s="72">
        <f>L2250*S2250</f>
        <v>0</v>
      </c>
      <c r="U2250" s="72">
        <f>R2250-T2250</f>
        <v>976</v>
      </c>
      <c r="V2250" s="72">
        <f>U2250*0</f>
        <v>0</v>
      </c>
      <c r="W2250" s="72">
        <f>U2250-V2250</f>
        <v>976</v>
      </c>
      <c r="X2250" s="72">
        <v>0</v>
      </c>
      <c r="Y2250" s="14">
        <f t="shared" si="78"/>
        <v>0</v>
      </c>
      <c r="Z2250" s="11" t="s">
        <v>26</v>
      </c>
      <c r="AA2250" s="12" t="s">
        <v>31</v>
      </c>
    </row>
    <row r="2251" spans="1:27" x14ac:dyDescent="0.25">
      <c r="A2251" s="10">
        <v>45689</v>
      </c>
      <c r="B2251" s="71">
        <v>1.9641203703703702E-2</v>
      </c>
      <c r="C2251" s="11" t="s">
        <v>4634</v>
      </c>
      <c r="D2251" s="11" t="s">
        <v>26</v>
      </c>
      <c r="E2251" s="11" t="s">
        <v>1217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2">
        <f>M2251*P2251</f>
        <v>1500</v>
      </c>
      <c r="S2251" s="72">
        <v>0</v>
      </c>
      <c r="T2251" s="72">
        <f>M2251*S2251</f>
        <v>0</v>
      </c>
      <c r="U2251" s="72">
        <f>R2251-T2251</f>
        <v>1500</v>
      </c>
      <c r="V2251" s="72">
        <f>U2251*0</f>
        <v>0</v>
      </c>
      <c r="W2251" s="72">
        <f>U2251-V2251</f>
        <v>1500</v>
      </c>
      <c r="X2251" s="72">
        <v>0</v>
      </c>
      <c r="Y2251" s="14">
        <f t="shared" si="78"/>
        <v>0</v>
      </c>
      <c r="Z2251" s="11" t="s">
        <v>26</v>
      </c>
      <c r="AA2251" s="12" t="s">
        <v>31</v>
      </c>
    </row>
    <row r="2252" spans="1:27" x14ac:dyDescent="0.25">
      <c r="A2252" s="10">
        <v>45689</v>
      </c>
      <c r="B2252" s="71">
        <v>2.2175925925925988E-2</v>
      </c>
      <c r="C2252" s="11" t="s">
        <v>4635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2">
        <f t="shared" ref="R2252:R2253" si="93">L2252*O2252</f>
        <v>1138.54</v>
      </c>
      <c r="S2252" s="72">
        <v>0</v>
      </c>
      <c r="T2252" s="72">
        <f t="shared" ref="T2252:T2253" si="94">L2252*S2252</f>
        <v>0</v>
      </c>
      <c r="U2252" s="72">
        <f t="shared" ref="U2252:U2253" si="95">R2252-T2252</f>
        <v>1138.54</v>
      </c>
      <c r="V2252" s="72">
        <f t="shared" ref="V2252:V2253" si="96">U2252*0</f>
        <v>0</v>
      </c>
      <c r="W2252" s="72">
        <f t="shared" ref="W2252:W2253" si="97">U2252-V2252</f>
        <v>1138.54</v>
      </c>
      <c r="X2252" s="72">
        <v>0</v>
      </c>
      <c r="Y2252" s="14">
        <f t="shared" si="78"/>
        <v>0</v>
      </c>
      <c r="Z2252" s="11" t="s">
        <v>26</v>
      </c>
      <c r="AA2252" s="12" t="s">
        <v>31</v>
      </c>
    </row>
    <row r="2253" spans="1:27" x14ac:dyDescent="0.25">
      <c r="A2253" s="10">
        <v>45689</v>
      </c>
      <c r="B2253" s="71">
        <v>2.4560185185185102E-2</v>
      </c>
      <c r="C2253" s="11" t="s">
        <v>4636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2">
        <f t="shared" si="93"/>
        <v>1172.18</v>
      </c>
      <c r="S2253" s="72">
        <v>0</v>
      </c>
      <c r="T2253" s="72">
        <f t="shared" si="94"/>
        <v>0</v>
      </c>
      <c r="U2253" s="72">
        <f t="shared" si="95"/>
        <v>1172.18</v>
      </c>
      <c r="V2253" s="72">
        <f t="shared" si="96"/>
        <v>0</v>
      </c>
      <c r="W2253" s="72">
        <f t="shared" si="97"/>
        <v>1172.18</v>
      </c>
      <c r="X2253" s="72">
        <v>0</v>
      </c>
      <c r="Y2253" s="14">
        <f t="shared" si="78"/>
        <v>0</v>
      </c>
      <c r="Z2253" s="11" t="s">
        <v>26</v>
      </c>
      <c r="AA2253" s="12" t="s">
        <v>31</v>
      </c>
    </row>
    <row r="2254" spans="1:27" x14ac:dyDescent="0.25">
      <c r="A2254" s="10">
        <v>45689</v>
      </c>
      <c r="B2254" s="71">
        <v>2.9131944444444446E-2</v>
      </c>
      <c r="C2254" s="11" t="s">
        <v>4637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2">
        <f>+M2254*P2254</f>
        <v>576</v>
      </c>
      <c r="S2254" s="72">
        <v>0</v>
      </c>
      <c r="T2254" s="72">
        <f>+M2254*S2254</f>
        <v>0</v>
      </c>
      <c r="U2254" s="72">
        <f t="shared" ref="U2254:U2257" si="98">+R2254-T2254</f>
        <v>576</v>
      </c>
      <c r="V2254" s="72">
        <f>+U2254*0</f>
        <v>0</v>
      </c>
      <c r="W2254" s="72">
        <f t="shared" ref="W2254:W2257" si="99">+U2254-V2254</f>
        <v>576</v>
      </c>
      <c r="X2254" s="72">
        <v>0</v>
      </c>
      <c r="Y2254" s="14">
        <f t="shared" si="78"/>
        <v>0</v>
      </c>
      <c r="Z2254" s="11" t="s">
        <v>26</v>
      </c>
      <c r="AA2254" s="12" t="s">
        <v>31</v>
      </c>
    </row>
    <row r="2255" spans="1:27" x14ac:dyDescent="0.25">
      <c r="A2255" s="10">
        <v>45689</v>
      </c>
      <c r="B2255" s="71">
        <v>2.2951388888888924E-2</v>
      </c>
      <c r="C2255" s="11" t="s">
        <v>4638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2">
        <f>+M2255*P2255</f>
        <v>600</v>
      </c>
      <c r="S2255" s="72">
        <v>0</v>
      </c>
      <c r="T2255" s="72">
        <f>+M2255*S2255</f>
        <v>0</v>
      </c>
      <c r="U2255" s="72">
        <f t="shared" si="98"/>
        <v>600</v>
      </c>
      <c r="V2255" s="72">
        <f>+U2255*0</f>
        <v>0</v>
      </c>
      <c r="W2255" s="72">
        <f t="shared" si="99"/>
        <v>600</v>
      </c>
      <c r="X2255" s="72">
        <v>0</v>
      </c>
      <c r="Y2255" s="14">
        <f t="shared" si="78"/>
        <v>0</v>
      </c>
      <c r="Z2255" s="11" t="s">
        <v>26</v>
      </c>
      <c r="AA2255" s="12" t="s">
        <v>31</v>
      </c>
    </row>
    <row r="2256" spans="1:27" x14ac:dyDescent="0.25">
      <c r="A2256" s="10">
        <v>45689</v>
      </c>
      <c r="B2256" s="71">
        <v>2.7291666666666492E-2</v>
      </c>
      <c r="C2256" s="11" t="s">
        <v>4639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2">
        <f>+M2256*P2256</f>
        <v>600</v>
      </c>
      <c r="S2256" s="72">
        <v>0</v>
      </c>
      <c r="T2256" s="72">
        <f>+M2256*S2256</f>
        <v>0</v>
      </c>
      <c r="U2256" s="72">
        <f t="shared" si="98"/>
        <v>600</v>
      </c>
      <c r="V2256" s="72">
        <f>+U2256*0</f>
        <v>0</v>
      </c>
      <c r="W2256" s="72">
        <f t="shared" si="99"/>
        <v>600</v>
      </c>
      <c r="X2256" s="72">
        <v>0</v>
      </c>
      <c r="Y2256" s="14">
        <f t="shared" si="78"/>
        <v>0</v>
      </c>
      <c r="Z2256" s="11" t="s">
        <v>26</v>
      </c>
      <c r="AA2256" s="12" t="s">
        <v>31</v>
      </c>
    </row>
    <row r="2257" spans="1:27" x14ac:dyDescent="0.25">
      <c r="A2257" s="10">
        <v>45689</v>
      </c>
      <c r="B2257" s="71">
        <v>2.2326388888888826E-2</v>
      </c>
      <c r="C2257" s="11" t="s">
        <v>4640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2">
        <f>+M2257*P2257</f>
        <v>600</v>
      </c>
      <c r="S2257" s="72">
        <v>0</v>
      </c>
      <c r="T2257" s="72">
        <f>+M2257*S2257</f>
        <v>0</v>
      </c>
      <c r="U2257" s="72">
        <f t="shared" si="98"/>
        <v>600</v>
      </c>
      <c r="V2257" s="72">
        <f>+U2257*0</f>
        <v>0</v>
      </c>
      <c r="W2257" s="72">
        <f t="shared" si="99"/>
        <v>600</v>
      </c>
      <c r="X2257" s="72">
        <v>0</v>
      </c>
      <c r="Y2257" s="14">
        <f t="shared" si="78"/>
        <v>0</v>
      </c>
      <c r="Z2257" s="11" t="s">
        <v>26</v>
      </c>
      <c r="AA2257" s="12" t="s">
        <v>31</v>
      </c>
    </row>
    <row r="2258" spans="1:27" x14ac:dyDescent="0.25">
      <c r="A2258" s="10">
        <v>45691</v>
      </c>
      <c r="B2258" s="71">
        <v>1.4351851851851838E-2</v>
      </c>
      <c r="C2258" s="11" t="s">
        <v>4641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4465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2">
        <f>+L2258*O2258</f>
        <v>1746.9503999999997</v>
      </c>
      <c r="S2258" s="72">
        <v>0</v>
      </c>
      <c r="T2258" s="72">
        <f>+L2258*S2258</f>
        <v>0</v>
      </c>
      <c r="U2258" s="72">
        <f>+R2258-T2258</f>
        <v>1746.9503999999997</v>
      </c>
      <c r="V2258" s="72">
        <f>+U2258*0.75</f>
        <v>1310.2127999999998</v>
      </c>
      <c r="W2258" s="72">
        <f>+U2258-V2258</f>
        <v>436.73759999999993</v>
      </c>
      <c r="X2258" s="72">
        <v>0</v>
      </c>
      <c r="Y2258" s="14">
        <f t="shared" si="78"/>
        <v>0</v>
      </c>
      <c r="Z2258" s="11" t="s">
        <v>26</v>
      </c>
      <c r="AA2258" s="12" t="s">
        <v>31</v>
      </c>
    </row>
    <row r="2259" spans="1:27" x14ac:dyDescent="0.25">
      <c r="A2259" s="10">
        <v>45691</v>
      </c>
      <c r="B2259" s="71">
        <v>1.518518518518519E-2</v>
      </c>
      <c r="C2259" s="11" t="s">
        <v>4642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4465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2">
        <f>+L2259*O2259</f>
        <v>1760.6172000000001</v>
      </c>
      <c r="S2259" s="72">
        <v>0</v>
      </c>
      <c r="T2259" s="72">
        <f>+L2259*S2259</f>
        <v>0</v>
      </c>
      <c r="U2259" s="72">
        <f>+R2259-T2259</f>
        <v>1760.6172000000001</v>
      </c>
      <c r="V2259" s="72">
        <f>+U2259*0.75</f>
        <v>1320.4629</v>
      </c>
      <c r="W2259" s="72">
        <f>+U2259-V2259</f>
        <v>440.15430000000015</v>
      </c>
      <c r="X2259" s="72">
        <v>0</v>
      </c>
      <c r="Y2259" s="14">
        <f t="shared" si="78"/>
        <v>0</v>
      </c>
      <c r="Z2259" s="11" t="s">
        <v>26</v>
      </c>
      <c r="AA2259" s="12" t="s">
        <v>31</v>
      </c>
    </row>
    <row r="2260" spans="1:27" x14ac:dyDescent="0.25">
      <c r="A2260" s="10">
        <v>45691</v>
      </c>
      <c r="B2260" s="71">
        <v>1.6180555555555587E-2</v>
      </c>
      <c r="C2260" s="11" t="s">
        <v>4643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4439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2">
        <f>L2260*O2260</f>
        <v>3869.7599999999998</v>
      </c>
      <c r="S2260" s="72">
        <v>38</v>
      </c>
      <c r="T2260" s="72">
        <f>L2260*S2260</f>
        <v>1690.2399999999998</v>
      </c>
      <c r="U2260" s="72">
        <f>R2260-T2260</f>
        <v>2179.52</v>
      </c>
      <c r="V2260" s="72">
        <f>U2260*1</f>
        <v>2179.52</v>
      </c>
      <c r="W2260" s="72">
        <f>U2260-V2260</f>
        <v>0</v>
      </c>
      <c r="X2260" s="72">
        <f>L2260*37</f>
        <v>1645.76</v>
      </c>
      <c r="Y2260" s="73">
        <f t="shared" ref="Y2260" si="100">+T2260-X2260</f>
        <v>44.479999999999791</v>
      </c>
      <c r="Z2260" s="12" t="s">
        <v>41</v>
      </c>
      <c r="AA2260" s="12" t="s">
        <v>78</v>
      </c>
    </row>
    <row r="2261" spans="1:27" x14ac:dyDescent="0.25">
      <c r="A2261" s="10">
        <v>45691</v>
      </c>
      <c r="B2261" s="71">
        <v>1.8738425925925895E-2</v>
      </c>
      <c r="C2261" s="11" t="s">
        <v>4644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4440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2">
        <f>+L2261*O2261</f>
        <v>1628.1</v>
      </c>
      <c r="S2261" s="72">
        <v>0</v>
      </c>
      <c r="T2261" s="72">
        <f>+L2261*S2261</f>
        <v>0</v>
      </c>
      <c r="U2261" s="72">
        <f t="shared" ref="U2261" si="101">+R2261-T2261</f>
        <v>1628.1</v>
      </c>
      <c r="V2261" s="72">
        <f>+U2261*1</f>
        <v>1628.1</v>
      </c>
      <c r="W2261" s="72">
        <f t="shared" ref="W2261" si="102">+U2261-V2261</f>
        <v>0</v>
      </c>
      <c r="X2261" s="72">
        <v>0</v>
      </c>
      <c r="Y2261" s="14">
        <f t="shared" ref="Y2261:Y2270" si="103">T2261-X2261</f>
        <v>0</v>
      </c>
      <c r="Z2261" s="11" t="s">
        <v>26</v>
      </c>
      <c r="AA2261" s="12" t="s">
        <v>31</v>
      </c>
    </row>
    <row r="2262" spans="1:27" x14ac:dyDescent="0.25">
      <c r="A2262" s="10">
        <v>45691</v>
      </c>
      <c r="B2262" s="71">
        <v>1.8425925925925901E-2</v>
      </c>
      <c r="C2262" s="11" t="s">
        <v>4645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2">
        <f>M2262*P2262</f>
        <v>1600</v>
      </c>
      <c r="S2262" s="72">
        <v>0</v>
      </c>
      <c r="T2262" s="72">
        <f>M2262*S2262</f>
        <v>0</v>
      </c>
      <c r="U2262" s="72">
        <f>+R2262-T2262</f>
        <v>1600</v>
      </c>
      <c r="V2262" s="72">
        <f>+U2262*0</f>
        <v>0</v>
      </c>
      <c r="W2262" s="72">
        <f>+U2262-V2262</f>
        <v>1600</v>
      </c>
      <c r="X2262" s="72">
        <v>0</v>
      </c>
      <c r="Y2262" s="14">
        <f t="shared" si="103"/>
        <v>0</v>
      </c>
      <c r="Z2262" s="11" t="s">
        <v>26</v>
      </c>
      <c r="AA2262" s="12" t="s">
        <v>31</v>
      </c>
    </row>
    <row r="2263" spans="1:27" x14ac:dyDescent="0.25">
      <c r="A2263" s="10">
        <v>45691</v>
      </c>
      <c r="B2263" s="71">
        <v>2.270833333333333E-2</v>
      </c>
      <c r="C2263" s="11" t="s">
        <v>4646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4465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2">
        <f>+L2263*O2263</f>
        <v>550.20000000000005</v>
      </c>
      <c r="S2263" s="72">
        <v>0</v>
      </c>
      <c r="T2263" s="72">
        <f>+L2263*S2263</f>
        <v>0</v>
      </c>
      <c r="U2263" s="72">
        <f>+R2263-T2263</f>
        <v>550.20000000000005</v>
      </c>
      <c r="V2263" s="72">
        <f>+U2263*0.75</f>
        <v>412.65000000000003</v>
      </c>
      <c r="W2263" s="72">
        <f>+U2263-V2263</f>
        <v>137.55000000000001</v>
      </c>
      <c r="X2263" s="72">
        <v>0</v>
      </c>
      <c r="Y2263" s="14">
        <f t="shared" si="103"/>
        <v>0</v>
      </c>
      <c r="Z2263" s="11" t="s">
        <v>26</v>
      </c>
      <c r="AA2263" s="12" t="s">
        <v>31</v>
      </c>
    </row>
    <row r="2264" spans="1:27" x14ac:dyDescent="0.25">
      <c r="A2264" s="10">
        <v>45691</v>
      </c>
      <c r="B2264" s="71">
        <v>2.4652777777777801E-2</v>
      </c>
      <c r="C2264" s="11" t="s">
        <v>4647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2">
        <f>M2264*P2264</f>
        <v>1500</v>
      </c>
      <c r="S2264" s="72">
        <v>0</v>
      </c>
      <c r="T2264" s="72">
        <f>M2264*S2264</f>
        <v>0</v>
      </c>
      <c r="U2264" s="72">
        <f t="shared" ref="U2264" si="104">+R2264-T2264</f>
        <v>1500</v>
      </c>
      <c r="V2264" s="72">
        <f>+U2264*0</f>
        <v>0</v>
      </c>
      <c r="W2264" s="72">
        <f t="shared" ref="W2264" si="105">+U2264-V2264</f>
        <v>1500</v>
      </c>
      <c r="X2264" s="72">
        <v>0</v>
      </c>
      <c r="Y2264" s="14">
        <f t="shared" si="103"/>
        <v>0</v>
      </c>
      <c r="Z2264" s="11" t="s">
        <v>26</v>
      </c>
      <c r="AA2264" s="12" t="s">
        <v>31</v>
      </c>
    </row>
    <row r="2265" spans="1:27" x14ac:dyDescent="0.25">
      <c r="A2265" s="10">
        <v>45691</v>
      </c>
      <c r="B2265" s="71">
        <v>2.9131944444444446E-2</v>
      </c>
      <c r="C2265" s="11" t="s">
        <v>4648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4465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2">
        <f>+L2265*O2265</f>
        <v>532.19999999999993</v>
      </c>
      <c r="S2265" s="72">
        <v>0</v>
      </c>
      <c r="T2265" s="72">
        <f>+L2265*S2265</f>
        <v>0</v>
      </c>
      <c r="U2265" s="72">
        <f>+R2265-T2265</f>
        <v>532.19999999999993</v>
      </c>
      <c r="V2265" s="72">
        <f>+U2265*0.75</f>
        <v>399.15</v>
      </c>
      <c r="W2265" s="72">
        <f>+U2265-V2265</f>
        <v>133.04999999999995</v>
      </c>
      <c r="X2265" s="72">
        <v>0</v>
      </c>
      <c r="Y2265" s="14">
        <f t="shared" si="103"/>
        <v>0</v>
      </c>
      <c r="Z2265" s="11" t="s">
        <v>26</v>
      </c>
      <c r="AA2265" s="12" t="s">
        <v>31</v>
      </c>
    </row>
    <row r="2266" spans="1:27" x14ac:dyDescent="0.25">
      <c r="A2266" s="10">
        <v>45691</v>
      </c>
      <c r="B2266" s="71">
        <v>2.7523148148148158E-2</v>
      </c>
      <c r="C2266" s="11" t="s">
        <v>4649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4440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2">
        <f>+L2266*O2266</f>
        <v>1664.1</v>
      </c>
      <c r="S2266" s="72">
        <v>0</v>
      </c>
      <c r="T2266" s="72">
        <f>+L2266*S2266</f>
        <v>0</v>
      </c>
      <c r="U2266" s="72">
        <f t="shared" ref="U2266" si="106">+R2266-T2266</f>
        <v>1664.1</v>
      </c>
      <c r="V2266" s="72">
        <f>+U2266*1</f>
        <v>1664.1</v>
      </c>
      <c r="W2266" s="72">
        <f t="shared" ref="W2266" si="107">+U2266-V2266</f>
        <v>0</v>
      </c>
      <c r="X2266" s="72">
        <v>0</v>
      </c>
      <c r="Y2266" s="14">
        <f t="shared" si="103"/>
        <v>0</v>
      </c>
      <c r="Z2266" s="11" t="s">
        <v>26</v>
      </c>
      <c r="AA2266" s="12" t="s">
        <v>31</v>
      </c>
    </row>
    <row r="2267" spans="1:27" x14ac:dyDescent="0.25">
      <c r="A2267" s="10">
        <v>45691</v>
      </c>
      <c r="B2267" s="71">
        <v>3.1192129629629584E-2</v>
      </c>
      <c r="C2267" s="11" t="s">
        <v>4650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2">
        <f>M2267*P2267</f>
        <v>1450</v>
      </c>
      <c r="S2267" s="72">
        <v>0</v>
      </c>
      <c r="T2267" s="72">
        <f>M2267*S2267</f>
        <v>0</v>
      </c>
      <c r="U2267" s="72">
        <f>R2267-T2267</f>
        <v>1450</v>
      </c>
      <c r="V2267" s="72">
        <f>U2267*0</f>
        <v>0</v>
      </c>
      <c r="W2267" s="72">
        <f>U2267-V2267</f>
        <v>1450</v>
      </c>
      <c r="X2267" s="72">
        <v>0</v>
      </c>
      <c r="Y2267" s="14">
        <f t="shared" si="103"/>
        <v>0</v>
      </c>
      <c r="Z2267" s="11" t="s">
        <v>26</v>
      </c>
      <c r="AA2267" s="12" t="s">
        <v>31</v>
      </c>
    </row>
    <row r="2268" spans="1:27" x14ac:dyDescent="0.25">
      <c r="A2268" s="10">
        <v>45691</v>
      </c>
      <c r="B2268" s="71">
        <v>3.7893518518518521E-2</v>
      </c>
      <c r="C2268" s="11" t="s">
        <v>4651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2">
        <f>M2268*P2268</f>
        <v>1450</v>
      </c>
      <c r="S2268" s="72">
        <v>0</v>
      </c>
      <c r="T2268" s="72">
        <f>M2268*S2268</f>
        <v>0</v>
      </c>
      <c r="U2268" s="72">
        <f>R2268-T2268</f>
        <v>1450</v>
      </c>
      <c r="V2268" s="72">
        <f>U2268*0</f>
        <v>0</v>
      </c>
      <c r="W2268" s="72">
        <f>U2268-V2268</f>
        <v>1450</v>
      </c>
      <c r="X2268" s="72">
        <v>0</v>
      </c>
      <c r="Y2268" s="14">
        <f t="shared" si="103"/>
        <v>0</v>
      </c>
      <c r="Z2268" s="11" t="s">
        <v>26</v>
      </c>
      <c r="AA2268" s="12" t="s">
        <v>31</v>
      </c>
    </row>
    <row r="2269" spans="1:27" x14ac:dyDescent="0.25">
      <c r="A2269" s="10">
        <v>45691</v>
      </c>
      <c r="B2269" s="71">
        <v>4.6712962962962956E-2</v>
      </c>
      <c r="C2269" s="11" t="s">
        <v>4652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4463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2">
        <f t="shared" ref="R2269" si="108">+L2269*O2269</f>
        <v>1532.96</v>
      </c>
      <c r="S2269" s="72">
        <v>0</v>
      </c>
      <c r="T2269" s="72">
        <f>+L2269*S2269</f>
        <v>0</v>
      </c>
      <c r="U2269" s="72">
        <f>+R2269-T2269</f>
        <v>1532.96</v>
      </c>
      <c r="V2269" s="72">
        <f>+U2269*1</f>
        <v>1532.96</v>
      </c>
      <c r="W2269" s="72">
        <f>+U2269-V2269</f>
        <v>0</v>
      </c>
      <c r="X2269" s="72">
        <v>0</v>
      </c>
      <c r="Y2269" s="14">
        <f t="shared" si="103"/>
        <v>0</v>
      </c>
      <c r="Z2269" s="11" t="s">
        <v>26</v>
      </c>
      <c r="AA2269" s="12" t="s">
        <v>31</v>
      </c>
    </row>
    <row r="2270" spans="1:27" x14ac:dyDescent="0.25">
      <c r="A2270" s="10">
        <v>45691</v>
      </c>
      <c r="B2270" s="71">
        <v>2.915509259259258E-2</v>
      </c>
      <c r="C2270" s="11" t="s">
        <v>4653</v>
      </c>
      <c r="D2270" s="11">
        <v>16800</v>
      </c>
      <c r="E2270" s="11" t="s">
        <v>1217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2">
        <f>M2270*P2270</f>
        <v>625</v>
      </c>
      <c r="S2270" s="72">
        <v>0</v>
      </c>
      <c r="T2270" s="72">
        <f>M2270*S2270</f>
        <v>0</v>
      </c>
      <c r="U2270" s="72">
        <f>R2270-T2270</f>
        <v>625</v>
      </c>
      <c r="V2270" s="72">
        <f>U2270*0</f>
        <v>0</v>
      </c>
      <c r="W2270" s="72">
        <f>U2270-V2270</f>
        <v>625</v>
      </c>
      <c r="X2270" s="72">
        <v>0</v>
      </c>
      <c r="Y2270" s="14">
        <f t="shared" si="103"/>
        <v>0</v>
      </c>
      <c r="Z2270" s="11" t="s">
        <v>26</v>
      </c>
      <c r="AA2270" s="12" t="s">
        <v>31</v>
      </c>
    </row>
    <row r="2271" spans="1:27" x14ac:dyDescent="0.25">
      <c r="A2271" s="10">
        <v>45691</v>
      </c>
      <c r="B2271" s="71">
        <v>1.1238425925925888E-2</v>
      </c>
      <c r="C2271" s="11" t="s">
        <v>4654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4439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2">
        <f>L2271*O2271</f>
        <v>3561.7799999999997</v>
      </c>
      <c r="S2271" s="72">
        <v>38</v>
      </c>
      <c r="T2271" s="72">
        <f>L2271*S2271</f>
        <v>1555.7199999999998</v>
      </c>
      <c r="U2271" s="72">
        <f>R2271-T2271</f>
        <v>2006.06</v>
      </c>
      <c r="V2271" s="72">
        <f>U2271*1</f>
        <v>2006.06</v>
      </c>
      <c r="W2271" s="72">
        <f>U2271-V2271</f>
        <v>0</v>
      </c>
      <c r="X2271" s="72">
        <f>L2271*36</f>
        <v>1473.84</v>
      </c>
      <c r="Y2271" s="73">
        <f t="shared" ref="Y2271" si="109">+T2271-X2271</f>
        <v>81.879999999999882</v>
      </c>
      <c r="Z2271" s="12" t="s">
        <v>140</v>
      </c>
      <c r="AA2271" s="12" t="s">
        <v>78</v>
      </c>
    </row>
    <row r="2272" spans="1:27" x14ac:dyDescent="0.25">
      <c r="A2272" s="10">
        <v>45691</v>
      </c>
      <c r="B2272" s="71">
        <v>1.0000000000000009E-2</v>
      </c>
      <c r="C2272" s="11" t="s">
        <v>4655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4439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2">
        <f>L2272*O2272</f>
        <v>3467.9999999999995</v>
      </c>
      <c r="S2272" s="72">
        <v>38</v>
      </c>
      <c r="T2272" s="72">
        <f>L2272*S2272</f>
        <v>1550.3999999999999</v>
      </c>
      <c r="U2272" s="72">
        <f>R2272-T2272</f>
        <v>1917.5999999999997</v>
      </c>
      <c r="V2272" s="72">
        <f>U2272*1</f>
        <v>1917.5999999999997</v>
      </c>
      <c r="W2272" s="72">
        <f>U2272-V2272</f>
        <v>0</v>
      </c>
      <c r="X2272" s="72">
        <f>L2272*37</f>
        <v>1509.6</v>
      </c>
      <c r="Y2272" s="73">
        <f>+T2272-X2272</f>
        <v>40.799999999999955</v>
      </c>
      <c r="Z2272" s="12" t="s">
        <v>41</v>
      </c>
      <c r="AA2272" s="12" t="s">
        <v>78</v>
      </c>
    </row>
    <row r="2273" spans="1:27" x14ac:dyDescent="0.25">
      <c r="A2273" s="10">
        <v>45691</v>
      </c>
      <c r="B2273" s="71">
        <v>7.8125E-3</v>
      </c>
      <c r="C2273" s="11" t="s">
        <v>4656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4439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2">
        <f>L2273*O2273</f>
        <v>3426.2400000000002</v>
      </c>
      <c r="S2273" s="72">
        <v>38</v>
      </c>
      <c r="T2273" s="72">
        <f>L2273*S2273</f>
        <v>1568.64</v>
      </c>
      <c r="U2273" s="72">
        <f>R2273-T2273</f>
        <v>1857.6000000000001</v>
      </c>
      <c r="V2273" s="72">
        <f>U2273*1</f>
        <v>1857.6000000000001</v>
      </c>
      <c r="W2273" s="72">
        <f>U2273-V2273</f>
        <v>0</v>
      </c>
      <c r="X2273" s="72">
        <f>L2273*36</f>
        <v>1486.08</v>
      </c>
      <c r="Y2273" s="73">
        <f>+T2273-X2273</f>
        <v>82.560000000000173</v>
      </c>
      <c r="Z2273" s="12" t="s">
        <v>140</v>
      </c>
      <c r="AA2273" s="12" t="s">
        <v>78</v>
      </c>
    </row>
    <row r="2274" spans="1:27" x14ac:dyDescent="0.25">
      <c r="A2274" s="10">
        <v>45691</v>
      </c>
      <c r="B2274" s="71">
        <v>6.3541666666666607E-3</v>
      </c>
      <c r="C2274" s="11" t="s">
        <v>4657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4465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2">
        <f>+L2274*O2274</f>
        <v>509.40000000000003</v>
      </c>
      <c r="S2274" s="72">
        <v>0</v>
      </c>
      <c r="T2274" s="72">
        <f>+L2274*S2274</f>
        <v>0</v>
      </c>
      <c r="U2274" s="72">
        <f>+R2274-T2274</f>
        <v>509.40000000000003</v>
      </c>
      <c r="V2274" s="72">
        <f>+U2274*0.75</f>
        <v>382.05</v>
      </c>
      <c r="W2274" s="72">
        <f>+U2274-V2274</f>
        <v>127.35000000000002</v>
      </c>
      <c r="X2274" s="72">
        <v>0</v>
      </c>
      <c r="Y2274" s="14">
        <f t="shared" ref="Y2274:Y2275" si="110">T2274-X2274</f>
        <v>0</v>
      </c>
      <c r="Z2274" s="11" t="s">
        <v>26</v>
      </c>
      <c r="AA2274" s="12" t="s">
        <v>31</v>
      </c>
    </row>
    <row r="2275" spans="1:27" x14ac:dyDescent="0.25">
      <c r="A2275" s="10">
        <v>45691</v>
      </c>
      <c r="B2275" s="71">
        <v>1.3518518518518485E-2</v>
      </c>
      <c r="C2275" s="11" t="s">
        <v>4658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2">
        <f>M2275*P2275</f>
        <v>625</v>
      </c>
      <c r="S2275" s="72">
        <v>0</v>
      </c>
      <c r="T2275" s="72">
        <f>M2275*S2275</f>
        <v>0</v>
      </c>
      <c r="U2275" s="72">
        <f>R2275-T2275</f>
        <v>625</v>
      </c>
      <c r="V2275" s="72">
        <f>U2275*0</f>
        <v>0</v>
      </c>
      <c r="W2275" s="72">
        <f>U2275-V2275</f>
        <v>625</v>
      </c>
      <c r="X2275" s="72">
        <v>0</v>
      </c>
      <c r="Y2275" s="14">
        <f t="shared" si="110"/>
        <v>0</v>
      </c>
      <c r="Z2275" s="11" t="s">
        <v>26</v>
      </c>
      <c r="AA2275" s="12" t="s">
        <v>31</v>
      </c>
    </row>
    <row r="2276" spans="1:27" x14ac:dyDescent="0.25">
      <c r="A2276" s="10">
        <v>45691</v>
      </c>
      <c r="B2276" s="71">
        <v>1.0069444444444464E-2</v>
      </c>
      <c r="C2276" s="11" t="s">
        <v>4659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4439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2">
        <f>L2276*O2276</f>
        <v>3520.86</v>
      </c>
      <c r="S2276" s="72">
        <v>38</v>
      </c>
      <c r="T2276" s="72">
        <f>L2276*S2276</f>
        <v>1611.96</v>
      </c>
      <c r="U2276" s="72">
        <f>R2276-T2276</f>
        <v>1908.9</v>
      </c>
      <c r="V2276" s="72">
        <f>U2276*1</f>
        <v>1908.9</v>
      </c>
      <c r="W2276" s="72">
        <f>U2276-V2276</f>
        <v>0</v>
      </c>
      <c r="X2276" s="72">
        <f>L2276*37</f>
        <v>1569.54</v>
      </c>
      <c r="Y2276" s="73">
        <f>+T2276-X2276</f>
        <v>42.420000000000073</v>
      </c>
      <c r="Z2276" s="12" t="s">
        <v>41</v>
      </c>
      <c r="AA2276" s="12" t="s">
        <v>78</v>
      </c>
    </row>
    <row r="2277" spans="1:27" x14ac:dyDescent="0.25">
      <c r="A2277" s="10">
        <v>45691</v>
      </c>
      <c r="B2277" s="71">
        <v>1.4456018518518521E-2</v>
      </c>
      <c r="C2277" s="11" t="s">
        <v>4660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4465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2">
        <f>+L2277*O2277</f>
        <v>1915.0500000000002</v>
      </c>
      <c r="S2277" s="72">
        <v>0</v>
      </c>
      <c r="T2277" s="72">
        <f>+L2277*S2277</f>
        <v>0</v>
      </c>
      <c r="U2277" s="72">
        <f>+R2277-T2277</f>
        <v>1915.0500000000002</v>
      </c>
      <c r="V2277" s="72">
        <f>+U2277*0.75</f>
        <v>1436.2875000000001</v>
      </c>
      <c r="W2277" s="72">
        <f>+U2277-V2277</f>
        <v>478.76250000000005</v>
      </c>
      <c r="X2277" s="72">
        <v>0</v>
      </c>
      <c r="Y2277" s="14">
        <f t="shared" ref="Y2277:Y2286" si="111">T2277-X2277</f>
        <v>0</v>
      </c>
      <c r="Z2277" s="11" t="s">
        <v>26</v>
      </c>
      <c r="AA2277" s="12" t="s">
        <v>31</v>
      </c>
    </row>
    <row r="2278" spans="1:27" x14ac:dyDescent="0.25">
      <c r="A2278" s="10">
        <v>45691</v>
      </c>
      <c r="B2278" s="71">
        <v>1.2129629629629657E-2</v>
      </c>
      <c r="C2278" s="11" t="s">
        <v>4661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4464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2">
        <f>+M2278*P2278</f>
        <v>787.19999999999993</v>
      </c>
      <c r="S2278" s="72">
        <v>0</v>
      </c>
      <c r="T2278" s="72">
        <f>+M2278*S2278</f>
        <v>0</v>
      </c>
      <c r="U2278" s="72">
        <f t="shared" ref="U2278" si="112">+R2278-T2278</f>
        <v>787.19999999999993</v>
      </c>
      <c r="V2278" s="72">
        <f>+U2278*1</f>
        <v>787.19999999999993</v>
      </c>
      <c r="W2278" s="72">
        <f t="shared" ref="W2278" si="113">+U2278-V2278</f>
        <v>0</v>
      </c>
      <c r="X2278" s="72">
        <v>0</v>
      </c>
      <c r="Y2278" s="14">
        <f t="shared" si="111"/>
        <v>0</v>
      </c>
      <c r="Z2278" s="11" t="s">
        <v>26</v>
      </c>
      <c r="AA2278" s="12" t="s">
        <v>31</v>
      </c>
    </row>
    <row r="2279" spans="1:27" x14ac:dyDescent="0.25">
      <c r="A2279" s="10">
        <v>45691</v>
      </c>
      <c r="B2279" s="71">
        <v>4.1076388888888815E-2</v>
      </c>
      <c r="C2279" s="11" t="s">
        <v>4662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2">
        <f t="shared" ref="R2279" si="114">L2279*O2279</f>
        <v>1001</v>
      </c>
      <c r="S2279" s="72">
        <v>0</v>
      </c>
      <c r="T2279" s="72">
        <f t="shared" ref="T2279" si="115">L2279*S2279</f>
        <v>0</v>
      </c>
      <c r="U2279" s="72">
        <f t="shared" ref="U2279" si="116">R2279-T2279</f>
        <v>1001</v>
      </c>
      <c r="V2279" s="72">
        <f>U2279*0</f>
        <v>0</v>
      </c>
      <c r="W2279" s="72">
        <f t="shared" ref="W2279" si="117">U2279-V2279</f>
        <v>1001</v>
      </c>
      <c r="X2279" s="72">
        <v>0</v>
      </c>
      <c r="Y2279" s="14">
        <f t="shared" si="111"/>
        <v>0</v>
      </c>
      <c r="Z2279" s="11" t="s">
        <v>26</v>
      </c>
      <c r="AA2279" s="12" t="s">
        <v>31</v>
      </c>
    </row>
    <row r="2280" spans="1:27" x14ac:dyDescent="0.25">
      <c r="A2280" s="10">
        <v>45691</v>
      </c>
      <c r="B2280" s="71">
        <v>0.10459490740740746</v>
      </c>
      <c r="C2280" s="11" t="s">
        <v>4663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4440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2">
        <f t="shared" ref="R2280" si="118">+L2280*O2280</f>
        <v>1562.4</v>
      </c>
      <c r="S2280" s="72">
        <v>0</v>
      </c>
      <c r="T2280" s="72">
        <f t="shared" ref="T2280:T2281" si="119">+L2280*S2280</f>
        <v>0</v>
      </c>
      <c r="U2280" s="72">
        <f t="shared" ref="U2280:U2281" si="120">+R2280-T2280</f>
        <v>1562.4</v>
      </c>
      <c r="V2280" s="72">
        <f>+U2280*1</f>
        <v>1562.4</v>
      </c>
      <c r="W2280" s="72">
        <f t="shared" ref="W2280:W2281" si="121">+U2280-V2280</f>
        <v>0</v>
      </c>
      <c r="X2280" s="72">
        <v>0</v>
      </c>
      <c r="Y2280" s="14">
        <f t="shared" si="111"/>
        <v>0</v>
      </c>
      <c r="Z2280" s="11" t="s">
        <v>26</v>
      </c>
      <c r="AA2280" s="12" t="s">
        <v>31</v>
      </c>
    </row>
    <row r="2281" spans="1:27" x14ac:dyDescent="0.25">
      <c r="A2281" s="10">
        <v>45691</v>
      </c>
      <c r="B2281" s="71">
        <v>3.2638888888888995E-3</v>
      </c>
      <c r="C2281" s="11" t="s">
        <v>4664</v>
      </c>
      <c r="D2281" s="11">
        <v>16811</v>
      </c>
      <c r="E2281" s="11" t="s">
        <v>3955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2">
        <f>(L2281*O2281)-Q2281</f>
        <v>174</v>
      </c>
      <c r="S2281" s="72">
        <v>0</v>
      </c>
      <c r="T2281" s="72">
        <f t="shared" si="119"/>
        <v>0</v>
      </c>
      <c r="U2281" s="72">
        <f t="shared" si="120"/>
        <v>174</v>
      </c>
      <c r="V2281" s="72">
        <f>+U2281*0</f>
        <v>0</v>
      </c>
      <c r="W2281" s="72">
        <f t="shared" si="121"/>
        <v>174</v>
      </c>
      <c r="X2281" s="72">
        <v>0</v>
      </c>
      <c r="Y2281" s="14">
        <f t="shared" si="111"/>
        <v>0</v>
      </c>
      <c r="Z2281" s="11" t="s">
        <v>26</v>
      </c>
      <c r="AA2281" s="12" t="s">
        <v>31</v>
      </c>
    </row>
    <row r="2282" spans="1:27" x14ac:dyDescent="0.25">
      <c r="A2282" s="10">
        <v>45691</v>
      </c>
      <c r="B2282" s="71">
        <v>1.7326388888888877E-2</v>
      </c>
      <c r="C2282" s="11" t="s">
        <v>4665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4465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2">
        <f>+L2282*O2282</f>
        <v>1813.05</v>
      </c>
      <c r="S2282" s="72">
        <v>0</v>
      </c>
      <c r="T2282" s="72">
        <f>+L2282*S2282</f>
        <v>0</v>
      </c>
      <c r="U2282" s="72">
        <f>+R2282-T2282</f>
        <v>1813.05</v>
      </c>
      <c r="V2282" s="72">
        <f>+U2282*0.75</f>
        <v>1359.7874999999999</v>
      </c>
      <c r="W2282" s="72">
        <f>+U2282-V2282</f>
        <v>453.26250000000005</v>
      </c>
      <c r="X2282" s="72">
        <v>0</v>
      </c>
      <c r="Y2282" s="14">
        <f t="shared" si="111"/>
        <v>0</v>
      </c>
      <c r="Z2282" s="11" t="s">
        <v>26</v>
      </c>
      <c r="AA2282" s="12" t="s">
        <v>31</v>
      </c>
    </row>
    <row r="2283" spans="1:27" x14ac:dyDescent="0.25">
      <c r="A2283" s="10">
        <v>45691</v>
      </c>
      <c r="B2283" s="71">
        <v>0.13623842592592589</v>
      </c>
      <c r="C2283" s="11" t="s">
        <v>4666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4440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2">
        <f>+L2283*O2283</f>
        <v>1394.1</v>
      </c>
      <c r="S2283" s="72">
        <v>0</v>
      </c>
      <c r="T2283" s="72">
        <f>+L2283*S2283</f>
        <v>0</v>
      </c>
      <c r="U2283" s="72">
        <f t="shared" ref="U2283" si="122">+R2283-T2283</f>
        <v>1394.1</v>
      </c>
      <c r="V2283" s="72">
        <f>+U2283*1</f>
        <v>1394.1</v>
      </c>
      <c r="W2283" s="72">
        <f t="shared" ref="W2283" si="123">+U2283-V2283</f>
        <v>0</v>
      </c>
      <c r="X2283" s="72">
        <v>0</v>
      </c>
      <c r="Y2283" s="14">
        <f t="shared" si="111"/>
        <v>0</v>
      </c>
      <c r="Z2283" s="11" t="s">
        <v>26</v>
      </c>
      <c r="AA2283" s="12" t="s">
        <v>31</v>
      </c>
    </row>
    <row r="2284" spans="1:27" x14ac:dyDescent="0.25">
      <c r="A2284" s="10">
        <v>45691</v>
      </c>
      <c r="B2284" s="71">
        <v>1.2777777777777777E-2</v>
      </c>
      <c r="C2284" s="11" t="s">
        <v>4667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4465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2">
        <f>+L2284*O2284</f>
        <v>1758.65</v>
      </c>
      <c r="S2284" s="72">
        <v>0</v>
      </c>
      <c r="T2284" s="72">
        <f>+L2284*S2284</f>
        <v>0</v>
      </c>
      <c r="U2284" s="72">
        <f>+R2284-T2284</f>
        <v>1758.65</v>
      </c>
      <c r="V2284" s="72">
        <f>+U2284*0.75</f>
        <v>1318.9875000000002</v>
      </c>
      <c r="W2284" s="72">
        <f>+U2284-V2284</f>
        <v>439.66249999999991</v>
      </c>
      <c r="X2284" s="72">
        <v>0</v>
      </c>
      <c r="Y2284" s="14">
        <f t="shared" si="111"/>
        <v>0</v>
      </c>
      <c r="Z2284" s="11" t="s">
        <v>26</v>
      </c>
      <c r="AA2284" s="12" t="s">
        <v>31</v>
      </c>
    </row>
    <row r="2285" spans="1:27" x14ac:dyDescent="0.25">
      <c r="A2285" s="10">
        <v>45691</v>
      </c>
      <c r="B2285" s="71">
        <v>1.1203703703703716E-2</v>
      </c>
      <c r="C2285" s="11" t="s">
        <v>4668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35</v>
      </c>
      <c r="P2285" s="13"/>
      <c r="Q2285" s="13">
        <v>0</v>
      </c>
      <c r="R2285" s="72">
        <f>+L2285*O2285</f>
        <v>1416.8</v>
      </c>
      <c r="S2285" s="72">
        <v>0</v>
      </c>
      <c r="T2285" s="72">
        <f>+L2285*S2285</f>
        <v>0</v>
      </c>
      <c r="U2285" s="72">
        <f>+R2285-T2285</f>
        <v>1416.8</v>
      </c>
      <c r="V2285" s="72">
        <f>+U2285*0</f>
        <v>0</v>
      </c>
      <c r="W2285" s="72">
        <f>+U2285-V2285</f>
        <v>1416.8</v>
      </c>
      <c r="X2285" s="72">
        <v>0</v>
      </c>
      <c r="Y2285" s="14">
        <f t="shared" si="111"/>
        <v>0</v>
      </c>
      <c r="Z2285" s="11" t="s">
        <v>26</v>
      </c>
      <c r="AA2285" s="12" t="s">
        <v>31</v>
      </c>
    </row>
    <row r="2286" spans="1:27" x14ac:dyDescent="0.25">
      <c r="A2286" s="10">
        <v>45691</v>
      </c>
      <c r="B2286" s="71">
        <v>3.5995370370370261E-3</v>
      </c>
      <c r="C2286" s="11" t="s">
        <v>4669</v>
      </c>
      <c r="D2286" s="11">
        <v>16816</v>
      </c>
      <c r="E2286" s="11" t="s">
        <v>3955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2">
        <f>(L2286*O2286)-Q2286</f>
        <v>200.79999999999998</v>
      </c>
      <c r="S2286" s="72">
        <v>0</v>
      </c>
      <c r="T2286" s="72">
        <f t="shared" ref="T2286" si="124">+L2286*S2286</f>
        <v>0</v>
      </c>
      <c r="U2286" s="72">
        <f t="shared" ref="U2286" si="125">+R2286-T2286</f>
        <v>200.79999999999998</v>
      </c>
      <c r="V2286" s="72">
        <f>+U2286*0</f>
        <v>0</v>
      </c>
      <c r="W2286" s="72">
        <f t="shared" ref="W2286" si="126">+U2286-V2286</f>
        <v>200.79999999999998</v>
      </c>
      <c r="X2286" s="72">
        <v>0</v>
      </c>
      <c r="Y2286" s="14">
        <f t="shared" si="111"/>
        <v>0</v>
      </c>
      <c r="Z2286" s="11" t="s">
        <v>26</v>
      </c>
      <c r="AA2286" s="12" t="s">
        <v>31</v>
      </c>
    </row>
    <row r="2287" spans="1:27" x14ac:dyDescent="0.25">
      <c r="A2287" s="10">
        <v>45691</v>
      </c>
      <c r="B2287" s="71">
        <v>1.5208333333333324E-2</v>
      </c>
      <c r="C2287" s="11" t="s">
        <v>4670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4439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2">
        <f>L2287*O2287</f>
        <v>3605.7000000000003</v>
      </c>
      <c r="S2287" s="72">
        <v>38</v>
      </c>
      <c r="T2287" s="72">
        <f>L2287*S2287</f>
        <v>1611.96</v>
      </c>
      <c r="U2287" s="72">
        <f>R2287-T2287</f>
        <v>1993.7400000000002</v>
      </c>
      <c r="V2287" s="72">
        <f>U2287*1</f>
        <v>1993.7400000000002</v>
      </c>
      <c r="W2287" s="72">
        <f>U2287-V2287</f>
        <v>0</v>
      </c>
      <c r="X2287" s="72">
        <f>L2287*36</f>
        <v>1527.1200000000001</v>
      </c>
      <c r="Y2287" s="73">
        <f>+T2287-X2287</f>
        <v>84.839999999999918</v>
      </c>
      <c r="Z2287" s="12" t="s">
        <v>140</v>
      </c>
      <c r="AA2287" s="12" t="s">
        <v>78</v>
      </c>
    </row>
    <row r="2288" spans="1:27" x14ac:dyDescent="0.25">
      <c r="A2288" s="10">
        <v>45691</v>
      </c>
      <c r="B2288" s="71">
        <v>1.5601851851851811E-2</v>
      </c>
      <c r="C2288" s="11" t="s">
        <v>4671</v>
      </c>
      <c r="D2288" s="11">
        <v>16818</v>
      </c>
      <c r="E2288" s="11" t="s">
        <v>1217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2">
        <f>M2288*P2288</f>
        <v>1600</v>
      </c>
      <c r="S2288" s="72">
        <v>0</v>
      </c>
      <c r="T2288" s="72">
        <f>M2288*S2288</f>
        <v>0</v>
      </c>
      <c r="U2288" s="72">
        <f>R2288-T2288</f>
        <v>1600</v>
      </c>
      <c r="V2288" s="72">
        <f>U2288*0</f>
        <v>0</v>
      </c>
      <c r="W2288" s="72">
        <f>U2288-V2288</f>
        <v>1600</v>
      </c>
      <c r="X2288" s="72">
        <v>0</v>
      </c>
      <c r="Y2288" s="14">
        <f t="shared" ref="Y2288:Y2290" si="127">T2288-X2288</f>
        <v>0</v>
      </c>
      <c r="Z2288" s="11" t="s">
        <v>26</v>
      </c>
      <c r="AA2288" s="12" t="s">
        <v>31</v>
      </c>
    </row>
    <row r="2289" spans="1:27" x14ac:dyDescent="0.25">
      <c r="A2289" s="10">
        <v>45691</v>
      </c>
      <c r="B2289" s="71">
        <v>7.1180555555555025E-3</v>
      </c>
      <c r="C2289" s="11" t="s">
        <v>4672</v>
      </c>
      <c r="D2289" s="11">
        <v>16819</v>
      </c>
      <c r="E2289" s="11" t="s">
        <v>1742</v>
      </c>
      <c r="F2289" s="11" t="s">
        <v>26</v>
      </c>
      <c r="G2289" s="11">
        <v>3298</v>
      </c>
      <c r="H2289" s="12" t="s">
        <v>4465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2">
        <f>+L2289*O2289</f>
        <v>583.5</v>
      </c>
      <c r="S2289" s="72">
        <v>0</v>
      </c>
      <c r="T2289" s="72">
        <f>+L2289*S2289</f>
        <v>0</v>
      </c>
      <c r="U2289" s="72">
        <f>+R2289-T2289</f>
        <v>583.5</v>
      </c>
      <c r="V2289" s="72">
        <f>+U2289*0.75</f>
        <v>437.625</v>
      </c>
      <c r="W2289" s="72">
        <f>+U2289-V2289</f>
        <v>145.875</v>
      </c>
      <c r="X2289" s="72">
        <v>0</v>
      </c>
      <c r="Y2289" s="14">
        <f t="shared" si="127"/>
        <v>0</v>
      </c>
      <c r="Z2289" s="11" t="s">
        <v>26</v>
      </c>
      <c r="AA2289" s="12" t="s">
        <v>31</v>
      </c>
    </row>
    <row r="2290" spans="1:27" x14ac:dyDescent="0.25">
      <c r="A2290" s="10">
        <v>45691</v>
      </c>
      <c r="B2290" s="71">
        <v>8.0555555555555935E-3</v>
      </c>
      <c r="C2290" s="11" t="s">
        <v>4673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4465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2">
        <f>+L2290*O2290</f>
        <v>562.5</v>
      </c>
      <c r="S2290" s="72">
        <v>0</v>
      </c>
      <c r="T2290" s="72">
        <f>+L2290*S2290</f>
        <v>0</v>
      </c>
      <c r="U2290" s="72">
        <f>+R2290-T2290</f>
        <v>562.5</v>
      </c>
      <c r="V2290" s="72">
        <f>+U2290*0.75</f>
        <v>421.875</v>
      </c>
      <c r="W2290" s="72">
        <f>+U2290-V2290</f>
        <v>140.625</v>
      </c>
      <c r="X2290" s="72">
        <v>0</v>
      </c>
      <c r="Y2290" s="14">
        <f t="shared" si="127"/>
        <v>0</v>
      </c>
      <c r="Z2290" s="11" t="s">
        <v>26</v>
      </c>
      <c r="AA2290" s="12" t="s">
        <v>31</v>
      </c>
    </row>
    <row r="2291" spans="1:27" x14ac:dyDescent="0.25">
      <c r="A2291" s="10">
        <v>45691</v>
      </c>
      <c r="B2291" s="71">
        <v>1.1296296296296304E-2</v>
      </c>
      <c r="C2291" s="11" t="s">
        <v>4674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4439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2">
        <f>L2291*O2291</f>
        <v>3600.6</v>
      </c>
      <c r="S2291" s="72">
        <v>38</v>
      </c>
      <c r="T2291" s="72">
        <f>L2291*S2291</f>
        <v>1609.68</v>
      </c>
      <c r="U2291" s="72">
        <f>R2291-T2291</f>
        <v>1990.9199999999998</v>
      </c>
      <c r="V2291" s="72">
        <f>U2291*1</f>
        <v>1990.9199999999998</v>
      </c>
      <c r="W2291" s="72">
        <f>U2291-V2291</f>
        <v>0</v>
      </c>
      <c r="X2291" s="72">
        <f>L2291*37</f>
        <v>1567.32</v>
      </c>
      <c r="Y2291" s="73">
        <f>+T2291-X2291</f>
        <v>42.360000000000127</v>
      </c>
      <c r="Z2291" s="12" t="s">
        <v>41</v>
      </c>
      <c r="AA2291" s="12" t="s">
        <v>78</v>
      </c>
    </row>
    <row r="2292" spans="1:27" x14ac:dyDescent="0.25">
      <c r="A2292" s="10">
        <v>45691</v>
      </c>
      <c r="B2292" s="71">
        <v>5.9513888888888922E-2</v>
      </c>
      <c r="C2292" s="11" t="s">
        <v>4675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4465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2">
        <f>+L2292*O2292</f>
        <v>1808.6669999999999</v>
      </c>
      <c r="S2292" s="72">
        <v>0</v>
      </c>
      <c r="T2292" s="72">
        <f>+L2292*S2292</f>
        <v>0</v>
      </c>
      <c r="U2292" s="72">
        <f>+R2292-T2292</f>
        <v>1808.6669999999999</v>
      </c>
      <c r="V2292" s="72">
        <f>+U2292*0.75</f>
        <v>1356.5002500000001</v>
      </c>
      <c r="W2292" s="72">
        <f>+U2292-V2292</f>
        <v>452.16674999999987</v>
      </c>
      <c r="X2292" s="72">
        <v>0</v>
      </c>
      <c r="Y2292" s="14">
        <f t="shared" ref="Y2292:Y2305" si="128">T2292-X2292</f>
        <v>0</v>
      </c>
      <c r="Z2292" s="11" t="s">
        <v>26</v>
      </c>
      <c r="AA2292" s="12" t="s">
        <v>31</v>
      </c>
    </row>
    <row r="2293" spans="1:27" x14ac:dyDescent="0.25">
      <c r="A2293" s="10">
        <v>45691</v>
      </c>
      <c r="B2293" s="71">
        <v>5.3506944444444426E-2</v>
      </c>
      <c r="C2293" s="11" t="s">
        <v>4676</v>
      </c>
      <c r="D2293" s="11">
        <v>16823</v>
      </c>
      <c r="E2293" s="11" t="s">
        <v>1668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2">
        <f>M2293*P2293</f>
        <v>1440</v>
      </c>
      <c r="S2293" s="72">
        <v>0</v>
      </c>
      <c r="T2293" s="72">
        <f>M2293*S2293</f>
        <v>0</v>
      </c>
      <c r="U2293" s="72">
        <f>R2293-T2293</f>
        <v>1440</v>
      </c>
      <c r="V2293" s="72">
        <f>U2293*0</f>
        <v>0</v>
      </c>
      <c r="W2293" s="72">
        <f>+U2293-V2293</f>
        <v>1440</v>
      </c>
      <c r="X2293" s="72">
        <v>0</v>
      </c>
      <c r="Y2293" s="14">
        <f t="shared" si="128"/>
        <v>0</v>
      </c>
      <c r="Z2293" s="11" t="s">
        <v>26</v>
      </c>
      <c r="AA2293" s="12" t="s">
        <v>31</v>
      </c>
    </row>
    <row r="2294" spans="1:27" x14ac:dyDescent="0.25">
      <c r="A2294" s="10">
        <v>45691</v>
      </c>
      <c r="B2294" s="71">
        <v>1.1793981481481475E-2</v>
      </c>
      <c r="C2294" s="11" t="s">
        <v>4677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35</v>
      </c>
      <c r="P2294" s="13"/>
      <c r="Q2294" s="13">
        <v>0</v>
      </c>
      <c r="R2294" s="72">
        <f>+L2294*O2294</f>
        <v>1501.5</v>
      </c>
      <c r="S2294" s="72">
        <v>0</v>
      </c>
      <c r="T2294" s="72">
        <f>+L2294*S2294</f>
        <v>0</v>
      </c>
      <c r="U2294" s="72">
        <f>+R2294-T2294</f>
        <v>1501.5</v>
      </c>
      <c r="V2294" s="72">
        <f>+U2294*0</f>
        <v>0</v>
      </c>
      <c r="W2294" s="72">
        <f>+U2294-V2294</f>
        <v>1501.5</v>
      </c>
      <c r="X2294" s="72">
        <v>0</v>
      </c>
      <c r="Y2294" s="14">
        <f t="shared" si="128"/>
        <v>0</v>
      </c>
      <c r="Z2294" s="11" t="s">
        <v>26</v>
      </c>
      <c r="AA2294" s="12" t="s">
        <v>31</v>
      </c>
    </row>
    <row r="2295" spans="1:27" x14ac:dyDescent="0.25">
      <c r="A2295" s="10">
        <v>45691</v>
      </c>
      <c r="B2295" s="71">
        <v>0.26613425925925926</v>
      </c>
      <c r="C2295" s="11" t="s">
        <v>4678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2">
        <f>+L2295*O2295</f>
        <v>1664</v>
      </c>
      <c r="S2295" s="72">
        <v>0</v>
      </c>
      <c r="T2295" s="72">
        <f>+L2295*S2295</f>
        <v>0</v>
      </c>
      <c r="U2295" s="72">
        <f>+R2295-T2295</f>
        <v>1664</v>
      </c>
      <c r="V2295" s="72">
        <f>+U2295*0</f>
        <v>0</v>
      </c>
      <c r="W2295" s="72">
        <f>+U2295-V2295</f>
        <v>1664</v>
      </c>
      <c r="X2295" s="72">
        <v>0</v>
      </c>
      <c r="Y2295" s="14">
        <f t="shared" si="128"/>
        <v>0</v>
      </c>
      <c r="Z2295" s="11" t="s">
        <v>26</v>
      </c>
      <c r="AA2295" s="12" t="s">
        <v>31</v>
      </c>
    </row>
    <row r="2296" spans="1:27" x14ac:dyDescent="0.25">
      <c r="A2296" s="10">
        <v>45691</v>
      </c>
      <c r="B2296" s="71">
        <v>4.9872685185185117E-2</v>
      </c>
      <c r="C2296" s="11" t="s">
        <v>4679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4464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2">
        <f>+M2296*P2296</f>
        <v>756</v>
      </c>
      <c r="S2296" s="72">
        <v>0</v>
      </c>
      <c r="T2296" s="72">
        <f>+M2296*S2296</f>
        <v>0</v>
      </c>
      <c r="U2296" s="72">
        <f t="shared" ref="U2296:U2297" si="130">+R2296-T2296</f>
        <v>756</v>
      </c>
      <c r="V2296" s="72">
        <f>+U2296*1</f>
        <v>756</v>
      </c>
      <c r="W2296" s="72">
        <f t="shared" ref="W2296:W2297" si="131">+U2296-V2296</f>
        <v>0</v>
      </c>
      <c r="X2296" s="72">
        <v>0</v>
      </c>
      <c r="Y2296" s="14">
        <f t="shared" si="128"/>
        <v>0</v>
      </c>
      <c r="Z2296" s="11" t="s">
        <v>26</v>
      </c>
      <c r="AA2296" s="12" t="s">
        <v>31</v>
      </c>
    </row>
    <row r="2297" spans="1:27" x14ac:dyDescent="0.25">
      <c r="A2297" s="10">
        <v>45691</v>
      </c>
      <c r="B2297" s="71">
        <v>4.9189814814813992E-3</v>
      </c>
      <c r="C2297" s="11" t="s">
        <v>4680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4440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2">
        <f t="shared" ref="R2297" si="132">+L2297*O2297</f>
        <v>1407.8400000000001</v>
      </c>
      <c r="S2297" s="72">
        <v>0</v>
      </c>
      <c r="T2297" s="72">
        <f t="shared" ref="T2297" si="133">+L2297*S2297</f>
        <v>0</v>
      </c>
      <c r="U2297" s="72">
        <f t="shared" si="130"/>
        <v>1407.8400000000001</v>
      </c>
      <c r="V2297" s="72">
        <f>+U2297*1</f>
        <v>1407.8400000000001</v>
      </c>
      <c r="W2297" s="72">
        <f t="shared" si="131"/>
        <v>0</v>
      </c>
      <c r="X2297" s="72">
        <v>0</v>
      </c>
      <c r="Y2297" s="14">
        <f t="shared" si="128"/>
        <v>0</v>
      </c>
      <c r="Z2297" s="11" t="s">
        <v>26</v>
      </c>
      <c r="AA2297" s="12" t="s">
        <v>31</v>
      </c>
    </row>
    <row r="2298" spans="1:27" x14ac:dyDescent="0.25">
      <c r="A2298" s="10">
        <v>45691</v>
      </c>
      <c r="B2298" s="71">
        <v>1.0682870370370412E-2</v>
      </c>
      <c r="C2298" s="11" t="s">
        <v>4681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2">
        <f>L2298*O2298</f>
        <v>1172.18</v>
      </c>
      <c r="S2298" s="72">
        <v>0</v>
      </c>
      <c r="T2298" s="72">
        <f>L2298*S2298</f>
        <v>0</v>
      </c>
      <c r="U2298" s="72">
        <f>R2298-T2298</f>
        <v>1172.18</v>
      </c>
      <c r="V2298" s="72">
        <f>U2298*0</f>
        <v>0</v>
      </c>
      <c r="W2298" s="72">
        <f>U2298-V2298</f>
        <v>1172.18</v>
      </c>
      <c r="X2298" s="72">
        <v>0</v>
      </c>
      <c r="Y2298" s="14">
        <f t="shared" si="128"/>
        <v>0</v>
      </c>
      <c r="Z2298" s="11" t="s">
        <v>26</v>
      </c>
      <c r="AA2298" s="12" t="s">
        <v>31</v>
      </c>
    </row>
    <row r="2299" spans="1:27" x14ac:dyDescent="0.25">
      <c r="A2299" s="10">
        <v>45691</v>
      </c>
      <c r="B2299" s="71">
        <v>4.7337962962962887E-2</v>
      </c>
      <c r="C2299" s="11" t="s">
        <v>4682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2">
        <f>M2299*P2299</f>
        <v>1500</v>
      </c>
      <c r="S2299" s="72">
        <v>0</v>
      </c>
      <c r="T2299" s="72">
        <f>M2299*S2299</f>
        <v>0</v>
      </c>
      <c r="U2299" s="72">
        <f t="shared" ref="U2299" si="134">+R2299-T2299</f>
        <v>1500</v>
      </c>
      <c r="V2299" s="72">
        <f>+U2299*0</f>
        <v>0</v>
      </c>
      <c r="W2299" s="72">
        <f t="shared" ref="W2299" si="135">+U2299-V2299</f>
        <v>1500</v>
      </c>
      <c r="X2299" s="72">
        <v>0</v>
      </c>
      <c r="Y2299" s="14">
        <f t="shared" si="128"/>
        <v>0</v>
      </c>
      <c r="Z2299" s="11" t="s">
        <v>26</v>
      </c>
      <c r="AA2299" s="12" t="s">
        <v>31</v>
      </c>
    </row>
    <row r="2300" spans="1:27" x14ac:dyDescent="0.25">
      <c r="A2300" s="10">
        <v>45691</v>
      </c>
      <c r="B2300" s="71">
        <v>2.5104166666666705E-2</v>
      </c>
      <c r="C2300" s="11" t="s">
        <v>4683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2">
        <f>M2300*P2300</f>
        <v>1600</v>
      </c>
      <c r="S2300" s="72">
        <v>0</v>
      </c>
      <c r="T2300" s="72">
        <f>M2300*S2300</f>
        <v>0</v>
      </c>
      <c r="U2300" s="72">
        <f>+R2300-T2300</f>
        <v>1600</v>
      </c>
      <c r="V2300" s="72">
        <f>+U2300*0</f>
        <v>0</v>
      </c>
      <c r="W2300" s="72">
        <f>+U2300-V2300</f>
        <v>1600</v>
      </c>
      <c r="X2300" s="72">
        <v>0</v>
      </c>
      <c r="Y2300" s="14">
        <f t="shared" si="128"/>
        <v>0</v>
      </c>
      <c r="Z2300" s="11" t="s">
        <v>26</v>
      </c>
      <c r="AA2300" s="12" t="s">
        <v>31</v>
      </c>
    </row>
    <row r="2301" spans="1:27" x14ac:dyDescent="0.25">
      <c r="A2301" s="10">
        <v>45691</v>
      </c>
      <c r="B2301" s="71">
        <v>9.2592592592591894E-3</v>
      </c>
      <c r="C2301" s="11" t="s">
        <v>4684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4440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2">
        <f t="shared" ref="R2301" si="136">+L2301*O2301</f>
        <v>1508.64</v>
      </c>
      <c r="S2301" s="72">
        <v>0</v>
      </c>
      <c r="T2301" s="72">
        <f t="shared" ref="T2301" si="137">+L2301*S2301</f>
        <v>0</v>
      </c>
      <c r="U2301" s="72">
        <f t="shared" ref="U2301:U2302" si="138">+R2301-T2301</f>
        <v>1508.64</v>
      </c>
      <c r="V2301" s="72">
        <f>+U2301*1</f>
        <v>1508.64</v>
      </c>
      <c r="W2301" s="72">
        <f t="shared" ref="W2301:W2302" si="139">+U2301-V2301</f>
        <v>0</v>
      </c>
      <c r="X2301" s="72">
        <v>0</v>
      </c>
      <c r="Y2301" s="14">
        <f t="shared" si="128"/>
        <v>0</v>
      </c>
      <c r="Z2301" s="11" t="s">
        <v>26</v>
      </c>
      <c r="AA2301" s="12" t="s">
        <v>31</v>
      </c>
    </row>
    <row r="2302" spans="1:27" x14ac:dyDescent="0.25">
      <c r="A2302" s="10">
        <v>45691</v>
      </c>
      <c r="B2302" s="71">
        <v>1.2939814814814765E-2</v>
      </c>
      <c r="C2302" s="11" t="s">
        <v>4685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2">
        <f>+M2302*P2302</f>
        <v>1600</v>
      </c>
      <c r="S2302" s="72">
        <v>0</v>
      </c>
      <c r="T2302" s="72">
        <f>+M2302*S2302</f>
        <v>0</v>
      </c>
      <c r="U2302" s="72">
        <f t="shared" si="138"/>
        <v>1600</v>
      </c>
      <c r="V2302" s="72">
        <f>+U2302*0</f>
        <v>0</v>
      </c>
      <c r="W2302" s="72">
        <f t="shared" si="139"/>
        <v>1600</v>
      </c>
      <c r="X2302" s="72">
        <v>0</v>
      </c>
      <c r="Y2302" s="14">
        <f t="shared" si="128"/>
        <v>0</v>
      </c>
      <c r="Z2302" s="11" t="s">
        <v>26</v>
      </c>
      <c r="AA2302" s="12" t="s">
        <v>31</v>
      </c>
    </row>
    <row r="2303" spans="1:27" x14ac:dyDescent="0.25">
      <c r="A2303" s="10">
        <v>45691</v>
      </c>
      <c r="B2303" s="71">
        <v>5.714120370370368E-2</v>
      </c>
      <c r="C2303" s="11" t="s">
        <v>4686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4463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2">
        <f t="shared" ref="R2303" si="140">+L2303*O2303</f>
        <v>1500.4</v>
      </c>
      <c r="S2303" s="72">
        <v>0</v>
      </c>
      <c r="T2303" s="72">
        <f>+L2303*S2303</f>
        <v>0</v>
      </c>
      <c r="U2303" s="72">
        <f>+R2303-T2303</f>
        <v>1500.4</v>
      </c>
      <c r="V2303" s="72">
        <f>+U2303*1</f>
        <v>1500.4</v>
      </c>
      <c r="W2303" s="72">
        <f>+U2303-V2303</f>
        <v>0</v>
      </c>
      <c r="X2303" s="72">
        <v>0</v>
      </c>
      <c r="Y2303" s="14">
        <f t="shared" si="128"/>
        <v>0</v>
      </c>
      <c r="Z2303" s="11" t="s">
        <v>26</v>
      </c>
      <c r="AA2303" s="12" t="s">
        <v>31</v>
      </c>
    </row>
    <row r="2304" spans="1:27" x14ac:dyDescent="0.25">
      <c r="A2304" s="10">
        <v>45691</v>
      </c>
      <c r="B2304" s="71">
        <v>5.0497685185185159E-2</v>
      </c>
      <c r="C2304" s="11" t="s">
        <v>4687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2">
        <f>M2304*P2304</f>
        <v>1600</v>
      </c>
      <c r="S2304" s="72">
        <v>0</v>
      </c>
      <c r="T2304" s="72">
        <f>M2304*S2304</f>
        <v>0</v>
      </c>
      <c r="U2304" s="72">
        <f>R2304-T2304</f>
        <v>1600</v>
      </c>
      <c r="V2304" s="72">
        <f>U2304*0</f>
        <v>0</v>
      </c>
      <c r="W2304" s="72">
        <f>U2304-V2304</f>
        <v>1600</v>
      </c>
      <c r="X2304" s="72">
        <v>0</v>
      </c>
      <c r="Y2304" s="14">
        <f t="shared" si="128"/>
        <v>0</v>
      </c>
      <c r="Z2304" s="11" t="s">
        <v>26</v>
      </c>
      <c r="AA2304" s="12" t="s">
        <v>31</v>
      </c>
    </row>
    <row r="2305" spans="1:27" x14ac:dyDescent="0.25">
      <c r="A2305" s="10">
        <v>45691</v>
      </c>
      <c r="B2305" s="71">
        <v>2.4259259259259203E-2</v>
      </c>
      <c r="C2305" s="11" t="s">
        <v>4688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2">
        <f>(L2305*O2305)-Q2305</f>
        <v>2086.5</v>
      </c>
      <c r="S2305" s="72">
        <v>0</v>
      </c>
      <c r="T2305" s="72">
        <f t="shared" ref="T2305" si="141">+L2305*S2305</f>
        <v>0</v>
      </c>
      <c r="U2305" s="72">
        <f t="shared" ref="U2305" si="142">+R2305-T2305</f>
        <v>2086.5</v>
      </c>
      <c r="V2305" s="72">
        <f>+U2305*0</f>
        <v>0</v>
      </c>
      <c r="W2305" s="72">
        <f t="shared" ref="W2305" si="143">+U2305-V2305</f>
        <v>2086.5</v>
      </c>
      <c r="X2305" s="72">
        <v>0</v>
      </c>
      <c r="Y2305" s="14">
        <f t="shared" si="128"/>
        <v>0</v>
      </c>
      <c r="Z2305" s="11" t="s">
        <v>26</v>
      </c>
      <c r="AA2305" s="12" t="s">
        <v>31</v>
      </c>
    </row>
    <row r="2306" spans="1:27" x14ac:dyDescent="0.25">
      <c r="A2306" s="10">
        <v>45691</v>
      </c>
      <c r="B2306" s="71">
        <v>2.1076388888888853E-2</v>
      </c>
      <c r="C2306" s="11" t="s">
        <v>4689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4439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2">
        <f>L2306*O2306</f>
        <v>3407.98</v>
      </c>
      <c r="S2306" s="72">
        <v>38</v>
      </c>
      <c r="T2306" s="72">
        <f>L2306*S2306</f>
        <v>1560.2800000000002</v>
      </c>
      <c r="U2306" s="72">
        <f>R2306-T2306</f>
        <v>1847.6999999999998</v>
      </c>
      <c r="V2306" s="72">
        <f>U2306*1</f>
        <v>1847.6999999999998</v>
      </c>
      <c r="W2306" s="72">
        <f>U2306-V2306</f>
        <v>0</v>
      </c>
      <c r="X2306" s="72">
        <f>L2306*37</f>
        <v>1519.22</v>
      </c>
      <c r="Y2306" s="73">
        <f>+T2306-X2306</f>
        <v>41.060000000000173</v>
      </c>
      <c r="Z2306" s="12" t="s">
        <v>41</v>
      </c>
      <c r="AA2306" s="12" t="s">
        <v>78</v>
      </c>
    </row>
    <row r="2307" spans="1:27" x14ac:dyDescent="0.25">
      <c r="A2307" s="10">
        <v>45691</v>
      </c>
      <c r="B2307" s="71">
        <v>7.4768518518519844E-3</v>
      </c>
      <c r="C2307" s="11" t="s">
        <v>4690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4440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2">
        <f t="shared" ref="R2307:R2310" si="144">+L2307*O2307</f>
        <v>1501.9199999999998</v>
      </c>
      <c r="S2307" s="72">
        <v>0</v>
      </c>
      <c r="T2307" s="72">
        <f t="shared" ref="T2307" si="145">+L2307*S2307</f>
        <v>0</v>
      </c>
      <c r="U2307" s="72">
        <f t="shared" ref="U2307" si="146">+R2307-T2307</f>
        <v>1501.9199999999998</v>
      </c>
      <c r="V2307" s="72">
        <f>+U2307*1</f>
        <v>1501.9199999999998</v>
      </c>
      <c r="W2307" s="72">
        <f t="shared" ref="W2307" si="147">+U2307-V2307</f>
        <v>0</v>
      </c>
      <c r="X2307" s="72">
        <v>0</v>
      </c>
      <c r="Y2307" s="14">
        <f t="shared" ref="Y2307:Y2320" si="148">T2307-X2307</f>
        <v>0</v>
      </c>
      <c r="Z2307" s="11" t="s">
        <v>26</v>
      </c>
      <c r="AA2307" s="12" t="s">
        <v>31</v>
      </c>
    </row>
    <row r="2308" spans="1:27" x14ac:dyDescent="0.25">
      <c r="A2308" s="10">
        <v>45691</v>
      </c>
      <c r="B2308" s="71">
        <v>4.9918981481481439E-2</v>
      </c>
      <c r="C2308" s="11" t="s">
        <v>4691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4463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2">
        <f t="shared" si="144"/>
        <v>1523.28</v>
      </c>
      <c r="S2308" s="72">
        <v>0</v>
      </c>
      <c r="T2308" s="72">
        <f>+L2308*S2308</f>
        <v>0</v>
      </c>
      <c r="U2308" s="72">
        <f>+R2308-T2308</f>
        <v>1523.28</v>
      </c>
      <c r="V2308" s="72">
        <f>+U2308*1</f>
        <v>1523.28</v>
      </c>
      <c r="W2308" s="72">
        <f>+U2308-V2308</f>
        <v>0</v>
      </c>
      <c r="X2308" s="72">
        <v>0</v>
      </c>
      <c r="Y2308" s="14">
        <f t="shared" si="148"/>
        <v>0</v>
      </c>
      <c r="Z2308" s="11" t="s">
        <v>26</v>
      </c>
      <c r="AA2308" s="12" t="s">
        <v>31</v>
      </c>
    </row>
    <row r="2309" spans="1:27" x14ac:dyDescent="0.25">
      <c r="A2309" s="10">
        <v>45691</v>
      </c>
      <c r="B2309" s="71">
        <v>1.3819444444444495E-2</v>
      </c>
      <c r="C2309" s="11" t="s">
        <v>4692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4440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2">
        <f t="shared" si="144"/>
        <v>1391.04</v>
      </c>
      <c r="S2309" s="72">
        <v>0</v>
      </c>
      <c r="T2309" s="72">
        <f t="shared" ref="T2309:T2310" si="149">+L2309*S2309</f>
        <v>0</v>
      </c>
      <c r="U2309" s="72">
        <f t="shared" ref="U2309:U2310" si="150">+R2309-T2309</f>
        <v>1391.04</v>
      </c>
      <c r="V2309" s="72">
        <f>+U2309*1</f>
        <v>1391.04</v>
      </c>
      <c r="W2309" s="72">
        <f t="shared" ref="W2309:W2310" si="151">+U2309-V2309</f>
        <v>0</v>
      </c>
      <c r="X2309" s="72">
        <v>0</v>
      </c>
      <c r="Y2309" s="14">
        <f t="shared" si="148"/>
        <v>0</v>
      </c>
      <c r="Z2309" s="11" t="s">
        <v>26</v>
      </c>
      <c r="AA2309" s="12" t="s">
        <v>31</v>
      </c>
    </row>
    <row r="2310" spans="1:27" x14ac:dyDescent="0.25">
      <c r="A2310" s="10">
        <v>45691</v>
      </c>
      <c r="B2310" s="71">
        <v>3.8113425925925926E-2</v>
      </c>
      <c r="C2310" s="11" t="s">
        <v>4693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4440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2">
        <f t="shared" si="144"/>
        <v>1638.52</v>
      </c>
      <c r="S2310" s="72">
        <v>0</v>
      </c>
      <c r="T2310" s="72">
        <f t="shared" si="149"/>
        <v>0</v>
      </c>
      <c r="U2310" s="72">
        <f t="shared" si="150"/>
        <v>1638.52</v>
      </c>
      <c r="V2310" s="72">
        <f>+U2310*1</f>
        <v>1638.52</v>
      </c>
      <c r="W2310" s="72">
        <f t="shared" si="151"/>
        <v>0</v>
      </c>
      <c r="X2310" s="72">
        <v>0</v>
      </c>
      <c r="Y2310" s="14">
        <f t="shared" si="148"/>
        <v>0</v>
      </c>
      <c r="Z2310" s="11" t="s">
        <v>26</v>
      </c>
      <c r="AA2310" s="12" t="s">
        <v>31</v>
      </c>
    </row>
    <row r="2311" spans="1:27" x14ac:dyDescent="0.25">
      <c r="A2311" s="10">
        <v>45691</v>
      </c>
      <c r="B2311" s="71">
        <v>1.2962962962962954E-2</v>
      </c>
      <c r="C2311" s="11" t="s">
        <v>4694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2">
        <f>L2311*O2311</f>
        <v>1087.5</v>
      </c>
      <c r="S2311" s="72">
        <v>0</v>
      </c>
      <c r="T2311" s="72">
        <f>L2311*S2311</f>
        <v>0</v>
      </c>
      <c r="U2311" s="72">
        <f>R2311-T2311</f>
        <v>1087.5</v>
      </c>
      <c r="V2311" s="72">
        <f>U2311*0</f>
        <v>0</v>
      </c>
      <c r="W2311" s="72">
        <f>U2311-V2311</f>
        <v>1087.5</v>
      </c>
      <c r="X2311" s="72">
        <v>0</v>
      </c>
      <c r="Y2311" s="14">
        <f t="shared" si="148"/>
        <v>0</v>
      </c>
      <c r="Z2311" s="11" t="s">
        <v>26</v>
      </c>
      <c r="AA2311" s="12" t="s">
        <v>31</v>
      </c>
    </row>
    <row r="2312" spans="1:27" x14ac:dyDescent="0.25">
      <c r="A2312" s="10">
        <v>45691</v>
      </c>
      <c r="B2312" s="71">
        <v>9.5486111111111605E-3</v>
      </c>
      <c r="C2312" s="11" t="s">
        <v>4695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2">
        <f>L2312*O2312</f>
        <v>606.9</v>
      </c>
      <c r="S2312" s="72">
        <v>0</v>
      </c>
      <c r="T2312" s="72">
        <f>L2312*S2312</f>
        <v>0</v>
      </c>
      <c r="U2312" s="72">
        <f>R2312-T2312</f>
        <v>606.9</v>
      </c>
      <c r="V2312" s="72">
        <f>U2312*0</f>
        <v>0</v>
      </c>
      <c r="W2312" s="72">
        <f>U2312-V2312</f>
        <v>606.9</v>
      </c>
      <c r="X2312" s="72">
        <v>0</v>
      </c>
      <c r="Y2312" s="14">
        <f t="shared" si="148"/>
        <v>0</v>
      </c>
      <c r="Z2312" s="11" t="s">
        <v>26</v>
      </c>
      <c r="AA2312" s="12" t="s">
        <v>31</v>
      </c>
    </row>
    <row r="2313" spans="1:27" x14ac:dyDescent="0.25">
      <c r="A2313" s="10">
        <v>45691</v>
      </c>
      <c r="B2313" s="71">
        <v>1.4432870370370332E-2</v>
      </c>
      <c r="C2313" s="11" t="s">
        <v>4696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2">
        <f>L2313*O2313</f>
        <v>589.5</v>
      </c>
      <c r="S2313" s="72">
        <v>0</v>
      </c>
      <c r="T2313" s="72">
        <f>L2313*S2313</f>
        <v>0</v>
      </c>
      <c r="U2313" s="72">
        <f>R2313-T2313</f>
        <v>589.5</v>
      </c>
      <c r="V2313" s="72">
        <f>U2313*0</f>
        <v>0</v>
      </c>
      <c r="W2313" s="72">
        <f>U2313-V2313</f>
        <v>589.5</v>
      </c>
      <c r="X2313" s="72">
        <v>0</v>
      </c>
      <c r="Y2313" s="14">
        <f t="shared" si="148"/>
        <v>0</v>
      </c>
      <c r="Z2313" s="11" t="s">
        <v>26</v>
      </c>
      <c r="AA2313" s="12" t="s">
        <v>31</v>
      </c>
    </row>
    <row r="2314" spans="1:27" x14ac:dyDescent="0.25">
      <c r="A2314" s="10">
        <v>45691</v>
      </c>
      <c r="B2314" s="71">
        <v>9.8032407407407929E-3</v>
      </c>
      <c r="C2314" s="11" t="s">
        <v>4697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35</v>
      </c>
      <c r="P2314" s="13"/>
      <c r="Q2314" s="13">
        <v>0</v>
      </c>
      <c r="R2314" s="72">
        <f>+L2314*O2314</f>
        <v>1407</v>
      </c>
      <c r="S2314" s="72">
        <v>0</v>
      </c>
      <c r="T2314" s="72">
        <f>+L2314*S2314</f>
        <v>0</v>
      </c>
      <c r="U2314" s="72">
        <f>+R2314-T2314</f>
        <v>1407</v>
      </c>
      <c r="V2314" s="72">
        <f>+U2314*0</f>
        <v>0</v>
      </c>
      <c r="W2314" s="72">
        <f>+U2314-V2314</f>
        <v>1407</v>
      </c>
      <c r="X2314" s="72">
        <v>0</v>
      </c>
      <c r="Y2314" s="14">
        <f t="shared" si="148"/>
        <v>0</v>
      </c>
      <c r="Z2314" s="11" t="s">
        <v>26</v>
      </c>
      <c r="AA2314" s="12" t="s">
        <v>31</v>
      </c>
    </row>
    <row r="2315" spans="1:27" x14ac:dyDescent="0.25">
      <c r="A2315" s="10">
        <v>45691</v>
      </c>
      <c r="B2315" s="71">
        <v>1.7442129629629655E-2</v>
      </c>
      <c r="C2315" s="11" t="s">
        <v>4698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2">
        <f>L2315*O2315</f>
        <v>587.70000000000005</v>
      </c>
      <c r="S2315" s="72">
        <v>0</v>
      </c>
      <c r="T2315" s="72">
        <f>L2315*S2315</f>
        <v>0</v>
      </c>
      <c r="U2315" s="72">
        <f>R2315-T2315</f>
        <v>587.70000000000005</v>
      </c>
      <c r="V2315" s="72">
        <f>U2315*0</f>
        <v>0</v>
      </c>
      <c r="W2315" s="72">
        <f>U2315-V2315</f>
        <v>587.70000000000005</v>
      </c>
      <c r="X2315" s="72">
        <v>0</v>
      </c>
      <c r="Y2315" s="14">
        <f t="shared" si="148"/>
        <v>0</v>
      </c>
      <c r="Z2315" s="11" t="s">
        <v>26</v>
      </c>
      <c r="AA2315" s="12" t="s">
        <v>31</v>
      </c>
    </row>
    <row r="2316" spans="1:27" x14ac:dyDescent="0.25">
      <c r="A2316" s="10">
        <v>45691</v>
      </c>
      <c r="B2316" s="71">
        <v>9.594907407407427E-3</v>
      </c>
      <c r="C2316" s="11" t="s">
        <v>4699</v>
      </c>
      <c r="D2316" s="11">
        <v>16846</v>
      </c>
      <c r="E2316" s="11" t="s">
        <v>3955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2">
        <f>(L2316*O2316)-Q2316</f>
        <v>202</v>
      </c>
      <c r="S2316" s="72">
        <v>0</v>
      </c>
      <c r="T2316" s="72">
        <f t="shared" ref="T2316" si="152">+L2316*S2316</f>
        <v>0</v>
      </c>
      <c r="U2316" s="72">
        <f t="shared" ref="U2316" si="153">+R2316-T2316</f>
        <v>202</v>
      </c>
      <c r="V2316" s="72">
        <f>+U2316*0</f>
        <v>0</v>
      </c>
      <c r="W2316" s="72">
        <f t="shared" ref="W2316" si="154">+U2316-V2316</f>
        <v>202</v>
      </c>
      <c r="X2316" s="72">
        <v>0</v>
      </c>
      <c r="Y2316" s="14">
        <f t="shared" si="148"/>
        <v>0</v>
      </c>
      <c r="Z2316" s="11" t="s">
        <v>26</v>
      </c>
      <c r="AA2316" s="12" t="s">
        <v>31</v>
      </c>
    </row>
    <row r="2317" spans="1:27" x14ac:dyDescent="0.25">
      <c r="A2317" s="10">
        <v>45691</v>
      </c>
      <c r="B2317" s="71">
        <v>9.6412037037037046E-2</v>
      </c>
      <c r="C2317" s="11" t="s">
        <v>4700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2">
        <f>M2317*P2317</f>
        <v>1680</v>
      </c>
      <c r="S2317" s="72">
        <v>0</v>
      </c>
      <c r="T2317" s="72">
        <f>M2317*S2317</f>
        <v>0</v>
      </c>
      <c r="U2317" s="72">
        <f>R2317-T2317</f>
        <v>1680</v>
      </c>
      <c r="V2317" s="72">
        <f>U2317*0</f>
        <v>0</v>
      </c>
      <c r="W2317" s="72">
        <f>+U2317-V2317</f>
        <v>1680</v>
      </c>
      <c r="X2317" s="72">
        <v>0</v>
      </c>
      <c r="Y2317" s="14">
        <f t="shared" si="148"/>
        <v>0</v>
      </c>
      <c r="Z2317" s="11" t="s">
        <v>26</v>
      </c>
      <c r="AA2317" s="12" t="s">
        <v>31</v>
      </c>
    </row>
    <row r="2318" spans="1:27" x14ac:dyDescent="0.25">
      <c r="A2318" s="10">
        <v>45691</v>
      </c>
      <c r="B2318" s="71">
        <v>1.0219907407407414E-2</v>
      </c>
      <c r="C2318" s="11" t="s">
        <v>4701</v>
      </c>
      <c r="D2318" s="11">
        <v>16848</v>
      </c>
      <c r="E2318" s="11" t="s">
        <v>659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2">
        <f>L2318*O2318</f>
        <v>1142.02</v>
      </c>
      <c r="S2318" s="72">
        <v>0</v>
      </c>
      <c r="T2318" s="72">
        <f>L2318*S2318</f>
        <v>0</v>
      </c>
      <c r="U2318" s="72">
        <f>R2318-T2318</f>
        <v>1142.02</v>
      </c>
      <c r="V2318" s="72">
        <f>U2318*0</f>
        <v>0</v>
      </c>
      <c r="W2318" s="72">
        <f>U2318-V2318</f>
        <v>1142.02</v>
      </c>
      <c r="X2318" s="72">
        <v>0</v>
      </c>
      <c r="Y2318" s="14">
        <f t="shared" si="148"/>
        <v>0</v>
      </c>
      <c r="Z2318" s="11" t="s">
        <v>26</v>
      </c>
      <c r="AA2318" s="12" t="s">
        <v>31</v>
      </c>
    </row>
    <row r="2319" spans="1:27" x14ac:dyDescent="0.25">
      <c r="A2319" s="10">
        <v>45691</v>
      </c>
      <c r="B2319" s="71">
        <v>7.9282407407407218E-3</v>
      </c>
      <c r="C2319" s="11" t="s">
        <v>4702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2">
        <f>L2319*O2319</f>
        <v>1139.1200000000001</v>
      </c>
      <c r="S2319" s="72">
        <v>0</v>
      </c>
      <c r="T2319" s="72">
        <f>L2319*S2319</f>
        <v>0</v>
      </c>
      <c r="U2319" s="72">
        <f>R2319-T2319</f>
        <v>1139.1200000000001</v>
      </c>
      <c r="V2319" s="72">
        <f>U2319*0</f>
        <v>0</v>
      </c>
      <c r="W2319" s="72">
        <f>U2319-V2319</f>
        <v>1139.1200000000001</v>
      </c>
      <c r="X2319" s="72">
        <v>0</v>
      </c>
      <c r="Y2319" s="14">
        <f t="shared" si="148"/>
        <v>0</v>
      </c>
      <c r="Z2319" s="11" t="s">
        <v>26</v>
      </c>
      <c r="AA2319" s="12" t="s">
        <v>31</v>
      </c>
    </row>
    <row r="2320" spans="1:27" x14ac:dyDescent="0.25">
      <c r="A2320" s="10">
        <v>45691</v>
      </c>
      <c r="B2320" s="71">
        <v>8.2638888888889594E-3</v>
      </c>
      <c r="C2320" s="11" t="s">
        <v>4703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2">
        <f>L2320*O2320</f>
        <v>1106.06</v>
      </c>
      <c r="S2320" s="72">
        <v>0</v>
      </c>
      <c r="T2320" s="72">
        <f>L2320*S2320</f>
        <v>0</v>
      </c>
      <c r="U2320" s="72">
        <f>R2320-T2320</f>
        <v>1106.06</v>
      </c>
      <c r="V2320" s="72">
        <f>U2320*0</f>
        <v>0</v>
      </c>
      <c r="W2320" s="72">
        <f>U2320-V2320</f>
        <v>1106.06</v>
      </c>
      <c r="X2320" s="72">
        <v>0</v>
      </c>
      <c r="Y2320" s="14">
        <f t="shared" si="148"/>
        <v>0</v>
      </c>
      <c r="Z2320" s="11" t="s">
        <v>26</v>
      </c>
      <c r="AA2320" s="12" t="s">
        <v>31</v>
      </c>
    </row>
    <row r="2321" spans="1:27" x14ac:dyDescent="0.25">
      <c r="A2321" s="10">
        <v>45691</v>
      </c>
      <c r="B2321" s="71">
        <v>1.1238425925925943E-2</v>
      </c>
      <c r="C2321" s="11" t="s">
        <v>4704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4466</v>
      </c>
      <c r="I2321" s="12" t="s">
        <v>37</v>
      </c>
      <c r="J2321" s="12" t="s">
        <v>4705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2"/>
      <c r="S2321" s="72"/>
      <c r="T2321" s="72"/>
      <c r="U2321" s="72"/>
      <c r="V2321" s="72"/>
      <c r="W2321" s="72"/>
      <c r="X2321" s="72">
        <v>0</v>
      </c>
      <c r="Y2321" s="73">
        <f>T2321-X2321</f>
        <v>0</v>
      </c>
      <c r="Z2321" s="11" t="s">
        <v>26</v>
      </c>
      <c r="AA2321" s="12" t="s">
        <v>31</v>
      </c>
    </row>
    <row r="2322" spans="1:27" x14ac:dyDescent="0.25">
      <c r="A2322" s="10">
        <v>45691</v>
      </c>
      <c r="B2322" s="71">
        <v>1.070601851851849E-2</v>
      </c>
      <c r="C2322" s="11" t="s">
        <v>4706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35</v>
      </c>
      <c r="P2322" s="13"/>
      <c r="Q2322" s="13">
        <v>0</v>
      </c>
      <c r="R2322" s="72">
        <f>+L2322*O2322</f>
        <v>1441.3</v>
      </c>
      <c r="S2322" s="72">
        <v>0</v>
      </c>
      <c r="T2322" s="72">
        <f>+L2322*S2322</f>
        <v>0</v>
      </c>
      <c r="U2322" s="72">
        <f>+R2322-T2322</f>
        <v>1441.3</v>
      </c>
      <c r="V2322" s="72">
        <f>+U2322*0</f>
        <v>0</v>
      </c>
      <c r="W2322" s="72">
        <f>+U2322-V2322</f>
        <v>1441.3</v>
      </c>
      <c r="X2322" s="72">
        <v>0</v>
      </c>
      <c r="Y2322" s="14">
        <f t="shared" ref="Y2322:Y2326" si="155">T2322-X2322</f>
        <v>0</v>
      </c>
      <c r="Z2322" s="11" t="s">
        <v>26</v>
      </c>
      <c r="AA2322" s="12" t="s">
        <v>31</v>
      </c>
    </row>
    <row r="2323" spans="1:27" x14ac:dyDescent="0.25">
      <c r="A2323" s="10">
        <v>45691</v>
      </c>
      <c r="B2323" s="71">
        <v>1.5601851851851922E-2</v>
      </c>
      <c r="C2323" s="11" t="s">
        <v>4707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2">
        <f>L2323*O2323</f>
        <v>575.70000000000005</v>
      </c>
      <c r="S2323" s="72">
        <v>0</v>
      </c>
      <c r="T2323" s="72">
        <f>L2323*S2323</f>
        <v>0</v>
      </c>
      <c r="U2323" s="72">
        <f>R2323-T2323</f>
        <v>575.70000000000005</v>
      </c>
      <c r="V2323" s="72">
        <f>U2323*0</f>
        <v>0</v>
      </c>
      <c r="W2323" s="72">
        <f>U2323-V2323</f>
        <v>575.70000000000005</v>
      </c>
      <c r="X2323" s="72">
        <v>0</v>
      </c>
      <c r="Y2323" s="14">
        <f t="shared" si="155"/>
        <v>0</v>
      </c>
      <c r="Z2323" s="11" t="s">
        <v>26</v>
      </c>
      <c r="AA2323" s="12" t="s">
        <v>31</v>
      </c>
    </row>
    <row r="2324" spans="1:27" x14ac:dyDescent="0.25">
      <c r="A2324" s="10">
        <v>45691</v>
      </c>
      <c r="B2324" s="71">
        <v>9.4560185185185164E-3</v>
      </c>
      <c r="C2324" s="11" t="s">
        <v>4708</v>
      </c>
      <c r="D2324" s="11">
        <v>16854</v>
      </c>
      <c r="E2324" s="11" t="s">
        <v>3955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2">
        <f>(L2324*O2324)-Q2324</f>
        <v>202</v>
      </c>
      <c r="S2324" s="72">
        <v>0</v>
      </c>
      <c r="T2324" s="72">
        <f t="shared" ref="T2324" si="156">+L2324*S2324</f>
        <v>0</v>
      </c>
      <c r="U2324" s="72">
        <f t="shared" ref="U2324" si="157">+R2324-T2324</f>
        <v>202</v>
      </c>
      <c r="V2324" s="72">
        <f>+U2324*0</f>
        <v>0</v>
      </c>
      <c r="W2324" s="72">
        <f t="shared" ref="W2324" si="158">+U2324-V2324</f>
        <v>202</v>
      </c>
      <c r="X2324" s="72">
        <v>0</v>
      </c>
      <c r="Y2324" s="14">
        <f t="shared" si="155"/>
        <v>0</v>
      </c>
      <c r="Z2324" s="11" t="s">
        <v>26</v>
      </c>
      <c r="AA2324" s="12" t="s">
        <v>31</v>
      </c>
    </row>
    <row r="2325" spans="1:27" x14ac:dyDescent="0.25">
      <c r="A2325" s="10">
        <v>45691</v>
      </c>
      <c r="B2325" s="71">
        <v>8.9872685185185208E-2</v>
      </c>
      <c r="C2325" s="11" t="s">
        <v>4709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2">
        <f>M2325*P2325</f>
        <v>1450</v>
      </c>
      <c r="S2325" s="72">
        <v>0</v>
      </c>
      <c r="T2325" s="72">
        <f>M2325*S2325</f>
        <v>0</v>
      </c>
      <c r="U2325" s="72">
        <f>R2325-T2325</f>
        <v>1450</v>
      </c>
      <c r="V2325" s="72">
        <f>U2325*0</f>
        <v>0</v>
      </c>
      <c r="W2325" s="72">
        <f>U2325-V2325</f>
        <v>1450</v>
      </c>
      <c r="X2325" s="72">
        <v>0</v>
      </c>
      <c r="Y2325" s="14">
        <f t="shared" si="155"/>
        <v>0</v>
      </c>
      <c r="Z2325" s="11" t="s">
        <v>26</v>
      </c>
      <c r="AA2325" s="12" t="s">
        <v>31</v>
      </c>
    </row>
    <row r="2326" spans="1:27" x14ac:dyDescent="0.25">
      <c r="A2326" s="10">
        <v>45691</v>
      </c>
      <c r="B2326" s="71">
        <v>1.7314814814814783E-2</v>
      </c>
      <c r="C2326" s="11" t="s">
        <v>4710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4440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2">
        <f t="shared" ref="R2326" si="159">+L2326*O2326</f>
        <v>1554</v>
      </c>
      <c r="S2326" s="72">
        <v>0</v>
      </c>
      <c r="T2326" s="72">
        <f t="shared" ref="T2326" si="160">+L2326*S2326</f>
        <v>0</v>
      </c>
      <c r="U2326" s="72">
        <f t="shared" ref="U2326" si="161">+R2326-T2326</f>
        <v>1554</v>
      </c>
      <c r="V2326" s="72">
        <f>+U2326*1</f>
        <v>1554</v>
      </c>
      <c r="W2326" s="72">
        <f t="shared" ref="W2326" si="162">+U2326-V2326</f>
        <v>0</v>
      </c>
      <c r="X2326" s="72">
        <v>0</v>
      </c>
      <c r="Y2326" s="14">
        <f t="shared" si="155"/>
        <v>0</v>
      </c>
      <c r="Z2326" s="11" t="s">
        <v>26</v>
      </c>
      <c r="AA2326" s="12" t="s">
        <v>31</v>
      </c>
    </row>
    <row r="2327" spans="1:27" x14ac:dyDescent="0.25">
      <c r="A2327" s="10">
        <v>45691</v>
      </c>
      <c r="B2327" s="71">
        <v>2.1145833333333308E-2</v>
      </c>
      <c r="C2327" s="11" t="s">
        <v>4711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4439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2">
        <f>L2327*O2327</f>
        <v>3637.06</v>
      </c>
      <c r="S2327" s="72">
        <v>38</v>
      </c>
      <c r="T2327" s="72">
        <f>L2327*S2327</f>
        <v>1665.16</v>
      </c>
      <c r="U2327" s="72">
        <f>R2327-T2327</f>
        <v>1971.8999999999999</v>
      </c>
      <c r="V2327" s="72">
        <f>U2327*1</f>
        <v>1971.8999999999999</v>
      </c>
      <c r="W2327" s="72">
        <f>U2327-V2327</f>
        <v>0</v>
      </c>
      <c r="X2327" s="72">
        <f>L2327*37</f>
        <v>1621.34</v>
      </c>
      <c r="Y2327" s="73">
        <f>+T2327-X2327</f>
        <v>43.820000000000164</v>
      </c>
      <c r="Z2327" s="12" t="s">
        <v>41</v>
      </c>
      <c r="AA2327" s="12" t="s">
        <v>78</v>
      </c>
    </row>
    <row r="2328" spans="1:27" x14ac:dyDescent="0.25">
      <c r="A2328" s="10">
        <v>45691</v>
      </c>
      <c r="B2328" s="71">
        <v>0.11222222222222222</v>
      </c>
      <c r="C2328" s="11" t="s">
        <v>4712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2">
        <f>+L2328*O2328</f>
        <v>1626.3999999999999</v>
      </c>
      <c r="S2328" s="72">
        <v>0</v>
      </c>
      <c r="T2328" s="72">
        <f>+L2328*S2328</f>
        <v>0</v>
      </c>
      <c r="U2328" s="72">
        <f>+R2328-T2328</f>
        <v>1626.3999999999999</v>
      </c>
      <c r="V2328" s="72">
        <f>+U2328*0</f>
        <v>0</v>
      </c>
      <c r="W2328" s="72">
        <f>+U2328-V2328</f>
        <v>1626.3999999999999</v>
      </c>
      <c r="X2328" s="72">
        <v>0</v>
      </c>
      <c r="Y2328" s="14">
        <f t="shared" ref="Y2328:Y2351" si="163">T2328-X2328</f>
        <v>0</v>
      </c>
      <c r="Z2328" s="11" t="s">
        <v>26</v>
      </c>
      <c r="AA2328" s="12" t="s">
        <v>31</v>
      </c>
    </row>
    <row r="2329" spans="1:27" x14ac:dyDescent="0.25">
      <c r="A2329" s="10">
        <v>45691</v>
      </c>
      <c r="B2329" s="71">
        <v>8.4537037037037077E-2</v>
      </c>
      <c r="C2329" s="11" t="s">
        <v>4713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4464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2">
        <f>+M2329*P2329</f>
        <v>756</v>
      </c>
      <c r="S2329" s="72">
        <v>0</v>
      </c>
      <c r="T2329" s="72">
        <f>+M2329*S2329</f>
        <v>0</v>
      </c>
      <c r="U2329" s="72">
        <f t="shared" ref="U2329:U2330" si="164">+R2329-T2329</f>
        <v>756</v>
      </c>
      <c r="V2329" s="72">
        <f>+U2329*1</f>
        <v>756</v>
      </c>
      <c r="W2329" s="72">
        <f t="shared" ref="W2329:W2330" si="165">+U2329-V2329</f>
        <v>0</v>
      </c>
      <c r="X2329" s="72">
        <v>0</v>
      </c>
      <c r="Y2329" s="14">
        <f t="shared" si="163"/>
        <v>0</v>
      </c>
      <c r="Z2329" s="11" t="s">
        <v>26</v>
      </c>
      <c r="AA2329" s="12" t="s">
        <v>31</v>
      </c>
    </row>
    <row r="2330" spans="1:27" x14ac:dyDescent="0.25">
      <c r="A2330" s="10">
        <v>45691</v>
      </c>
      <c r="B2330" s="71">
        <v>3.6087962962962905E-2</v>
      </c>
      <c r="C2330" s="11" t="s">
        <v>4714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4440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2">
        <f t="shared" ref="R2330" si="166">+L2330*O2330</f>
        <v>1587.6</v>
      </c>
      <c r="S2330" s="72">
        <v>0</v>
      </c>
      <c r="T2330" s="72">
        <f t="shared" ref="T2330" si="167">+L2330*S2330</f>
        <v>0</v>
      </c>
      <c r="U2330" s="72">
        <f t="shared" si="164"/>
        <v>1587.6</v>
      </c>
      <c r="V2330" s="72">
        <f>+U2330*1</f>
        <v>1587.6</v>
      </c>
      <c r="W2330" s="72">
        <f t="shared" si="165"/>
        <v>0</v>
      </c>
      <c r="X2330" s="72">
        <v>0</v>
      </c>
      <c r="Y2330" s="14">
        <f t="shared" si="163"/>
        <v>0</v>
      </c>
      <c r="Z2330" s="11" t="s">
        <v>26</v>
      </c>
      <c r="AA2330" s="12" t="s">
        <v>31</v>
      </c>
    </row>
    <row r="2331" spans="1:27" x14ac:dyDescent="0.25">
      <c r="A2331" s="10">
        <v>45691</v>
      </c>
      <c r="B2331" s="71">
        <v>1.5937500000000049E-2</v>
      </c>
      <c r="C2331" s="11" t="s">
        <v>4715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2">
        <f>M2331*P2331</f>
        <v>1600</v>
      </c>
      <c r="S2331" s="72">
        <v>0</v>
      </c>
      <c r="T2331" s="72">
        <f>M2331*S2331</f>
        <v>0</v>
      </c>
      <c r="U2331" s="72">
        <f>+R2331-T2331</f>
        <v>1600</v>
      </c>
      <c r="V2331" s="72">
        <f t="shared" ref="V2331:V2336" si="168">+U2331*0</f>
        <v>0</v>
      </c>
      <c r="W2331" s="72">
        <f>+U2331-V2331</f>
        <v>1600</v>
      </c>
      <c r="X2331" s="72">
        <v>0</v>
      </c>
      <c r="Y2331" s="14">
        <f t="shared" si="163"/>
        <v>0</v>
      </c>
      <c r="Z2331" s="11" t="s">
        <v>26</v>
      </c>
      <c r="AA2331" s="12" t="s">
        <v>31</v>
      </c>
    </row>
    <row r="2332" spans="1:27" x14ac:dyDescent="0.25">
      <c r="A2332" s="10">
        <v>45691</v>
      </c>
      <c r="B2332" s="71">
        <v>1.4710648148148153E-2</v>
      </c>
      <c r="C2332" s="11" t="s">
        <v>4716</v>
      </c>
      <c r="D2332" s="11">
        <v>16862</v>
      </c>
      <c r="E2332" s="11" t="s">
        <v>3955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2">
        <f>(L2332*O2332)-Q2332</f>
        <v>206.8</v>
      </c>
      <c r="S2332" s="72">
        <v>0</v>
      </c>
      <c r="T2332" s="72">
        <f t="shared" ref="T2332" si="169">+L2332*S2332</f>
        <v>0</v>
      </c>
      <c r="U2332" s="72">
        <f t="shared" ref="U2332" si="170">+R2332-T2332</f>
        <v>206.8</v>
      </c>
      <c r="V2332" s="72">
        <f t="shared" si="168"/>
        <v>0</v>
      </c>
      <c r="W2332" s="72">
        <f t="shared" ref="W2332" si="171">+U2332-V2332</f>
        <v>206.8</v>
      </c>
      <c r="X2332" s="72">
        <v>0</v>
      </c>
      <c r="Y2332" s="14">
        <f t="shared" si="163"/>
        <v>0</v>
      </c>
      <c r="Z2332" s="11" t="s">
        <v>26</v>
      </c>
      <c r="AA2332" s="12" t="s">
        <v>31</v>
      </c>
    </row>
    <row r="2333" spans="1:27" x14ac:dyDescent="0.25">
      <c r="A2333" s="10">
        <v>45691</v>
      </c>
      <c r="B2333" s="71">
        <v>2.2152777777777799E-2</v>
      </c>
      <c r="C2333" s="11" t="s">
        <v>4717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2">
        <f>M2333*P2333</f>
        <v>1472</v>
      </c>
      <c r="S2333" s="72">
        <v>0</v>
      </c>
      <c r="T2333" s="72">
        <f>M2333*S2333</f>
        <v>0</v>
      </c>
      <c r="U2333" s="72">
        <f>+R2333-T2333</f>
        <v>1472</v>
      </c>
      <c r="V2333" s="72">
        <f t="shared" si="168"/>
        <v>0</v>
      </c>
      <c r="W2333" s="72">
        <f>+U2333-V2333</f>
        <v>1472</v>
      </c>
      <c r="X2333" s="72">
        <v>0</v>
      </c>
      <c r="Y2333" s="14">
        <f t="shared" si="163"/>
        <v>0</v>
      </c>
      <c r="Z2333" s="11" t="s">
        <v>26</v>
      </c>
      <c r="AA2333" s="12" t="s">
        <v>31</v>
      </c>
    </row>
    <row r="2334" spans="1:27" x14ac:dyDescent="0.25">
      <c r="A2334" s="10">
        <v>45691</v>
      </c>
      <c r="B2334" s="71">
        <v>2.4166666666666559E-2</v>
      </c>
      <c r="C2334" s="11" t="s">
        <v>4718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2">
        <f>+M2334*P2334</f>
        <v>1600</v>
      </c>
      <c r="S2334" s="72">
        <v>0</v>
      </c>
      <c r="T2334" s="72">
        <f>+M2334*S2334</f>
        <v>0</v>
      </c>
      <c r="U2334" s="72">
        <f t="shared" ref="U2334" si="172">+R2334-T2334</f>
        <v>1600</v>
      </c>
      <c r="V2334" s="72">
        <f t="shared" si="168"/>
        <v>0</v>
      </c>
      <c r="W2334" s="72">
        <f t="shared" ref="W2334" si="173">+U2334-V2334</f>
        <v>1600</v>
      </c>
      <c r="X2334" s="72">
        <v>0</v>
      </c>
      <c r="Y2334" s="14">
        <f t="shared" si="163"/>
        <v>0</v>
      </c>
      <c r="Z2334" s="11" t="s">
        <v>26</v>
      </c>
      <c r="AA2334" s="12" t="s">
        <v>31</v>
      </c>
    </row>
    <row r="2335" spans="1:27" x14ac:dyDescent="0.25">
      <c r="A2335" s="10">
        <v>45691</v>
      </c>
      <c r="B2335" s="71">
        <v>3.0196759259259243E-2</v>
      </c>
      <c r="C2335" s="11" t="s">
        <v>4719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35</v>
      </c>
      <c r="P2335" s="13"/>
      <c r="Q2335" s="13">
        <v>0</v>
      </c>
      <c r="R2335" s="72">
        <f>+L2335*O2335</f>
        <v>1426.6</v>
      </c>
      <c r="S2335" s="72">
        <v>0</v>
      </c>
      <c r="T2335" s="72">
        <f>+L2335*S2335</f>
        <v>0</v>
      </c>
      <c r="U2335" s="72">
        <f>+R2335-T2335</f>
        <v>1426.6</v>
      </c>
      <c r="V2335" s="72">
        <f t="shared" si="168"/>
        <v>0</v>
      </c>
      <c r="W2335" s="72">
        <f>+U2335-V2335</f>
        <v>1426.6</v>
      </c>
      <c r="X2335" s="72">
        <v>0</v>
      </c>
      <c r="Y2335" s="14">
        <f t="shared" si="163"/>
        <v>0</v>
      </c>
      <c r="Z2335" s="11" t="s">
        <v>26</v>
      </c>
      <c r="AA2335" s="12" t="s">
        <v>31</v>
      </c>
    </row>
    <row r="2336" spans="1:27" x14ac:dyDescent="0.25">
      <c r="A2336" s="10">
        <v>45691</v>
      </c>
      <c r="B2336" s="71">
        <v>5.5231481481481381E-2</v>
      </c>
      <c r="C2336" s="11" t="s">
        <v>4720</v>
      </c>
      <c r="D2336" s="11">
        <v>16866</v>
      </c>
      <c r="E2336" s="11" t="s">
        <v>2126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35</v>
      </c>
      <c r="P2336" s="13"/>
      <c r="Q2336" s="13">
        <v>0</v>
      </c>
      <c r="R2336" s="72">
        <f>+L2336*O2336</f>
        <v>1434.3</v>
      </c>
      <c r="S2336" s="72">
        <v>0</v>
      </c>
      <c r="T2336" s="72">
        <f>+L2336*S2336</f>
        <v>0</v>
      </c>
      <c r="U2336" s="72">
        <f>+R2336-T2336</f>
        <v>1434.3</v>
      </c>
      <c r="V2336" s="72">
        <f t="shared" si="168"/>
        <v>0</v>
      </c>
      <c r="W2336" s="72">
        <f>+U2336-V2336</f>
        <v>1434.3</v>
      </c>
      <c r="X2336" s="72">
        <v>0</v>
      </c>
      <c r="Y2336" s="14">
        <f t="shared" si="163"/>
        <v>0</v>
      </c>
      <c r="Z2336" s="11" t="s">
        <v>26</v>
      </c>
      <c r="AA2336" s="12" t="s">
        <v>31</v>
      </c>
    </row>
    <row r="2337" spans="1:27" x14ac:dyDescent="0.25">
      <c r="A2337" s="10">
        <v>45691</v>
      </c>
      <c r="B2337" s="71">
        <v>4.3819444444444411E-2</v>
      </c>
      <c r="C2337" s="11" t="s">
        <v>4721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2">
        <f>M2337*P2337</f>
        <v>625</v>
      </c>
      <c r="S2337" s="72">
        <v>0</v>
      </c>
      <c r="T2337" s="72">
        <f>M2337*S2337</f>
        <v>0</v>
      </c>
      <c r="U2337" s="72">
        <f>R2337-T2337</f>
        <v>625</v>
      </c>
      <c r="V2337" s="72">
        <f>U2337*0</f>
        <v>0</v>
      </c>
      <c r="W2337" s="72">
        <f>U2337-V2337</f>
        <v>625</v>
      </c>
      <c r="X2337" s="72">
        <v>0</v>
      </c>
      <c r="Y2337" s="14">
        <f t="shared" si="163"/>
        <v>0</v>
      </c>
      <c r="Z2337" s="11" t="s">
        <v>26</v>
      </c>
      <c r="AA2337" s="12" t="s">
        <v>31</v>
      </c>
    </row>
    <row r="2338" spans="1:27" x14ac:dyDescent="0.25">
      <c r="A2338" s="10">
        <v>45691</v>
      </c>
      <c r="B2338" s="71">
        <v>3.255787037037039E-2</v>
      </c>
      <c r="C2338" s="11" t="s">
        <v>4722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4463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2">
        <f t="shared" ref="R2338" si="174">+L2338*O2338</f>
        <v>1590.96</v>
      </c>
      <c r="S2338" s="72">
        <v>0</v>
      </c>
      <c r="T2338" s="72">
        <f>+L2338*S2338</f>
        <v>0</v>
      </c>
      <c r="U2338" s="72">
        <f t="shared" ref="U2338" si="175">+R2338-T2338</f>
        <v>1590.96</v>
      </c>
      <c r="V2338" s="72">
        <f>+U2338*1</f>
        <v>1590.96</v>
      </c>
      <c r="W2338" s="72">
        <f t="shared" ref="W2338" si="176">+U2338-V2338</f>
        <v>0</v>
      </c>
      <c r="X2338" s="72">
        <v>0</v>
      </c>
      <c r="Y2338" s="14">
        <f t="shared" si="163"/>
        <v>0</v>
      </c>
      <c r="Z2338" s="11" t="s">
        <v>26</v>
      </c>
      <c r="AA2338" s="12" t="s">
        <v>31</v>
      </c>
    </row>
    <row r="2339" spans="1:27" x14ac:dyDescent="0.25">
      <c r="A2339" s="10">
        <v>45692</v>
      </c>
      <c r="B2339" s="71">
        <v>9.9652777777777812E-3</v>
      </c>
      <c r="C2339" s="11" t="s">
        <v>4723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4465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2">
        <f>+L2339*O2339</f>
        <v>1739.4848</v>
      </c>
      <c r="S2339" s="72">
        <v>0</v>
      </c>
      <c r="T2339" s="72">
        <f>+L2339*S2339</f>
        <v>0</v>
      </c>
      <c r="U2339" s="72">
        <f>+R2339-T2339</f>
        <v>1739.4848</v>
      </c>
      <c r="V2339" s="72">
        <f>+U2339*0.75</f>
        <v>1304.6135999999999</v>
      </c>
      <c r="W2339" s="72">
        <f>+U2339-V2339</f>
        <v>434.87120000000004</v>
      </c>
      <c r="X2339" s="72">
        <v>0</v>
      </c>
      <c r="Y2339" s="14">
        <f t="shared" si="163"/>
        <v>0</v>
      </c>
      <c r="Z2339" s="11" t="s">
        <v>26</v>
      </c>
      <c r="AA2339" s="12" t="s">
        <v>31</v>
      </c>
    </row>
    <row r="2340" spans="1:27" x14ac:dyDescent="0.25">
      <c r="A2340" s="10">
        <v>45692</v>
      </c>
      <c r="B2340" s="71">
        <v>9.942129629629648E-3</v>
      </c>
      <c r="C2340" s="11" t="s">
        <v>4724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4440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2">
        <f t="shared" ref="R2340" si="178">+L2340*O2340</f>
        <v>1608.16</v>
      </c>
      <c r="S2340" s="72">
        <v>0</v>
      </c>
      <c r="T2340" s="72">
        <f t="shared" ref="T2340" si="179">+L2340*S2340</f>
        <v>0</v>
      </c>
      <c r="U2340" s="72">
        <f t="shared" ref="U2340" si="180">+R2340-T2340</f>
        <v>1608.16</v>
      </c>
      <c r="V2340" s="72">
        <f>+U2340*1</f>
        <v>1608.16</v>
      </c>
      <c r="W2340" s="72">
        <f t="shared" ref="W2340" si="181">+U2340-V2340</f>
        <v>0</v>
      </c>
      <c r="X2340" s="72">
        <v>0</v>
      </c>
      <c r="Y2340" s="14">
        <f t="shared" si="163"/>
        <v>0</v>
      </c>
      <c r="Z2340" s="11" t="s">
        <v>26</v>
      </c>
      <c r="AA2340" s="12" t="s">
        <v>31</v>
      </c>
    </row>
    <row r="2341" spans="1:27" x14ac:dyDescent="0.25">
      <c r="A2341" s="10">
        <v>45692</v>
      </c>
      <c r="B2341" s="71">
        <v>1.4062499999999978E-2</v>
      </c>
      <c r="C2341" s="11" t="s">
        <v>4725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4465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2">
        <f>+L2341*O2341</f>
        <v>1716.1938</v>
      </c>
      <c r="S2341" s="72">
        <v>0</v>
      </c>
      <c r="T2341" s="72">
        <f>+L2341*S2341</f>
        <v>0</v>
      </c>
      <c r="U2341" s="72">
        <f>+R2341-T2341</f>
        <v>1716.1938</v>
      </c>
      <c r="V2341" s="72">
        <f>+U2341*0.75</f>
        <v>1287.14535</v>
      </c>
      <c r="W2341" s="72">
        <f>+U2341-V2341</f>
        <v>429.04845</v>
      </c>
      <c r="X2341" s="72">
        <v>0</v>
      </c>
      <c r="Y2341" s="14">
        <f t="shared" si="163"/>
        <v>0</v>
      </c>
      <c r="Z2341" s="11" t="s">
        <v>26</v>
      </c>
      <c r="AA2341" s="12" t="s">
        <v>31</v>
      </c>
    </row>
    <row r="2342" spans="1:27" x14ac:dyDescent="0.25">
      <c r="A2342" s="10">
        <v>45692</v>
      </c>
      <c r="B2342" s="71">
        <v>1.4710648148148153E-2</v>
      </c>
      <c r="C2342" s="11" t="s">
        <v>4726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4440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2">
        <f>+L2342*O2342</f>
        <v>1518.3000000000002</v>
      </c>
      <c r="S2342" s="72">
        <v>0</v>
      </c>
      <c r="T2342" s="72">
        <f>+L2342*S2342</f>
        <v>0</v>
      </c>
      <c r="U2342" s="72">
        <f t="shared" ref="U2342" si="182">+R2342-T2342</f>
        <v>1518.3000000000002</v>
      </c>
      <c r="V2342" s="72">
        <f>+U2342*1</f>
        <v>1518.3000000000002</v>
      </c>
      <c r="W2342" s="72">
        <f t="shared" ref="W2342" si="183">+U2342-V2342</f>
        <v>0</v>
      </c>
      <c r="X2342" s="72">
        <v>0</v>
      </c>
      <c r="Y2342" s="14">
        <f t="shared" si="163"/>
        <v>0</v>
      </c>
      <c r="Z2342" s="11" t="s">
        <v>26</v>
      </c>
      <c r="AA2342" s="12" t="s">
        <v>31</v>
      </c>
    </row>
    <row r="2343" spans="1:27" x14ac:dyDescent="0.25">
      <c r="A2343" s="10">
        <v>45692</v>
      </c>
      <c r="B2343" s="71">
        <v>1.9050925925925943E-2</v>
      </c>
      <c r="C2343" s="11" t="s">
        <v>4727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4463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2">
        <f t="shared" ref="R2343" si="184">+L2343*O2343</f>
        <v>1549.6799999999998</v>
      </c>
      <c r="S2343" s="72">
        <v>0</v>
      </c>
      <c r="T2343" s="72">
        <f>+L2343*S2343</f>
        <v>0</v>
      </c>
      <c r="U2343" s="72">
        <f>+R2343-T2343</f>
        <v>1549.6799999999998</v>
      </c>
      <c r="V2343" s="72">
        <f>+U2343*1</f>
        <v>1549.6799999999998</v>
      </c>
      <c r="W2343" s="72">
        <f>+U2343-V2343</f>
        <v>0</v>
      </c>
      <c r="X2343" s="72">
        <v>0</v>
      </c>
      <c r="Y2343" s="14">
        <f t="shared" si="163"/>
        <v>0</v>
      </c>
      <c r="Z2343" s="11" t="s">
        <v>26</v>
      </c>
      <c r="AA2343" s="12" t="s">
        <v>31</v>
      </c>
    </row>
    <row r="2344" spans="1:27" x14ac:dyDescent="0.25">
      <c r="A2344" s="10">
        <v>45692</v>
      </c>
      <c r="B2344" s="71">
        <v>8.0671296296296324E-3</v>
      </c>
      <c r="C2344" s="11" t="s">
        <v>4728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2">
        <f>M2344*P2344</f>
        <v>1550</v>
      </c>
      <c r="S2344" s="72">
        <v>0</v>
      </c>
      <c r="T2344" s="72">
        <f>M2344*S2344</f>
        <v>0</v>
      </c>
      <c r="U2344" s="72">
        <f>R2344-T2344</f>
        <v>1550</v>
      </c>
      <c r="V2344" s="72">
        <f>U2344*0</f>
        <v>0</v>
      </c>
      <c r="W2344" s="72">
        <f>U2344-V2344</f>
        <v>1550</v>
      </c>
      <c r="X2344" s="72">
        <v>0</v>
      </c>
      <c r="Y2344" s="14">
        <f t="shared" si="163"/>
        <v>0</v>
      </c>
      <c r="Z2344" s="11" t="s">
        <v>26</v>
      </c>
      <c r="AA2344" s="12" t="s">
        <v>31</v>
      </c>
    </row>
    <row r="2345" spans="1:27" x14ac:dyDescent="0.25">
      <c r="A2345" s="10">
        <v>45692</v>
      </c>
      <c r="B2345" s="71">
        <v>8.0671296296296324E-3</v>
      </c>
      <c r="C2345" s="11" t="s">
        <v>4729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4440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2">
        <f>+L2345*O2345</f>
        <v>1571.4</v>
      </c>
      <c r="S2345" s="72">
        <v>0</v>
      </c>
      <c r="T2345" s="72">
        <f>+L2345*S2345</f>
        <v>0</v>
      </c>
      <c r="U2345" s="72">
        <f t="shared" ref="U2345" si="185">+R2345-T2345</f>
        <v>1571.4</v>
      </c>
      <c r="V2345" s="72">
        <f>+U2345*1</f>
        <v>1571.4</v>
      </c>
      <c r="W2345" s="72">
        <f t="shared" ref="W2345" si="186">+U2345-V2345</f>
        <v>0</v>
      </c>
      <c r="X2345" s="72">
        <v>0</v>
      </c>
      <c r="Y2345" s="14">
        <f t="shared" si="163"/>
        <v>0</v>
      </c>
      <c r="Z2345" s="11" t="s">
        <v>26</v>
      </c>
      <c r="AA2345" s="12" t="s">
        <v>31</v>
      </c>
    </row>
    <row r="2346" spans="1:27" x14ac:dyDescent="0.25">
      <c r="A2346" s="10">
        <v>45692</v>
      </c>
      <c r="B2346" s="71">
        <v>1.2326388888888928E-2</v>
      </c>
      <c r="C2346" s="11" t="s">
        <v>4730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2">
        <f>M2346*P2346</f>
        <v>1550</v>
      </c>
      <c r="S2346" s="72">
        <v>0</v>
      </c>
      <c r="T2346" s="72">
        <f>M2346*S2346</f>
        <v>0</v>
      </c>
      <c r="U2346" s="72">
        <f>R2346-T2346</f>
        <v>1550</v>
      </c>
      <c r="V2346" s="72">
        <f>U2346*0</f>
        <v>0</v>
      </c>
      <c r="W2346" s="72">
        <f>U2346-V2346</f>
        <v>1550</v>
      </c>
      <c r="X2346" s="72">
        <v>0</v>
      </c>
      <c r="Y2346" s="14">
        <f t="shared" si="163"/>
        <v>0</v>
      </c>
      <c r="Z2346" s="11" t="s">
        <v>26</v>
      </c>
      <c r="AA2346" s="12" t="s">
        <v>31</v>
      </c>
    </row>
    <row r="2347" spans="1:27" x14ac:dyDescent="0.25">
      <c r="A2347" s="10">
        <v>45692</v>
      </c>
      <c r="B2347" s="71">
        <v>2.6678240740740766E-2</v>
      </c>
      <c r="C2347" s="11" t="s">
        <v>4731</v>
      </c>
      <c r="D2347" s="11">
        <v>16877</v>
      </c>
      <c r="E2347" s="11" t="s">
        <v>2143</v>
      </c>
      <c r="F2347" s="11" t="s">
        <v>26</v>
      </c>
      <c r="G2347" s="11">
        <v>112414</v>
      </c>
      <c r="H2347" s="12" t="s">
        <v>4463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2">
        <f t="shared" ref="R2347" si="187">+L2347*O2347</f>
        <v>1539.12</v>
      </c>
      <c r="S2347" s="72">
        <v>0</v>
      </c>
      <c r="T2347" s="72">
        <f>+L2347*S2347</f>
        <v>0</v>
      </c>
      <c r="U2347" s="72">
        <f>+R2347-T2347</f>
        <v>1539.12</v>
      </c>
      <c r="V2347" s="72">
        <f>+U2347*1</f>
        <v>1539.12</v>
      </c>
      <c r="W2347" s="72">
        <f>+U2347-V2347</f>
        <v>0</v>
      </c>
      <c r="X2347" s="72">
        <v>0</v>
      </c>
      <c r="Y2347" s="14">
        <f t="shared" si="163"/>
        <v>0</v>
      </c>
      <c r="Z2347" s="11" t="s">
        <v>26</v>
      </c>
      <c r="AA2347" s="12" t="s">
        <v>31</v>
      </c>
    </row>
    <row r="2348" spans="1:27" x14ac:dyDescent="0.25">
      <c r="A2348" s="10">
        <v>45692</v>
      </c>
      <c r="B2348" s="71">
        <v>3.0486111111111103E-2</v>
      </c>
      <c r="C2348" s="11" t="s">
        <v>4732</v>
      </c>
      <c r="D2348" s="11">
        <v>16878</v>
      </c>
      <c r="E2348" s="11" t="s">
        <v>1742</v>
      </c>
      <c r="F2348" s="11" t="s">
        <v>26</v>
      </c>
      <c r="G2348" s="11">
        <v>3299</v>
      </c>
      <c r="H2348" s="12" t="s">
        <v>4465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2">
        <f>+L2348*O2348</f>
        <v>560.1</v>
      </c>
      <c r="S2348" s="72">
        <v>0</v>
      </c>
      <c r="T2348" s="72">
        <f>+L2348*S2348</f>
        <v>0</v>
      </c>
      <c r="U2348" s="72">
        <f>+R2348-T2348</f>
        <v>560.1</v>
      </c>
      <c r="V2348" s="72">
        <f>+U2348*0.75</f>
        <v>420.07500000000005</v>
      </c>
      <c r="W2348" s="72">
        <f>+U2348-V2348</f>
        <v>140.02499999999998</v>
      </c>
      <c r="X2348" s="72">
        <v>0</v>
      </c>
      <c r="Y2348" s="14">
        <f t="shared" si="163"/>
        <v>0</v>
      </c>
      <c r="Z2348" s="11" t="s">
        <v>26</v>
      </c>
      <c r="AA2348" s="12" t="s">
        <v>31</v>
      </c>
    </row>
    <row r="2349" spans="1:27" x14ac:dyDescent="0.25">
      <c r="A2349" s="10">
        <v>45692</v>
      </c>
      <c r="B2349" s="71">
        <v>3.7511574074074017E-2</v>
      </c>
      <c r="C2349" s="11" t="s">
        <v>4733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4465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2">
        <f>+L2349*O2349</f>
        <v>542.70000000000005</v>
      </c>
      <c r="S2349" s="72">
        <v>0</v>
      </c>
      <c r="T2349" s="72">
        <f>+L2349*S2349</f>
        <v>0</v>
      </c>
      <c r="U2349" s="72">
        <f>+R2349-T2349</f>
        <v>542.70000000000005</v>
      </c>
      <c r="V2349" s="72">
        <f>+U2349*0.75</f>
        <v>407.02500000000003</v>
      </c>
      <c r="W2349" s="72">
        <f>+U2349-V2349</f>
        <v>135.67500000000001</v>
      </c>
      <c r="X2349" s="72">
        <v>0</v>
      </c>
      <c r="Y2349" s="14">
        <f t="shared" si="163"/>
        <v>0</v>
      </c>
      <c r="Z2349" s="11" t="s">
        <v>26</v>
      </c>
      <c r="AA2349" s="12" t="s">
        <v>31</v>
      </c>
    </row>
    <row r="2350" spans="1:27" x14ac:dyDescent="0.25">
      <c r="A2350" s="10">
        <v>45692</v>
      </c>
      <c r="B2350" s="71">
        <v>2.4444444444444435E-2</v>
      </c>
      <c r="C2350" s="11" t="s">
        <v>4734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2">
        <f>(L2350*O2350)-Q2350</f>
        <v>601.59999999999991</v>
      </c>
      <c r="S2350" s="72">
        <v>0</v>
      </c>
      <c r="T2350" s="72">
        <f t="shared" ref="T2350" si="188">+L2350*S2350</f>
        <v>0</v>
      </c>
      <c r="U2350" s="72">
        <f t="shared" ref="U2350" si="189">+R2350-T2350</f>
        <v>601.59999999999991</v>
      </c>
      <c r="V2350" s="72">
        <f t="shared" ref="V2350:V2351" si="190">+U2350*0</f>
        <v>0</v>
      </c>
      <c r="W2350" s="72">
        <f t="shared" ref="W2350" si="191">+U2350-V2350</f>
        <v>601.59999999999991</v>
      </c>
      <c r="X2350" s="72">
        <v>0</v>
      </c>
      <c r="Y2350" s="14">
        <f t="shared" si="163"/>
        <v>0</v>
      </c>
      <c r="Z2350" s="11" t="s">
        <v>26</v>
      </c>
      <c r="AA2350" s="12" t="s">
        <v>31</v>
      </c>
    </row>
    <row r="2351" spans="1:27" x14ac:dyDescent="0.25">
      <c r="A2351" s="10">
        <v>45692</v>
      </c>
      <c r="B2351" s="71">
        <v>4.1585648148148191E-2</v>
      </c>
      <c r="C2351" s="11" t="s">
        <v>4735</v>
      </c>
      <c r="D2351" s="11">
        <v>16881</v>
      </c>
      <c r="E2351" s="11" t="s">
        <v>2126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2">
        <f>+L2351*O2351</f>
        <v>1648.8</v>
      </c>
      <c r="S2351" s="72">
        <v>0</v>
      </c>
      <c r="T2351" s="72">
        <f>+L2351*S2351</f>
        <v>0</v>
      </c>
      <c r="U2351" s="72">
        <f>+R2351-T2351</f>
        <v>1648.8</v>
      </c>
      <c r="V2351" s="72">
        <f t="shared" si="190"/>
        <v>0</v>
      </c>
      <c r="W2351" s="72">
        <f>+U2351-V2351</f>
        <v>1648.8</v>
      </c>
      <c r="X2351" s="72">
        <v>0</v>
      </c>
      <c r="Y2351" s="14">
        <f t="shared" si="163"/>
        <v>0</v>
      </c>
      <c r="Z2351" s="11" t="s">
        <v>26</v>
      </c>
      <c r="AA2351" s="12" t="s">
        <v>31</v>
      </c>
    </row>
    <row r="2352" spans="1:27" x14ac:dyDescent="0.25">
      <c r="A2352" s="10">
        <v>45692</v>
      </c>
      <c r="B2352" s="71">
        <v>3.7037037037037035E-2</v>
      </c>
      <c r="C2352" s="11" t="s">
        <v>4736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4439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2">
        <f>L2352*O2352</f>
        <v>3577.3</v>
      </c>
      <c r="S2352" s="72">
        <v>38</v>
      </c>
      <c r="T2352" s="72">
        <f>L2352*S2352</f>
        <v>1637.8</v>
      </c>
      <c r="U2352" s="72">
        <f>R2352-T2352</f>
        <v>1939.5000000000002</v>
      </c>
      <c r="V2352" s="72">
        <f>U2352*1</f>
        <v>1939.5000000000002</v>
      </c>
      <c r="W2352" s="72">
        <f>U2352-V2352</f>
        <v>0</v>
      </c>
      <c r="X2352" s="72">
        <f>L2352*37</f>
        <v>1594.7</v>
      </c>
      <c r="Y2352" s="73">
        <f>+T2352-X2352</f>
        <v>43.099999999999909</v>
      </c>
      <c r="Z2352" s="12" t="s">
        <v>41</v>
      </c>
      <c r="AA2352" s="12" t="s">
        <v>78</v>
      </c>
    </row>
    <row r="2353" spans="1:27" x14ac:dyDescent="0.25">
      <c r="A2353" s="10">
        <v>45692</v>
      </c>
      <c r="B2353" s="71">
        <v>2.7905092592592551E-2</v>
      </c>
      <c r="C2353" s="11" t="s">
        <v>4737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35</v>
      </c>
      <c r="P2353" s="13"/>
      <c r="Q2353" s="13">
        <v>0</v>
      </c>
      <c r="R2353" s="72">
        <f>+L2353*O2353</f>
        <v>1442.7</v>
      </c>
      <c r="S2353" s="72">
        <v>0</v>
      </c>
      <c r="T2353" s="72">
        <f>+L2353*S2353</f>
        <v>0</v>
      </c>
      <c r="U2353" s="72">
        <f>+R2353-T2353</f>
        <v>1442.7</v>
      </c>
      <c r="V2353" s="72">
        <f t="shared" ref="V2353" si="192">+U2353*0</f>
        <v>0</v>
      </c>
      <c r="W2353" s="72">
        <f>+U2353-V2353</f>
        <v>1442.7</v>
      </c>
      <c r="X2353" s="72">
        <v>0</v>
      </c>
      <c r="Y2353" s="14">
        <f t="shared" ref="Y2353:Y2355" si="193">T2353-X2353</f>
        <v>0</v>
      </c>
      <c r="Z2353" s="11" t="s">
        <v>26</v>
      </c>
      <c r="AA2353" s="12" t="s">
        <v>31</v>
      </c>
    </row>
    <row r="2354" spans="1:27" x14ac:dyDescent="0.25">
      <c r="A2354" s="10">
        <v>45692</v>
      </c>
      <c r="B2354" s="71">
        <v>5.5486111111111125E-2</v>
      </c>
      <c r="C2354" s="11" t="s">
        <v>4738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4440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2">
        <f t="shared" ref="R2354" si="194">+L2354*O2354</f>
        <v>1545.6</v>
      </c>
      <c r="S2354" s="72">
        <v>0</v>
      </c>
      <c r="T2354" s="72">
        <f t="shared" ref="T2354" si="195">+L2354*S2354</f>
        <v>0</v>
      </c>
      <c r="U2354" s="72">
        <f t="shared" ref="U2354" si="196">+R2354-T2354</f>
        <v>1545.6</v>
      </c>
      <c r="V2354" s="72">
        <f>+U2354*1</f>
        <v>1545.6</v>
      </c>
      <c r="W2354" s="72">
        <f t="shared" ref="W2354" si="197">+U2354-V2354</f>
        <v>0</v>
      </c>
      <c r="X2354" s="72">
        <v>0</v>
      </c>
      <c r="Y2354" s="14">
        <f t="shared" si="193"/>
        <v>0</v>
      </c>
      <c r="Z2354" s="11" t="s">
        <v>26</v>
      </c>
      <c r="AA2354" s="12" t="s">
        <v>31</v>
      </c>
    </row>
    <row r="2355" spans="1:27" x14ac:dyDescent="0.25">
      <c r="A2355" s="10">
        <v>45692</v>
      </c>
      <c r="B2355" s="71">
        <v>7.9861111111111938E-3</v>
      </c>
      <c r="C2355" s="11" t="s">
        <v>4739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4465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2">
        <f>+L2355*O2355</f>
        <v>564.9</v>
      </c>
      <c r="S2355" s="72">
        <v>0</v>
      </c>
      <c r="T2355" s="72">
        <f>+L2355*S2355</f>
        <v>0</v>
      </c>
      <c r="U2355" s="72">
        <f>+R2355-T2355</f>
        <v>564.9</v>
      </c>
      <c r="V2355" s="72">
        <f>+U2355*0.75</f>
        <v>423.67499999999995</v>
      </c>
      <c r="W2355" s="72">
        <f>+U2355-V2355</f>
        <v>141.22500000000002</v>
      </c>
      <c r="X2355" s="72">
        <v>0</v>
      </c>
      <c r="Y2355" s="14">
        <f t="shared" si="193"/>
        <v>0</v>
      </c>
      <c r="Z2355" s="11" t="s">
        <v>26</v>
      </c>
      <c r="AA2355" s="12" t="s">
        <v>31</v>
      </c>
    </row>
    <row r="2356" spans="1:27" x14ac:dyDescent="0.25">
      <c r="A2356" s="10">
        <v>45692</v>
      </c>
      <c r="B2356" s="71">
        <v>1.2638888888888866E-2</v>
      </c>
      <c r="C2356" s="11" t="s">
        <v>4740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4439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2">
        <f>L2356*O2356</f>
        <v>3588.7</v>
      </c>
      <c r="S2356" s="72">
        <v>38</v>
      </c>
      <c r="T2356" s="72">
        <f>L2356*S2356</f>
        <v>1604.36</v>
      </c>
      <c r="U2356" s="72">
        <f>R2356-T2356</f>
        <v>1984.34</v>
      </c>
      <c r="V2356" s="72">
        <f>U2356*1</f>
        <v>1984.34</v>
      </c>
      <c r="W2356" s="72">
        <f>U2356-V2356</f>
        <v>0</v>
      </c>
      <c r="X2356" s="72">
        <f>L2356*37</f>
        <v>1562.1399999999999</v>
      </c>
      <c r="Y2356" s="73">
        <f>+T2356-X2356</f>
        <v>42.220000000000027</v>
      </c>
      <c r="Z2356" s="12" t="s">
        <v>41</v>
      </c>
      <c r="AA2356" s="12" t="s">
        <v>78</v>
      </c>
    </row>
    <row r="2357" spans="1:27" x14ac:dyDescent="0.25">
      <c r="A2357" s="10">
        <v>45692</v>
      </c>
      <c r="B2357" s="71">
        <v>1.583333333333331E-2</v>
      </c>
      <c r="C2357" s="11" t="s">
        <v>4741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35</v>
      </c>
      <c r="P2357" s="13"/>
      <c r="Q2357" s="13">
        <v>0</v>
      </c>
      <c r="R2357" s="72">
        <f>+L2357*O2357</f>
        <v>1435.7</v>
      </c>
      <c r="S2357" s="72">
        <v>0</v>
      </c>
      <c r="T2357" s="72">
        <f>+L2357*S2357</f>
        <v>0</v>
      </c>
      <c r="U2357" s="72">
        <f>+R2357-T2357</f>
        <v>1435.7</v>
      </c>
      <c r="V2357" s="72">
        <f t="shared" ref="V2357:V2358" si="198">+U2357*0</f>
        <v>0</v>
      </c>
      <c r="W2357" s="72">
        <f>+U2357-V2357</f>
        <v>1435.7</v>
      </c>
      <c r="X2357" s="72">
        <v>0</v>
      </c>
      <c r="Y2357" s="14">
        <f t="shared" ref="Y2357:Y2380" si="199">T2357-X2357</f>
        <v>0</v>
      </c>
      <c r="Z2357" s="11" t="s">
        <v>26</v>
      </c>
      <c r="AA2357" s="12" t="s">
        <v>31</v>
      </c>
    </row>
    <row r="2358" spans="1:27" x14ac:dyDescent="0.25">
      <c r="A2358" s="10">
        <v>45692</v>
      </c>
      <c r="B2358" s="71">
        <v>2.7476851851851836E-2</v>
      </c>
      <c r="C2358" s="11" t="s">
        <v>4742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2">
        <f>+L2358*O2358</f>
        <v>1596</v>
      </c>
      <c r="S2358" s="72">
        <v>0</v>
      </c>
      <c r="T2358" s="72">
        <f>+L2358*S2358</f>
        <v>0</v>
      </c>
      <c r="U2358" s="72">
        <f>+R2358-T2358</f>
        <v>1596</v>
      </c>
      <c r="V2358" s="72">
        <f t="shared" si="198"/>
        <v>0</v>
      </c>
      <c r="W2358" s="72">
        <f>+U2358-V2358</f>
        <v>1596</v>
      </c>
      <c r="X2358" s="72">
        <v>0</v>
      </c>
      <c r="Y2358" s="14">
        <f t="shared" si="199"/>
        <v>0</v>
      </c>
      <c r="Z2358" s="11" t="s">
        <v>26</v>
      </c>
      <c r="AA2358" s="12" t="s">
        <v>31</v>
      </c>
    </row>
    <row r="2359" spans="1:27" x14ac:dyDescent="0.25">
      <c r="A2359" s="10">
        <v>45692</v>
      </c>
      <c r="B2359" s="71">
        <v>0.11262731481481481</v>
      </c>
      <c r="C2359" s="11" t="s">
        <v>4743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2">
        <f>M2359*P2359</f>
        <v>1500</v>
      </c>
      <c r="S2359" s="72">
        <v>0</v>
      </c>
      <c r="T2359" s="72">
        <f>M2359*S2359</f>
        <v>0</v>
      </c>
      <c r="U2359" s="72">
        <f>R2359-T2359</f>
        <v>1500</v>
      </c>
      <c r="V2359" s="72">
        <f>U2359*0</f>
        <v>0</v>
      </c>
      <c r="W2359" s="72">
        <f>U2359-V2359</f>
        <v>1500</v>
      </c>
      <c r="X2359" s="72">
        <v>0</v>
      </c>
      <c r="Y2359" s="14">
        <f t="shared" si="199"/>
        <v>0</v>
      </c>
      <c r="Z2359" s="11" t="s">
        <v>26</v>
      </c>
      <c r="AA2359" s="12" t="s">
        <v>31</v>
      </c>
    </row>
    <row r="2360" spans="1:27" x14ac:dyDescent="0.25">
      <c r="A2360" s="10">
        <v>45692</v>
      </c>
      <c r="B2360" s="71">
        <v>1.0497685185185179E-2</v>
      </c>
      <c r="C2360" s="11" t="s">
        <v>4744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4465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2">
        <f>+L2360*O2360</f>
        <v>1845.3500000000001</v>
      </c>
      <c r="S2360" s="72">
        <v>0</v>
      </c>
      <c r="T2360" s="72">
        <f>+L2360*S2360</f>
        <v>0</v>
      </c>
      <c r="U2360" s="72">
        <f>+R2360-T2360</f>
        <v>1845.3500000000001</v>
      </c>
      <c r="V2360" s="72">
        <f>+U2360*0.75</f>
        <v>1384.0125</v>
      </c>
      <c r="W2360" s="72">
        <f>+U2360-V2360</f>
        <v>461.33750000000009</v>
      </c>
      <c r="X2360" s="72">
        <v>0</v>
      </c>
      <c r="Y2360" s="14">
        <f t="shared" si="199"/>
        <v>0</v>
      </c>
      <c r="Z2360" s="11" t="s">
        <v>26</v>
      </c>
      <c r="AA2360" s="12" t="s">
        <v>31</v>
      </c>
    </row>
    <row r="2361" spans="1:27" x14ac:dyDescent="0.25">
      <c r="A2361" s="10">
        <v>45692</v>
      </c>
      <c r="B2361" s="71">
        <v>8.4490740740740256E-3</v>
      </c>
      <c r="C2361" s="11" t="s">
        <v>4745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4465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2">
        <f>+L2361*O2361</f>
        <v>551.70000000000005</v>
      </c>
      <c r="S2361" s="72">
        <v>0</v>
      </c>
      <c r="T2361" s="72">
        <f>+L2361*S2361</f>
        <v>0</v>
      </c>
      <c r="U2361" s="72">
        <f>+R2361-T2361</f>
        <v>551.70000000000005</v>
      </c>
      <c r="V2361" s="72">
        <f>+U2361*0.75</f>
        <v>413.77500000000003</v>
      </c>
      <c r="W2361" s="72">
        <f>+U2361-V2361</f>
        <v>137.92500000000001</v>
      </c>
      <c r="X2361" s="72">
        <v>0</v>
      </c>
      <c r="Y2361" s="14">
        <f t="shared" si="199"/>
        <v>0</v>
      </c>
      <c r="Z2361" s="11" t="s">
        <v>26</v>
      </c>
      <c r="AA2361" s="12" t="s">
        <v>31</v>
      </c>
    </row>
    <row r="2362" spans="1:27" x14ac:dyDescent="0.25">
      <c r="A2362" s="10">
        <v>45692</v>
      </c>
      <c r="B2362" s="71">
        <v>8.9120370370370239E-3</v>
      </c>
      <c r="C2362" s="11" t="s">
        <v>4746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4465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2">
        <f>+L2362*O2362</f>
        <v>1853.85</v>
      </c>
      <c r="S2362" s="72">
        <v>0</v>
      </c>
      <c r="T2362" s="72">
        <f>+L2362*S2362</f>
        <v>0</v>
      </c>
      <c r="U2362" s="72">
        <f>+R2362-T2362</f>
        <v>1853.85</v>
      </c>
      <c r="V2362" s="72">
        <f>+U2362*0.75</f>
        <v>1390.3874999999998</v>
      </c>
      <c r="W2362" s="72">
        <f>+U2362-V2362</f>
        <v>463.46250000000009</v>
      </c>
      <c r="X2362" s="72">
        <v>0</v>
      </c>
      <c r="Y2362" s="14">
        <f t="shared" si="199"/>
        <v>0</v>
      </c>
      <c r="Z2362" s="11" t="s">
        <v>26</v>
      </c>
      <c r="AA2362" s="12" t="s">
        <v>31</v>
      </c>
    </row>
    <row r="2363" spans="1:27" x14ac:dyDescent="0.25">
      <c r="A2363" s="10">
        <v>45692</v>
      </c>
      <c r="B2363" s="71">
        <v>5.1273148148148207E-3</v>
      </c>
      <c r="C2363" s="11" t="s">
        <v>4747</v>
      </c>
      <c r="D2363" s="11">
        <v>16893</v>
      </c>
      <c r="E2363" s="11" t="s">
        <v>3955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2">
        <f>(L2363*O2363)-Q2363</f>
        <v>212</v>
      </c>
      <c r="S2363" s="72">
        <v>0</v>
      </c>
      <c r="T2363" s="72">
        <f t="shared" ref="T2363:T2366" si="200">+L2363*S2363</f>
        <v>0</v>
      </c>
      <c r="U2363" s="72">
        <f t="shared" ref="U2363:U2366" si="201">+R2363-T2363</f>
        <v>212</v>
      </c>
      <c r="V2363" s="72">
        <f t="shared" ref="V2363" si="202">+U2363*0</f>
        <v>0</v>
      </c>
      <c r="W2363" s="72">
        <f t="shared" ref="W2363:W2366" si="203">+U2363-V2363</f>
        <v>212</v>
      </c>
      <c r="X2363" s="72">
        <v>0</v>
      </c>
      <c r="Y2363" s="14">
        <f t="shared" si="199"/>
        <v>0</v>
      </c>
      <c r="Z2363" s="11" t="s">
        <v>26</v>
      </c>
      <c r="AA2363" s="12" t="s">
        <v>31</v>
      </c>
    </row>
    <row r="2364" spans="1:27" x14ac:dyDescent="0.25">
      <c r="A2364" s="10">
        <v>45692</v>
      </c>
      <c r="B2364" s="71">
        <v>4.9351851851851869E-2</v>
      </c>
      <c r="C2364" s="11" t="s">
        <v>4748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4440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2">
        <f t="shared" ref="R2364:R2365" si="204">+L2364*O2364</f>
        <v>1525.44</v>
      </c>
      <c r="S2364" s="72">
        <v>0</v>
      </c>
      <c r="T2364" s="72">
        <f t="shared" si="200"/>
        <v>0</v>
      </c>
      <c r="U2364" s="72">
        <f t="shared" si="201"/>
        <v>1525.44</v>
      </c>
      <c r="V2364" s="72">
        <f>+U2364*1</f>
        <v>1525.44</v>
      </c>
      <c r="W2364" s="72">
        <f t="shared" si="203"/>
        <v>0</v>
      </c>
      <c r="X2364" s="72">
        <v>0</v>
      </c>
      <c r="Y2364" s="14">
        <f t="shared" si="199"/>
        <v>0</v>
      </c>
      <c r="Z2364" s="11" t="s">
        <v>26</v>
      </c>
      <c r="AA2364" s="12" t="s">
        <v>31</v>
      </c>
    </row>
    <row r="2365" spans="1:27" x14ac:dyDescent="0.25">
      <c r="A2365" s="10">
        <v>45692</v>
      </c>
      <c r="B2365" s="71">
        <v>8.7037037037037135E-3</v>
      </c>
      <c r="C2365" s="11" t="s">
        <v>4749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4440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2">
        <f t="shared" si="204"/>
        <v>1534.68</v>
      </c>
      <c r="S2365" s="72">
        <v>0</v>
      </c>
      <c r="T2365" s="72">
        <f t="shared" si="200"/>
        <v>0</v>
      </c>
      <c r="U2365" s="72">
        <f t="shared" si="201"/>
        <v>1534.68</v>
      </c>
      <c r="V2365" s="72">
        <f>+U2365*1</f>
        <v>1534.68</v>
      </c>
      <c r="W2365" s="72">
        <f t="shared" si="203"/>
        <v>0</v>
      </c>
      <c r="X2365" s="72">
        <v>0</v>
      </c>
      <c r="Y2365" s="14">
        <f t="shared" si="199"/>
        <v>0</v>
      </c>
      <c r="Z2365" s="11" t="s">
        <v>26</v>
      </c>
      <c r="AA2365" s="12" t="s">
        <v>31</v>
      </c>
    </row>
    <row r="2366" spans="1:27" x14ac:dyDescent="0.25">
      <c r="A2366" s="10">
        <v>45692</v>
      </c>
      <c r="B2366" s="71">
        <v>3.1250000000000444E-3</v>
      </c>
      <c r="C2366" s="11" t="s">
        <v>4750</v>
      </c>
      <c r="D2366" s="11">
        <v>16896</v>
      </c>
      <c r="E2366" s="11" t="s">
        <v>3955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2">
        <f>(L2366*O2366)-Q2366</f>
        <v>210.39999999999998</v>
      </c>
      <c r="S2366" s="72">
        <v>0</v>
      </c>
      <c r="T2366" s="72">
        <f t="shared" si="200"/>
        <v>0</v>
      </c>
      <c r="U2366" s="72">
        <f t="shared" si="201"/>
        <v>210.39999999999998</v>
      </c>
      <c r="V2366" s="72">
        <f t="shared" ref="V2366" si="205">+U2366*0</f>
        <v>0</v>
      </c>
      <c r="W2366" s="72">
        <f t="shared" si="203"/>
        <v>210.39999999999998</v>
      </c>
      <c r="X2366" s="72">
        <v>0</v>
      </c>
      <c r="Y2366" s="14">
        <f t="shared" si="199"/>
        <v>0</v>
      </c>
      <c r="Z2366" s="11" t="s">
        <v>26</v>
      </c>
      <c r="AA2366" s="12" t="s">
        <v>31</v>
      </c>
    </row>
    <row r="2367" spans="1:27" x14ac:dyDescent="0.25">
      <c r="A2367" s="10">
        <v>45692</v>
      </c>
      <c r="B2367" s="71">
        <v>6.7361111111111094E-3</v>
      </c>
      <c r="C2367" s="11" t="s">
        <v>4751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4466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2">
        <f>L2367*O2367</f>
        <v>557.1</v>
      </c>
      <c r="S2367" s="72">
        <v>0</v>
      </c>
      <c r="T2367" s="72">
        <f>L2367*S2367</f>
        <v>0</v>
      </c>
      <c r="U2367" s="72">
        <f>R2367-T2367</f>
        <v>557.1</v>
      </c>
      <c r="V2367" s="72">
        <f>U2367*0</f>
        <v>0</v>
      </c>
      <c r="W2367" s="72">
        <f>U2367-V2367</f>
        <v>557.1</v>
      </c>
      <c r="X2367" s="72">
        <v>0</v>
      </c>
      <c r="Y2367" s="14">
        <f t="shared" si="199"/>
        <v>0</v>
      </c>
      <c r="Z2367" s="11" t="s">
        <v>26</v>
      </c>
      <c r="AA2367" s="12" t="s">
        <v>31</v>
      </c>
    </row>
    <row r="2368" spans="1:27" x14ac:dyDescent="0.25">
      <c r="A2368" s="10">
        <v>45692</v>
      </c>
      <c r="B2368" s="71">
        <v>9.3750000000000222E-3</v>
      </c>
      <c r="C2368" s="11" t="s">
        <v>4752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4465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2">
        <f>+L2368*O2368</f>
        <v>561.30000000000007</v>
      </c>
      <c r="S2368" s="72">
        <v>0</v>
      </c>
      <c r="T2368" s="72">
        <f>+L2368*S2368</f>
        <v>0</v>
      </c>
      <c r="U2368" s="72">
        <f>+R2368-T2368</f>
        <v>561.30000000000007</v>
      </c>
      <c r="V2368" s="72">
        <f>+U2368*0.75</f>
        <v>420.97500000000002</v>
      </c>
      <c r="W2368" s="72">
        <f>+U2368-V2368</f>
        <v>140.32500000000005</v>
      </c>
      <c r="X2368" s="72">
        <v>0</v>
      </c>
      <c r="Y2368" s="14">
        <f t="shared" si="199"/>
        <v>0</v>
      </c>
      <c r="Z2368" s="11" t="s">
        <v>26</v>
      </c>
      <c r="AA2368" s="12" t="s">
        <v>31</v>
      </c>
    </row>
    <row r="2369" spans="1:27" x14ac:dyDescent="0.25">
      <c r="A2369" s="10">
        <v>45692</v>
      </c>
      <c r="B2369" s="71">
        <v>0.11410879629629628</v>
      </c>
      <c r="C2369" s="11" t="s">
        <v>4753</v>
      </c>
      <c r="D2369" s="11">
        <v>16899</v>
      </c>
      <c r="E2369" s="11" t="s">
        <v>1217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2">
        <f>M2369*P2369</f>
        <v>1600</v>
      </c>
      <c r="S2369" s="72">
        <v>0</v>
      </c>
      <c r="T2369" s="72">
        <f>M2369*S2369</f>
        <v>0</v>
      </c>
      <c r="U2369" s="72">
        <f>R2369-T2369</f>
        <v>1600</v>
      </c>
      <c r="V2369" s="72">
        <f>U2369*0</f>
        <v>0</v>
      </c>
      <c r="W2369" s="72">
        <f>U2369-V2369</f>
        <v>1600</v>
      </c>
      <c r="X2369" s="72">
        <v>0</v>
      </c>
      <c r="Y2369" s="14">
        <f t="shared" si="199"/>
        <v>0</v>
      </c>
      <c r="Z2369" s="11" t="s">
        <v>26</v>
      </c>
      <c r="AA2369" s="12" t="s">
        <v>31</v>
      </c>
    </row>
    <row r="2370" spans="1:27" x14ac:dyDescent="0.25">
      <c r="A2370" s="10">
        <v>45692</v>
      </c>
      <c r="B2370" s="71">
        <v>1.1944444444444424E-2</v>
      </c>
      <c r="C2370" s="11" t="s">
        <v>4754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2">
        <f>(L2370*O2370)-Q2370</f>
        <v>603.20000000000005</v>
      </c>
      <c r="S2370" s="72">
        <v>0</v>
      </c>
      <c r="T2370" s="72">
        <f t="shared" ref="T2370" si="206">+L2370*S2370</f>
        <v>0</v>
      </c>
      <c r="U2370" s="72">
        <f t="shared" ref="U2370" si="207">+R2370-T2370</f>
        <v>603.20000000000005</v>
      </c>
      <c r="V2370" s="72">
        <f t="shared" ref="V2370" si="208">+U2370*0</f>
        <v>0</v>
      </c>
      <c r="W2370" s="72">
        <f t="shared" ref="W2370" si="209">+U2370-V2370</f>
        <v>603.20000000000005</v>
      </c>
      <c r="X2370" s="72">
        <v>0</v>
      </c>
      <c r="Y2370" s="14">
        <f t="shared" si="199"/>
        <v>0</v>
      </c>
      <c r="Z2370" s="11" t="s">
        <v>26</v>
      </c>
      <c r="AA2370" s="12" t="s">
        <v>31</v>
      </c>
    </row>
    <row r="2371" spans="1:27" x14ac:dyDescent="0.25">
      <c r="A2371" s="10">
        <v>45692</v>
      </c>
      <c r="B2371" s="71">
        <v>7.9097222222222263E-2</v>
      </c>
      <c r="C2371" s="11" t="s">
        <v>4755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2">
        <f>M2371*P2371</f>
        <v>600</v>
      </c>
      <c r="S2371" s="72">
        <v>0</v>
      </c>
      <c r="T2371" s="72">
        <f>M2371*S2371</f>
        <v>0</v>
      </c>
      <c r="U2371" s="72">
        <f>R2371-T2371</f>
        <v>600</v>
      </c>
      <c r="V2371" s="72">
        <f>U2371*0</f>
        <v>0</v>
      </c>
      <c r="W2371" s="72">
        <f>+U2371-V2371</f>
        <v>600</v>
      </c>
      <c r="X2371" s="72">
        <v>0</v>
      </c>
      <c r="Y2371" s="14">
        <f t="shared" si="199"/>
        <v>0</v>
      </c>
      <c r="Z2371" s="11" t="s">
        <v>26</v>
      </c>
      <c r="AA2371" s="12" t="s">
        <v>31</v>
      </c>
    </row>
    <row r="2372" spans="1:27" x14ac:dyDescent="0.25">
      <c r="A2372" s="10">
        <v>45692</v>
      </c>
      <c r="B2372" s="71">
        <v>8.3437500000000053E-2</v>
      </c>
      <c r="C2372" s="11" t="s">
        <v>4756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2">
        <f>M2372*P2372</f>
        <v>600</v>
      </c>
      <c r="S2372" s="72">
        <v>0</v>
      </c>
      <c r="T2372" s="72">
        <f>M2372*S2372</f>
        <v>0</v>
      </c>
      <c r="U2372" s="72">
        <f>R2372-T2372</f>
        <v>600</v>
      </c>
      <c r="V2372" s="72">
        <f>U2372*0</f>
        <v>0</v>
      </c>
      <c r="W2372" s="72">
        <f>+U2372-V2372</f>
        <v>600</v>
      </c>
      <c r="X2372" s="72">
        <v>0</v>
      </c>
      <c r="Y2372" s="14">
        <f t="shared" si="199"/>
        <v>0</v>
      </c>
      <c r="Z2372" s="11" t="s">
        <v>26</v>
      </c>
      <c r="AA2372" s="12" t="s">
        <v>31</v>
      </c>
    </row>
    <row r="2373" spans="1:27" x14ac:dyDescent="0.25">
      <c r="A2373" s="10">
        <v>45692</v>
      </c>
      <c r="B2373" s="71">
        <v>2.7627314814814785E-2</v>
      </c>
      <c r="C2373" s="11" t="s">
        <v>4757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2">
        <f>+M2373*P2373</f>
        <v>600</v>
      </c>
      <c r="S2373" s="72">
        <v>0</v>
      </c>
      <c r="T2373" s="72">
        <f>+M2373*S2373</f>
        <v>0</v>
      </c>
      <c r="U2373" s="72">
        <f t="shared" ref="U2373:U2374" si="210">+R2373-T2373</f>
        <v>600</v>
      </c>
      <c r="V2373" s="72">
        <f>+U2373*0</f>
        <v>0</v>
      </c>
      <c r="W2373" s="72">
        <f t="shared" ref="W2373:W2374" si="211">+U2373-V2373</f>
        <v>600</v>
      </c>
      <c r="X2373" s="72">
        <v>0</v>
      </c>
      <c r="Y2373" s="14">
        <f t="shared" si="199"/>
        <v>0</v>
      </c>
      <c r="Z2373" s="11" t="s">
        <v>26</v>
      </c>
      <c r="AA2373" s="12" t="s">
        <v>31</v>
      </c>
    </row>
    <row r="2374" spans="1:27" x14ac:dyDescent="0.25">
      <c r="A2374" s="10">
        <v>45692</v>
      </c>
      <c r="B2374" s="71">
        <v>1.1342592592592626E-2</v>
      </c>
      <c r="C2374" s="11" t="s">
        <v>4758</v>
      </c>
      <c r="D2374" s="11">
        <v>16904</v>
      </c>
      <c r="E2374" s="11" t="s">
        <v>3955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2">
        <f>(L2374*O2374)-Q2374</f>
        <v>204.4</v>
      </c>
      <c r="S2374" s="72">
        <v>0</v>
      </c>
      <c r="T2374" s="72">
        <f t="shared" ref="T2374" si="212">+L2374*S2374</f>
        <v>0</v>
      </c>
      <c r="U2374" s="72">
        <f t="shared" si="210"/>
        <v>204.4</v>
      </c>
      <c r="V2374" s="72">
        <f t="shared" ref="V2374" si="213">+U2374*0</f>
        <v>0</v>
      </c>
      <c r="W2374" s="72">
        <f t="shared" si="211"/>
        <v>204.4</v>
      </c>
      <c r="X2374" s="72">
        <v>0</v>
      </c>
      <c r="Y2374" s="14">
        <f t="shared" si="199"/>
        <v>0</v>
      </c>
      <c r="Z2374" s="11" t="s">
        <v>26</v>
      </c>
      <c r="AA2374" s="12" t="s">
        <v>31</v>
      </c>
    </row>
    <row r="2375" spans="1:27" x14ac:dyDescent="0.25">
      <c r="A2375" s="10">
        <v>45692</v>
      </c>
      <c r="B2375" s="71">
        <v>1.5231481481481512E-2</v>
      </c>
      <c r="C2375" s="11" t="s">
        <v>4759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4465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2">
        <f>+L2375*O2375</f>
        <v>549.29999999999995</v>
      </c>
      <c r="S2375" s="72">
        <v>0</v>
      </c>
      <c r="T2375" s="72">
        <f>+L2375*S2375</f>
        <v>0</v>
      </c>
      <c r="U2375" s="72">
        <f>+R2375-T2375</f>
        <v>549.29999999999995</v>
      </c>
      <c r="V2375" s="72">
        <f>+U2375*0.75</f>
        <v>411.97499999999997</v>
      </c>
      <c r="W2375" s="72">
        <f>+U2375-V2375</f>
        <v>137.32499999999999</v>
      </c>
      <c r="X2375" s="72">
        <v>0</v>
      </c>
      <c r="Y2375" s="14">
        <f t="shared" si="199"/>
        <v>0</v>
      </c>
      <c r="Z2375" s="11" t="s">
        <v>26</v>
      </c>
      <c r="AA2375" s="12" t="s">
        <v>31</v>
      </c>
    </row>
    <row r="2376" spans="1:27" x14ac:dyDescent="0.25">
      <c r="A2376" s="10">
        <v>45692</v>
      </c>
      <c r="B2376" s="71">
        <v>1.1863425925925875E-2</v>
      </c>
      <c r="C2376" s="11" t="s">
        <v>4760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2">
        <f>+M2376*P2376</f>
        <v>600</v>
      </c>
      <c r="S2376" s="72">
        <v>0</v>
      </c>
      <c r="T2376" s="72">
        <f>+M2376*S2376</f>
        <v>0</v>
      </c>
      <c r="U2376" s="72">
        <f t="shared" ref="U2376" si="214">+R2376-T2376</f>
        <v>600</v>
      </c>
      <c r="V2376" s="72">
        <f>+U2376*0</f>
        <v>0</v>
      </c>
      <c r="W2376" s="72">
        <f t="shared" ref="W2376" si="215">+U2376-V2376</f>
        <v>600</v>
      </c>
      <c r="X2376" s="72">
        <v>0</v>
      </c>
      <c r="Y2376" s="14">
        <f t="shared" si="199"/>
        <v>0</v>
      </c>
      <c r="Z2376" s="11" t="s">
        <v>26</v>
      </c>
      <c r="AA2376" s="12" t="s">
        <v>31</v>
      </c>
    </row>
    <row r="2377" spans="1:27" x14ac:dyDescent="0.25">
      <c r="A2377" s="10">
        <v>45692</v>
      </c>
      <c r="B2377" s="71">
        <v>3.1307870370370416E-2</v>
      </c>
      <c r="C2377" s="11" t="s">
        <v>4761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35</v>
      </c>
      <c r="P2377" s="13"/>
      <c r="Q2377" s="13">
        <v>0</v>
      </c>
      <c r="R2377" s="72">
        <f>+L2377*O2377</f>
        <v>1380.3999999999999</v>
      </c>
      <c r="S2377" s="72">
        <v>0</v>
      </c>
      <c r="T2377" s="72">
        <f>+L2377*S2377</f>
        <v>0</v>
      </c>
      <c r="U2377" s="72">
        <f>+R2377-T2377</f>
        <v>1380.3999999999999</v>
      </c>
      <c r="V2377" s="72">
        <f t="shared" ref="V2377:V2380" si="216">+U2377*0</f>
        <v>0</v>
      </c>
      <c r="W2377" s="72">
        <f>+U2377-V2377</f>
        <v>1380.3999999999999</v>
      </c>
      <c r="X2377" s="72">
        <v>0</v>
      </c>
      <c r="Y2377" s="14">
        <f t="shared" si="199"/>
        <v>0</v>
      </c>
      <c r="Z2377" s="11" t="s">
        <v>26</v>
      </c>
      <c r="AA2377" s="12" t="s">
        <v>31</v>
      </c>
    </row>
    <row r="2378" spans="1:27" x14ac:dyDescent="0.25">
      <c r="A2378" s="10">
        <v>45692</v>
      </c>
      <c r="B2378" s="71">
        <v>3.5995370370370372E-2</v>
      </c>
      <c r="C2378" s="11" t="s">
        <v>4762</v>
      </c>
      <c r="D2378" s="11">
        <v>16908</v>
      </c>
      <c r="E2378" s="11" t="s">
        <v>2126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35</v>
      </c>
      <c r="P2378" s="13"/>
      <c r="Q2378" s="13">
        <v>0</v>
      </c>
      <c r="R2378" s="72">
        <f>+L2378*O2378</f>
        <v>1422.4</v>
      </c>
      <c r="S2378" s="72">
        <v>0</v>
      </c>
      <c r="T2378" s="72">
        <f>+L2378*S2378</f>
        <v>0</v>
      </c>
      <c r="U2378" s="72">
        <f>+R2378-T2378</f>
        <v>1422.4</v>
      </c>
      <c r="V2378" s="72">
        <f t="shared" si="216"/>
        <v>0</v>
      </c>
      <c r="W2378" s="72">
        <f>+U2378-V2378</f>
        <v>1422.4</v>
      </c>
      <c r="X2378" s="72">
        <v>0</v>
      </c>
      <c r="Y2378" s="14">
        <f t="shared" si="199"/>
        <v>0</v>
      </c>
      <c r="Z2378" s="11" t="s">
        <v>26</v>
      </c>
      <c r="AA2378" s="12" t="s">
        <v>31</v>
      </c>
    </row>
    <row r="2379" spans="1:27" x14ac:dyDescent="0.25">
      <c r="A2379" s="10">
        <v>45692</v>
      </c>
      <c r="B2379" s="71">
        <v>2.5115740740740744E-2</v>
      </c>
      <c r="C2379" s="11" t="s">
        <v>4763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35</v>
      </c>
      <c r="P2379" s="13"/>
      <c r="Q2379" s="13">
        <v>0</v>
      </c>
      <c r="R2379" s="72">
        <f>+L2379*O2379</f>
        <v>1402.1000000000001</v>
      </c>
      <c r="S2379" s="72">
        <v>0</v>
      </c>
      <c r="T2379" s="72">
        <f>+L2379*S2379</f>
        <v>0</v>
      </c>
      <c r="U2379" s="72">
        <f>+R2379-T2379</f>
        <v>1402.1000000000001</v>
      </c>
      <c r="V2379" s="72">
        <f t="shared" si="216"/>
        <v>0</v>
      </c>
      <c r="W2379" s="72">
        <f>+U2379-V2379</f>
        <v>1402.1000000000001</v>
      </c>
      <c r="X2379" s="72">
        <v>0</v>
      </c>
      <c r="Y2379" s="14">
        <f t="shared" si="199"/>
        <v>0</v>
      </c>
      <c r="Z2379" s="11" t="s">
        <v>26</v>
      </c>
      <c r="AA2379" s="12" t="s">
        <v>31</v>
      </c>
    </row>
    <row r="2380" spans="1:27" x14ac:dyDescent="0.25">
      <c r="A2380" s="10">
        <v>45692</v>
      </c>
      <c r="B2380" s="71">
        <v>1.2071759259259296E-2</v>
      </c>
      <c r="C2380" s="11" t="s">
        <v>4764</v>
      </c>
      <c r="D2380" s="11">
        <v>16910</v>
      </c>
      <c r="E2380" s="11" t="s">
        <v>3955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2">
        <f>(L2380*O2380)-Q2380</f>
        <v>237.60000000000002</v>
      </c>
      <c r="S2380" s="72">
        <v>0</v>
      </c>
      <c r="T2380" s="72">
        <f t="shared" ref="T2380" si="217">+L2380*S2380</f>
        <v>0</v>
      </c>
      <c r="U2380" s="72">
        <f t="shared" ref="U2380" si="218">+R2380-T2380</f>
        <v>237.60000000000002</v>
      </c>
      <c r="V2380" s="72">
        <f t="shared" si="216"/>
        <v>0</v>
      </c>
      <c r="W2380" s="72">
        <f t="shared" ref="W2380" si="219">+U2380-V2380</f>
        <v>237.60000000000002</v>
      </c>
      <c r="X2380" s="72">
        <v>0</v>
      </c>
      <c r="Y2380" s="14">
        <f t="shared" si="199"/>
        <v>0</v>
      </c>
      <c r="Z2380" s="11" t="s">
        <v>26</v>
      </c>
      <c r="AA2380" s="12" t="s">
        <v>31</v>
      </c>
    </row>
    <row r="2381" spans="1:27" x14ac:dyDescent="0.25">
      <c r="A2381" s="10">
        <v>45692</v>
      </c>
      <c r="B2381" s="71">
        <v>2.8368055555555494E-2</v>
      </c>
      <c r="C2381" s="11" t="s">
        <v>4765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4439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2">
        <f>L2381*O2381</f>
        <v>3341.58</v>
      </c>
      <c r="S2381" s="72">
        <v>38</v>
      </c>
      <c r="T2381" s="72">
        <f>L2381*S2381</f>
        <v>1529.8799999999999</v>
      </c>
      <c r="U2381" s="72">
        <f>R2381-T2381</f>
        <v>1811.7</v>
      </c>
      <c r="V2381" s="72">
        <f>U2381*1</f>
        <v>1811.7</v>
      </c>
      <c r="W2381" s="72">
        <f>U2381-V2381</f>
        <v>0</v>
      </c>
      <c r="X2381" s="72">
        <f>L2381*37</f>
        <v>1489.62</v>
      </c>
      <c r="Y2381" s="73">
        <f>+T2381-X2381</f>
        <v>40.259999999999991</v>
      </c>
      <c r="Z2381" s="12" t="s">
        <v>41</v>
      </c>
      <c r="AA2381" s="12" t="s">
        <v>78</v>
      </c>
    </row>
    <row r="2382" spans="1:27" x14ac:dyDescent="0.25">
      <c r="A2382" s="10">
        <v>45692</v>
      </c>
      <c r="B2382" s="71">
        <v>2.8634259259259276E-2</v>
      </c>
      <c r="C2382" s="11" t="s">
        <v>4766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2">
        <f>+M2382*P2382</f>
        <v>600</v>
      </c>
      <c r="S2382" s="72">
        <v>0</v>
      </c>
      <c r="T2382" s="72">
        <f>+M2382*S2382</f>
        <v>0</v>
      </c>
      <c r="U2382" s="72">
        <f t="shared" ref="U2382" si="220">+R2382-T2382</f>
        <v>600</v>
      </c>
      <c r="V2382" s="72">
        <f>+U2382*0</f>
        <v>0</v>
      </c>
      <c r="W2382" s="72">
        <f t="shared" ref="W2382" si="221">+U2382-V2382</f>
        <v>600</v>
      </c>
      <c r="X2382" s="72">
        <v>0</v>
      </c>
      <c r="Y2382" s="14">
        <f t="shared" ref="Y2382:Y2393" si="222">T2382-X2382</f>
        <v>0</v>
      </c>
      <c r="Z2382" s="11" t="s">
        <v>26</v>
      </c>
      <c r="AA2382" s="12" t="s">
        <v>31</v>
      </c>
    </row>
    <row r="2383" spans="1:27" x14ac:dyDescent="0.25">
      <c r="A2383" s="10">
        <v>45692</v>
      </c>
      <c r="B2383" s="71">
        <v>2.9525462962963045E-2</v>
      </c>
      <c r="C2383" s="11" t="s">
        <v>4767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2">
        <f>L2383*O2383</f>
        <v>507.9</v>
      </c>
      <c r="S2383" s="72">
        <v>0</v>
      </c>
      <c r="T2383" s="72">
        <f>L2383*S2383</f>
        <v>0</v>
      </c>
      <c r="U2383" s="72">
        <f>R2383-T2383</f>
        <v>507.9</v>
      </c>
      <c r="V2383" s="72">
        <f>U2383*0</f>
        <v>0</v>
      </c>
      <c r="W2383" s="72">
        <f>U2383-V2383</f>
        <v>507.9</v>
      </c>
      <c r="X2383" s="72">
        <v>0</v>
      </c>
      <c r="Y2383" s="14">
        <f t="shared" si="222"/>
        <v>0</v>
      </c>
      <c r="Z2383" s="11" t="s">
        <v>26</v>
      </c>
      <c r="AA2383" s="12" t="s">
        <v>31</v>
      </c>
    </row>
    <row r="2384" spans="1:27" x14ac:dyDescent="0.25">
      <c r="A2384" s="10">
        <v>45692</v>
      </c>
      <c r="B2384" s="71">
        <v>1.2094907407407374E-2</v>
      </c>
      <c r="C2384" s="11" t="s">
        <v>4768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4465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2">
        <f>+L2384*O2384</f>
        <v>1700.8500000000001</v>
      </c>
      <c r="S2384" s="72">
        <v>0</v>
      </c>
      <c r="T2384" s="72">
        <f>+L2384*S2384</f>
        <v>0</v>
      </c>
      <c r="U2384" s="72">
        <f>+R2384-T2384</f>
        <v>1700.8500000000001</v>
      </c>
      <c r="V2384" s="72">
        <f>+U2384*0.75</f>
        <v>1275.6375</v>
      </c>
      <c r="W2384" s="72">
        <f>+U2384-V2384</f>
        <v>425.21250000000009</v>
      </c>
      <c r="X2384" s="72">
        <v>0</v>
      </c>
      <c r="Y2384" s="14">
        <f t="shared" si="222"/>
        <v>0</v>
      </c>
      <c r="Z2384" s="11" t="s">
        <v>26</v>
      </c>
      <c r="AA2384" s="12" t="s">
        <v>31</v>
      </c>
    </row>
    <row r="2385" spans="1:27" x14ac:dyDescent="0.25">
      <c r="A2385" s="10">
        <v>45692</v>
      </c>
      <c r="B2385" s="71">
        <v>8.3148148148148249E-2</v>
      </c>
      <c r="C2385" s="11" t="s">
        <v>4769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35</v>
      </c>
      <c r="P2385" s="13"/>
      <c r="Q2385" s="13">
        <v>0</v>
      </c>
      <c r="R2385" s="72">
        <f>+L2385*O2385</f>
        <v>1432.8999999999999</v>
      </c>
      <c r="S2385" s="72">
        <v>0</v>
      </c>
      <c r="T2385" s="72">
        <f>+L2385*S2385</f>
        <v>0</v>
      </c>
      <c r="U2385" s="72">
        <f>+R2385-T2385</f>
        <v>1432.8999999999999</v>
      </c>
      <c r="V2385" s="72">
        <f t="shared" ref="V2385" si="223">+U2385*0</f>
        <v>0</v>
      </c>
      <c r="W2385" s="72">
        <f>+U2385-V2385</f>
        <v>1432.8999999999999</v>
      </c>
      <c r="X2385" s="72">
        <v>0</v>
      </c>
      <c r="Y2385" s="14">
        <f t="shared" si="222"/>
        <v>0</v>
      </c>
      <c r="Z2385" s="11" t="s">
        <v>26</v>
      </c>
      <c r="AA2385" s="12" t="s">
        <v>31</v>
      </c>
    </row>
    <row r="2386" spans="1:27" x14ac:dyDescent="0.25">
      <c r="A2386" s="10">
        <v>45692</v>
      </c>
      <c r="B2386" s="71">
        <v>3.27662037037037E-2</v>
      </c>
      <c r="C2386" s="11" t="s">
        <v>4770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4466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2">
        <f>L2386*O2386</f>
        <v>499.20000000000005</v>
      </c>
      <c r="S2386" s="72">
        <v>0</v>
      </c>
      <c r="T2386" s="72">
        <f>L2386*S2386</f>
        <v>0</v>
      </c>
      <c r="U2386" s="72">
        <f>R2386-T2386</f>
        <v>499.20000000000005</v>
      </c>
      <c r="V2386" s="72">
        <f>U2386*0</f>
        <v>0</v>
      </c>
      <c r="W2386" s="72">
        <f>U2386-V2386</f>
        <v>499.20000000000005</v>
      </c>
      <c r="X2386" s="72">
        <v>0</v>
      </c>
      <c r="Y2386" s="14">
        <f t="shared" si="222"/>
        <v>0</v>
      </c>
      <c r="Z2386" s="11" t="s">
        <v>26</v>
      </c>
      <c r="AA2386" s="12" t="s">
        <v>31</v>
      </c>
    </row>
    <row r="2387" spans="1:27" x14ac:dyDescent="0.25">
      <c r="A2387" s="10">
        <v>45692</v>
      </c>
      <c r="B2387" s="71">
        <v>0.25686342592592598</v>
      </c>
      <c r="C2387" s="11" t="s">
        <v>4771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35</v>
      </c>
      <c r="P2387" s="13"/>
      <c r="Q2387" s="13">
        <v>0</v>
      </c>
      <c r="R2387" s="72">
        <f>+L2387*O2387</f>
        <v>1389.5</v>
      </c>
      <c r="S2387" s="72">
        <v>0</v>
      </c>
      <c r="T2387" s="72">
        <f>+L2387*S2387</f>
        <v>0</v>
      </c>
      <c r="U2387" s="72">
        <f>+R2387-T2387</f>
        <v>1389.5</v>
      </c>
      <c r="V2387" s="72">
        <f t="shared" ref="V2387" si="224">+U2387*0</f>
        <v>0</v>
      </c>
      <c r="W2387" s="72">
        <f>+U2387-V2387</f>
        <v>1389.5</v>
      </c>
      <c r="X2387" s="72">
        <v>0</v>
      </c>
      <c r="Y2387" s="14">
        <f t="shared" si="222"/>
        <v>0</v>
      </c>
      <c r="Z2387" s="11" t="s">
        <v>26</v>
      </c>
      <c r="AA2387" s="12" t="s">
        <v>31</v>
      </c>
    </row>
    <row r="2388" spans="1:27" x14ac:dyDescent="0.25">
      <c r="A2388" s="10">
        <v>45692</v>
      </c>
      <c r="B2388" s="71">
        <v>3.5543981481481468E-2</v>
      </c>
      <c r="C2388" s="11" t="s">
        <v>4772</v>
      </c>
      <c r="D2388" s="11">
        <v>16918</v>
      </c>
      <c r="E2388" s="11" t="s">
        <v>659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2">
        <f>L2388*O2388</f>
        <v>1111.28</v>
      </c>
      <c r="S2388" s="72">
        <v>0</v>
      </c>
      <c r="T2388" s="72">
        <f>L2388*S2388</f>
        <v>0</v>
      </c>
      <c r="U2388" s="72">
        <f>R2388-T2388</f>
        <v>1111.28</v>
      </c>
      <c r="V2388" s="72">
        <f>U2388*0</f>
        <v>0</v>
      </c>
      <c r="W2388" s="72">
        <f>U2388-V2388</f>
        <v>1111.28</v>
      </c>
      <c r="X2388" s="72">
        <v>0</v>
      </c>
      <c r="Y2388" s="14">
        <f t="shared" si="222"/>
        <v>0</v>
      </c>
      <c r="Z2388" s="11" t="s">
        <v>26</v>
      </c>
      <c r="AA2388" s="12" t="s">
        <v>31</v>
      </c>
    </row>
    <row r="2389" spans="1:27" x14ac:dyDescent="0.25">
      <c r="A2389" s="10">
        <v>45692</v>
      </c>
      <c r="B2389" s="71">
        <v>2.0196759259259234E-2</v>
      </c>
      <c r="C2389" s="11" t="s">
        <v>4773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35</v>
      </c>
      <c r="P2389" s="13"/>
      <c r="Q2389" s="13">
        <v>0</v>
      </c>
      <c r="R2389" s="72">
        <f>+L2389*O2389</f>
        <v>1460.2</v>
      </c>
      <c r="S2389" s="72">
        <v>0</v>
      </c>
      <c r="T2389" s="72">
        <f>+L2389*S2389</f>
        <v>0</v>
      </c>
      <c r="U2389" s="72">
        <f>+R2389-T2389</f>
        <v>1460.2</v>
      </c>
      <c r="V2389" s="72">
        <f t="shared" ref="V2389" si="225">+U2389*0</f>
        <v>0</v>
      </c>
      <c r="W2389" s="72">
        <f>+U2389-V2389</f>
        <v>1460.2</v>
      </c>
      <c r="X2389" s="72">
        <v>0</v>
      </c>
      <c r="Y2389" s="14">
        <f t="shared" si="222"/>
        <v>0</v>
      </c>
      <c r="Z2389" s="11" t="s">
        <v>26</v>
      </c>
      <c r="AA2389" s="12" t="s">
        <v>31</v>
      </c>
    </row>
    <row r="2390" spans="1:27" x14ac:dyDescent="0.25">
      <c r="A2390" s="10">
        <v>45692</v>
      </c>
      <c r="B2390" s="71">
        <v>3.1793981481481493E-2</v>
      </c>
      <c r="C2390" s="11" t="s">
        <v>4774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2">
        <f>+M2390*P2390</f>
        <v>600</v>
      </c>
      <c r="S2390" s="72">
        <v>0</v>
      </c>
      <c r="T2390" s="72">
        <f>+M2390*S2390</f>
        <v>0</v>
      </c>
      <c r="U2390" s="72">
        <f t="shared" ref="U2390" si="226">+R2390-T2390</f>
        <v>600</v>
      </c>
      <c r="V2390" s="72">
        <f>+U2390*0</f>
        <v>0</v>
      </c>
      <c r="W2390" s="72">
        <f t="shared" ref="W2390" si="227">+U2390-V2390</f>
        <v>600</v>
      </c>
      <c r="X2390" s="72">
        <v>0</v>
      </c>
      <c r="Y2390" s="14">
        <f t="shared" si="222"/>
        <v>0</v>
      </c>
      <c r="Z2390" s="11" t="s">
        <v>26</v>
      </c>
      <c r="AA2390" s="12" t="s">
        <v>31</v>
      </c>
    </row>
    <row r="2391" spans="1:27" x14ac:dyDescent="0.25">
      <c r="A2391" s="10">
        <v>45692</v>
      </c>
      <c r="B2391" s="71">
        <v>3.4780092592592626E-2</v>
      </c>
      <c r="C2391" s="11" t="s">
        <v>4775</v>
      </c>
      <c r="D2391" s="11">
        <v>16921</v>
      </c>
      <c r="E2391" s="11" t="s">
        <v>1668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2">
        <f>M2391*P2391</f>
        <v>972</v>
      </c>
      <c r="S2391" s="72">
        <v>0</v>
      </c>
      <c r="T2391" s="72">
        <f>M2391*S2391</f>
        <v>0</v>
      </c>
      <c r="U2391" s="72">
        <f>R2391-T2391</f>
        <v>972</v>
      </c>
      <c r="V2391" s="72">
        <f>U2391*0</f>
        <v>0</v>
      </c>
      <c r="W2391" s="72">
        <f>+U2391-V2391</f>
        <v>972</v>
      </c>
      <c r="X2391" s="72">
        <v>0</v>
      </c>
      <c r="Y2391" s="14">
        <f t="shared" si="222"/>
        <v>0</v>
      </c>
      <c r="Z2391" s="11" t="s">
        <v>26</v>
      </c>
      <c r="AA2391" s="12" t="s">
        <v>31</v>
      </c>
    </row>
    <row r="2392" spans="1:27" x14ac:dyDescent="0.25">
      <c r="A2392" s="10">
        <v>45692</v>
      </c>
      <c r="B2392" s="71">
        <v>4.8495370370369439E-3</v>
      </c>
      <c r="C2392" s="11" t="s">
        <v>4776</v>
      </c>
      <c r="D2392" s="11">
        <v>16922</v>
      </c>
      <c r="E2392" s="11" t="s">
        <v>3955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2">
        <f>(L2392*O2392)-Q2392</f>
        <v>206</v>
      </c>
      <c r="S2392" s="72">
        <v>0</v>
      </c>
      <c r="T2392" s="72">
        <f t="shared" ref="T2392" si="228">+L2392*S2392</f>
        <v>0</v>
      </c>
      <c r="U2392" s="72">
        <f t="shared" ref="U2392" si="229">+R2392-T2392</f>
        <v>206</v>
      </c>
      <c r="V2392" s="72">
        <f t="shared" ref="V2392" si="230">+U2392*0</f>
        <v>0</v>
      </c>
      <c r="W2392" s="72">
        <f t="shared" ref="W2392" si="231">+U2392-V2392</f>
        <v>206</v>
      </c>
      <c r="X2392" s="72">
        <v>0</v>
      </c>
      <c r="Y2392" s="14">
        <f t="shared" si="222"/>
        <v>0</v>
      </c>
      <c r="Z2392" s="11" t="s">
        <v>26</v>
      </c>
      <c r="AA2392" s="12" t="s">
        <v>31</v>
      </c>
    </row>
    <row r="2393" spans="1:27" x14ac:dyDescent="0.25">
      <c r="A2393" s="10">
        <v>45692</v>
      </c>
      <c r="B2393" s="71">
        <v>3.2233796296296302E-2</v>
      </c>
      <c r="C2393" s="11" t="s">
        <v>4777</v>
      </c>
      <c r="D2393" s="11">
        <v>16923</v>
      </c>
      <c r="E2393" s="11" t="s">
        <v>1677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2">
        <f>M2393*P2393</f>
        <v>972</v>
      </c>
      <c r="S2393" s="72">
        <v>0</v>
      </c>
      <c r="T2393" s="72">
        <f>M2393*S2393</f>
        <v>0</v>
      </c>
      <c r="U2393" s="72">
        <f>R2393-T2393</f>
        <v>972</v>
      </c>
      <c r="V2393" s="72">
        <f>U2393*0</f>
        <v>0</v>
      </c>
      <c r="W2393" s="72">
        <f>+U2393-V2393</f>
        <v>972</v>
      </c>
      <c r="X2393" s="72">
        <v>0</v>
      </c>
      <c r="Y2393" s="14">
        <f t="shared" si="222"/>
        <v>0</v>
      </c>
      <c r="Z2393" s="11" t="s">
        <v>26</v>
      </c>
      <c r="AA2393" s="12" t="s">
        <v>31</v>
      </c>
    </row>
    <row r="2394" spans="1:27" x14ac:dyDescent="0.25">
      <c r="A2394" s="10">
        <v>45692</v>
      </c>
      <c r="B2394" s="71">
        <v>3.9155092592592533E-2</v>
      </c>
      <c r="C2394" s="11" t="s">
        <v>4778</v>
      </c>
      <c r="D2394" s="11">
        <v>16924</v>
      </c>
      <c r="E2394" s="11" t="s">
        <v>4779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2">
        <f>(L2394*O2394)-Q2394</f>
        <v>1706.4</v>
      </c>
      <c r="S2394" s="72">
        <v>0</v>
      </c>
      <c r="T2394" s="72">
        <f t="shared" ref="T2394:T2395" si="232">+L2394*S2394</f>
        <v>0</v>
      </c>
      <c r="U2394" s="72">
        <f t="shared" ref="U2394:U2395" si="233">+R2394-T2394</f>
        <v>1706.4</v>
      </c>
      <c r="V2394" s="72">
        <f>+U2394*0</f>
        <v>0</v>
      </c>
      <c r="W2394" s="72">
        <f t="shared" ref="W2394:W2395" si="234">+U2394-V2394</f>
        <v>1706.4</v>
      </c>
      <c r="X2394" s="72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x14ac:dyDescent="0.25">
      <c r="A2395" s="10">
        <v>45692</v>
      </c>
      <c r="B2395" s="71">
        <v>4.0486111111111112E-2</v>
      </c>
      <c r="C2395" s="11" t="s">
        <v>4780</v>
      </c>
      <c r="D2395" s="11">
        <v>16925</v>
      </c>
      <c r="E2395" s="11" t="s">
        <v>4781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2">
        <f>(L2395*O2395)-Q2395</f>
        <v>1455.3000000000002</v>
      </c>
      <c r="S2395" s="72">
        <v>0</v>
      </c>
      <c r="T2395" s="72">
        <f t="shared" si="232"/>
        <v>0</v>
      </c>
      <c r="U2395" s="72">
        <f t="shared" si="233"/>
        <v>1455.3000000000002</v>
      </c>
      <c r="V2395" s="72">
        <f>+U2395*0</f>
        <v>0</v>
      </c>
      <c r="W2395" s="72">
        <f t="shared" si="234"/>
        <v>1455.3000000000002</v>
      </c>
      <c r="X2395" s="72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x14ac:dyDescent="0.25">
      <c r="A2396" s="10">
        <v>45692</v>
      </c>
      <c r="B2396" s="71">
        <v>2.9907407407407383E-2</v>
      </c>
      <c r="C2396" s="11" t="s">
        <v>4782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4465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2">
        <f>+L2396*O2396</f>
        <v>1706.8</v>
      </c>
      <c r="S2396" s="72">
        <v>0</v>
      </c>
      <c r="T2396" s="72">
        <f>+L2396*S2396</f>
        <v>0</v>
      </c>
      <c r="U2396" s="72">
        <f>+R2396-T2396</f>
        <v>1706.8</v>
      </c>
      <c r="V2396" s="72">
        <f>+U2396*0.75</f>
        <v>1280.0999999999999</v>
      </c>
      <c r="W2396" s="72">
        <f>+U2396-V2396</f>
        <v>426.70000000000005</v>
      </c>
      <c r="X2396" s="72">
        <v>0</v>
      </c>
      <c r="Y2396" s="14">
        <f t="shared" ref="Y2396:Y2405" si="235">T2396-X2396</f>
        <v>0</v>
      </c>
      <c r="Z2396" s="11" t="s">
        <v>26</v>
      </c>
      <c r="AA2396" s="12" t="s">
        <v>31</v>
      </c>
    </row>
    <row r="2397" spans="1:27" x14ac:dyDescent="0.25">
      <c r="A2397" s="10">
        <v>45692</v>
      </c>
      <c r="B2397" s="71">
        <v>1.300925925925922E-2</v>
      </c>
      <c r="C2397" s="11" t="s">
        <v>4783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2">
        <f>L2397*O2397</f>
        <v>1088.0800000000002</v>
      </c>
      <c r="S2397" s="72">
        <v>0</v>
      </c>
      <c r="T2397" s="72">
        <f>L2397*S2397</f>
        <v>0</v>
      </c>
      <c r="U2397" s="72">
        <f>R2397-T2397</f>
        <v>1088.0800000000002</v>
      </c>
      <c r="V2397" s="72">
        <f>U2397*0</f>
        <v>0</v>
      </c>
      <c r="W2397" s="72">
        <f>U2397-V2397</f>
        <v>1088.0800000000002</v>
      </c>
      <c r="X2397" s="72">
        <v>0</v>
      </c>
      <c r="Y2397" s="14">
        <f t="shared" si="235"/>
        <v>0</v>
      </c>
      <c r="Z2397" s="11" t="s">
        <v>26</v>
      </c>
      <c r="AA2397" s="12" t="s">
        <v>31</v>
      </c>
    </row>
    <row r="2398" spans="1:27" x14ac:dyDescent="0.25">
      <c r="A2398" s="10">
        <v>45692</v>
      </c>
      <c r="B2398" s="71">
        <v>3.2523148148148051E-3</v>
      </c>
      <c r="C2398" s="11" t="s">
        <v>4784</v>
      </c>
      <c r="D2398" s="11">
        <v>16928</v>
      </c>
      <c r="E2398" s="11" t="s">
        <v>3955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2">
        <f>(L2398*O2398)-Q2398</f>
        <v>202</v>
      </c>
      <c r="S2398" s="72">
        <v>0</v>
      </c>
      <c r="T2398" s="72">
        <f t="shared" ref="T2398:T2401" si="236">+L2398*S2398</f>
        <v>0</v>
      </c>
      <c r="U2398" s="72">
        <f t="shared" ref="U2398:U2403" si="237">+R2398-T2398</f>
        <v>202</v>
      </c>
      <c r="V2398" s="72">
        <f t="shared" ref="V2398:V2399" si="238">+U2398*0</f>
        <v>0</v>
      </c>
      <c r="W2398" s="72">
        <f t="shared" ref="W2398:W2403" si="239">+U2398-V2398</f>
        <v>202</v>
      </c>
      <c r="X2398" s="72">
        <v>0</v>
      </c>
      <c r="Y2398" s="14">
        <f t="shared" si="235"/>
        <v>0</v>
      </c>
      <c r="Z2398" s="11" t="s">
        <v>26</v>
      </c>
      <c r="AA2398" s="12" t="s">
        <v>31</v>
      </c>
    </row>
    <row r="2399" spans="1:27" x14ac:dyDescent="0.25">
      <c r="A2399" s="10">
        <v>45692</v>
      </c>
      <c r="B2399" s="71">
        <v>7.9050925925926441E-3</v>
      </c>
      <c r="C2399" s="11" t="s">
        <v>4785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2">
        <f>(L2399*O2399)-Q2399</f>
        <v>530</v>
      </c>
      <c r="S2399" s="72">
        <v>0</v>
      </c>
      <c r="T2399" s="72">
        <f t="shared" si="236"/>
        <v>0</v>
      </c>
      <c r="U2399" s="72">
        <f t="shared" si="237"/>
        <v>530</v>
      </c>
      <c r="V2399" s="72">
        <f t="shared" si="238"/>
        <v>0</v>
      </c>
      <c r="W2399" s="72">
        <f t="shared" si="239"/>
        <v>530</v>
      </c>
      <c r="X2399" s="72">
        <v>0</v>
      </c>
      <c r="Y2399" s="14">
        <f t="shared" si="235"/>
        <v>0</v>
      </c>
      <c r="Z2399" s="11" t="s">
        <v>26</v>
      </c>
      <c r="AA2399" s="12" t="s">
        <v>31</v>
      </c>
    </row>
    <row r="2400" spans="1:27" x14ac:dyDescent="0.25">
      <c r="A2400" s="10">
        <v>45692</v>
      </c>
      <c r="B2400" s="71">
        <v>2.1863425925925939E-2</v>
      </c>
      <c r="C2400" s="11" t="s">
        <v>4786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4440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2">
        <f t="shared" ref="R2400:R2401" si="240">+L2400*O2400</f>
        <v>1500.24</v>
      </c>
      <c r="S2400" s="72">
        <v>0</v>
      </c>
      <c r="T2400" s="72">
        <f t="shared" si="236"/>
        <v>0</v>
      </c>
      <c r="U2400" s="72">
        <f t="shared" si="237"/>
        <v>1500.24</v>
      </c>
      <c r="V2400" s="72">
        <f>+U2400*1</f>
        <v>1500.24</v>
      </c>
      <c r="W2400" s="72">
        <f t="shared" si="239"/>
        <v>0</v>
      </c>
      <c r="X2400" s="72">
        <v>0</v>
      </c>
      <c r="Y2400" s="14">
        <f t="shared" si="235"/>
        <v>0</v>
      </c>
      <c r="Z2400" s="11" t="s">
        <v>26</v>
      </c>
      <c r="AA2400" s="12" t="s">
        <v>31</v>
      </c>
    </row>
    <row r="2401" spans="1:27" x14ac:dyDescent="0.25">
      <c r="A2401" s="10">
        <v>45692</v>
      </c>
      <c r="B2401" s="71">
        <v>2.5694444444444464E-2</v>
      </c>
      <c r="C2401" s="11" t="s">
        <v>4787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4440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2">
        <f t="shared" si="240"/>
        <v>1591.8</v>
      </c>
      <c r="S2401" s="72">
        <v>0</v>
      </c>
      <c r="T2401" s="72">
        <f t="shared" si="236"/>
        <v>0</v>
      </c>
      <c r="U2401" s="72">
        <f t="shared" si="237"/>
        <v>1591.8</v>
      </c>
      <c r="V2401" s="72">
        <f>+U2401*1</f>
        <v>1591.8</v>
      </c>
      <c r="W2401" s="72">
        <f t="shared" si="239"/>
        <v>0</v>
      </c>
      <c r="X2401" s="72">
        <v>0</v>
      </c>
      <c r="Y2401" s="14">
        <f t="shared" si="235"/>
        <v>0</v>
      </c>
      <c r="Z2401" s="11" t="s">
        <v>26</v>
      </c>
      <c r="AA2401" s="12" t="s">
        <v>31</v>
      </c>
    </row>
    <row r="2402" spans="1:27" x14ac:dyDescent="0.25">
      <c r="A2402" s="10">
        <v>45692</v>
      </c>
      <c r="B2402" s="71">
        <v>2.9930555555555571E-2</v>
      </c>
      <c r="C2402" s="11" t="s">
        <v>4788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2">
        <f>+M2402*P2402</f>
        <v>552</v>
      </c>
      <c r="S2402" s="72">
        <v>0</v>
      </c>
      <c r="T2402" s="72">
        <f>+M2402*S2402</f>
        <v>0</v>
      </c>
      <c r="U2402" s="72">
        <f t="shared" si="237"/>
        <v>552</v>
      </c>
      <c r="V2402" s="72">
        <f>+U2402*0</f>
        <v>0</v>
      </c>
      <c r="W2402" s="72">
        <f t="shared" si="239"/>
        <v>552</v>
      </c>
      <c r="X2402" s="72">
        <v>0</v>
      </c>
      <c r="Y2402" s="14">
        <f t="shared" si="235"/>
        <v>0</v>
      </c>
      <c r="Z2402" s="11" t="s">
        <v>26</v>
      </c>
      <c r="AA2402" s="12" t="s">
        <v>31</v>
      </c>
    </row>
    <row r="2403" spans="1:27" x14ac:dyDescent="0.25">
      <c r="A2403" s="10">
        <v>45692</v>
      </c>
      <c r="B2403" s="71">
        <v>1.1180555555555638E-2</v>
      </c>
      <c r="C2403" s="11" t="s">
        <v>4789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2">
        <f>+M2403*P2403</f>
        <v>552</v>
      </c>
      <c r="S2403" s="72">
        <v>0</v>
      </c>
      <c r="T2403" s="72">
        <f>+M2403*S2403</f>
        <v>0</v>
      </c>
      <c r="U2403" s="72">
        <f t="shared" si="237"/>
        <v>552</v>
      </c>
      <c r="V2403" s="72">
        <f>+U2403*0</f>
        <v>0</v>
      </c>
      <c r="W2403" s="72">
        <f t="shared" si="239"/>
        <v>552</v>
      </c>
      <c r="X2403" s="72">
        <v>0</v>
      </c>
      <c r="Y2403" s="14">
        <f t="shared" si="235"/>
        <v>0</v>
      </c>
      <c r="Z2403" s="11" t="s">
        <v>26</v>
      </c>
      <c r="AA2403" s="12" t="s">
        <v>31</v>
      </c>
    </row>
    <row r="2404" spans="1:27" x14ac:dyDescent="0.25">
      <c r="A2404" s="10">
        <v>45692</v>
      </c>
      <c r="B2404" s="71">
        <v>8.5763888888888973E-3</v>
      </c>
      <c r="C2404" s="11" t="s">
        <v>4790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4466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2">
        <f>L2404*O2404</f>
        <v>516.9</v>
      </c>
      <c r="S2404" s="72">
        <v>0</v>
      </c>
      <c r="T2404" s="72">
        <f>L2404*S2404</f>
        <v>0</v>
      </c>
      <c r="U2404" s="72">
        <f>R2404-T2404</f>
        <v>516.9</v>
      </c>
      <c r="V2404" s="72">
        <f>U2404*0</f>
        <v>0</v>
      </c>
      <c r="W2404" s="72">
        <f>U2404-V2404</f>
        <v>516.9</v>
      </c>
      <c r="X2404" s="72">
        <v>0</v>
      </c>
      <c r="Y2404" s="14">
        <f t="shared" si="235"/>
        <v>0</v>
      </c>
      <c r="Z2404" s="11" t="s">
        <v>26</v>
      </c>
      <c r="AA2404" s="12" t="s">
        <v>31</v>
      </c>
    </row>
    <row r="2405" spans="1:27" x14ac:dyDescent="0.25">
      <c r="A2405" s="10">
        <v>45692</v>
      </c>
      <c r="B2405" s="71">
        <v>9.5717592592592382E-3</v>
      </c>
      <c r="C2405" s="11" t="s">
        <v>4791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2">
        <f>+M2405*P2405</f>
        <v>576</v>
      </c>
      <c r="S2405" s="72">
        <v>0</v>
      </c>
      <c r="T2405" s="72">
        <f>+M2405*S2405</f>
        <v>0</v>
      </c>
      <c r="U2405" s="72">
        <f t="shared" ref="U2405:U2406" si="242">+R2405-T2405</f>
        <v>576</v>
      </c>
      <c r="V2405" s="72">
        <f>+U2405*0</f>
        <v>0</v>
      </c>
      <c r="W2405" s="72">
        <f t="shared" ref="W2405:W2406" si="243">+U2405-V2405</f>
        <v>576</v>
      </c>
      <c r="X2405" s="72">
        <v>0</v>
      </c>
      <c r="Y2405" s="14">
        <f t="shared" si="235"/>
        <v>0</v>
      </c>
      <c r="Z2405" s="11" t="s">
        <v>26</v>
      </c>
      <c r="AA2405" s="12" t="s">
        <v>31</v>
      </c>
    </row>
    <row r="2406" spans="1:27" x14ac:dyDescent="0.25">
      <c r="A2406" s="10">
        <v>45692</v>
      </c>
      <c r="B2406" s="71">
        <v>1.0335648148148135E-2</v>
      </c>
      <c r="C2406" s="11" t="s">
        <v>4792</v>
      </c>
      <c r="D2406" s="11">
        <v>16936</v>
      </c>
      <c r="E2406" s="11" t="s">
        <v>4793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2">
        <f>(L2406*O2406)-Q2406</f>
        <v>575.1</v>
      </c>
      <c r="S2406" s="72">
        <v>0</v>
      </c>
      <c r="T2406" s="72">
        <f t="shared" ref="T2406" si="244">+L2406*S2406</f>
        <v>0</v>
      </c>
      <c r="U2406" s="72">
        <f t="shared" si="242"/>
        <v>575.1</v>
      </c>
      <c r="V2406" s="72">
        <f>+U2406*0</f>
        <v>0</v>
      </c>
      <c r="W2406" s="72">
        <f t="shared" si="243"/>
        <v>575.1</v>
      </c>
      <c r="X2406" s="72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x14ac:dyDescent="0.25">
      <c r="A2407" s="10">
        <v>45692</v>
      </c>
      <c r="B2407" s="71">
        <v>1.7106481481481528E-2</v>
      </c>
      <c r="C2407" s="11" t="s">
        <v>4794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2">
        <f>L2407*O2407</f>
        <v>424.8</v>
      </c>
      <c r="S2407" s="72">
        <v>0</v>
      </c>
      <c r="T2407" s="72">
        <f>L2407*S2407</f>
        <v>0</v>
      </c>
      <c r="U2407" s="72">
        <f>R2407-T2407</f>
        <v>424.8</v>
      </c>
      <c r="V2407" s="72">
        <f>U2407*0</f>
        <v>0</v>
      </c>
      <c r="W2407" s="72">
        <f>U2407-V2407</f>
        <v>424.8</v>
      </c>
      <c r="X2407" s="72">
        <v>0</v>
      </c>
      <c r="Y2407" s="14">
        <f t="shared" ref="Y2407:Y2411" si="245">T2407-X2407</f>
        <v>0</v>
      </c>
      <c r="Z2407" s="11" t="s">
        <v>26</v>
      </c>
      <c r="AA2407" s="12" t="s">
        <v>31</v>
      </c>
    </row>
    <row r="2408" spans="1:27" x14ac:dyDescent="0.25">
      <c r="A2408" s="10">
        <v>45692</v>
      </c>
      <c r="B2408" s="71">
        <v>1.1921296296296235E-2</v>
      </c>
      <c r="C2408" s="11" t="s">
        <v>4795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2">
        <f>+M2408*P2408</f>
        <v>528</v>
      </c>
      <c r="S2408" s="72">
        <v>0</v>
      </c>
      <c r="T2408" s="72">
        <f>+M2408*S2408</f>
        <v>0</v>
      </c>
      <c r="U2408" s="72">
        <f t="shared" ref="U2408:U2409" si="246">+R2408-T2408</f>
        <v>528</v>
      </c>
      <c r="V2408" s="72">
        <f>+U2408*0</f>
        <v>0</v>
      </c>
      <c r="W2408" s="72">
        <f t="shared" ref="W2408:W2409" si="247">+U2408-V2408</f>
        <v>528</v>
      </c>
      <c r="X2408" s="72">
        <v>0</v>
      </c>
      <c r="Y2408" s="14">
        <f t="shared" si="245"/>
        <v>0</v>
      </c>
      <c r="Z2408" s="11" t="s">
        <v>26</v>
      </c>
      <c r="AA2408" s="12" t="s">
        <v>31</v>
      </c>
    </row>
    <row r="2409" spans="1:27" x14ac:dyDescent="0.25">
      <c r="A2409" s="10">
        <v>45692</v>
      </c>
      <c r="B2409" s="71">
        <v>1.1203703703703716E-2</v>
      </c>
      <c r="C2409" s="11" t="s">
        <v>4796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2">
        <f>+M2409*P2409</f>
        <v>528</v>
      </c>
      <c r="S2409" s="72">
        <v>0</v>
      </c>
      <c r="T2409" s="72">
        <f>+M2409*S2409</f>
        <v>0</v>
      </c>
      <c r="U2409" s="72">
        <f t="shared" si="246"/>
        <v>528</v>
      </c>
      <c r="V2409" s="72">
        <f>+U2409*0</f>
        <v>0</v>
      </c>
      <c r="W2409" s="72">
        <f t="shared" si="247"/>
        <v>528</v>
      </c>
      <c r="X2409" s="72">
        <v>0</v>
      </c>
      <c r="Y2409" s="14">
        <f t="shared" si="245"/>
        <v>0</v>
      </c>
      <c r="Z2409" s="11" t="s">
        <v>26</v>
      </c>
      <c r="AA2409" s="12" t="s">
        <v>31</v>
      </c>
    </row>
    <row r="2410" spans="1:27" x14ac:dyDescent="0.25">
      <c r="A2410" s="10">
        <v>45692</v>
      </c>
      <c r="B2410" s="71">
        <v>9.7569444444444153E-3</v>
      </c>
      <c r="C2410" s="11" t="s">
        <v>4797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35</v>
      </c>
      <c r="P2410" s="13"/>
      <c r="Q2410" s="13">
        <v>0</v>
      </c>
      <c r="R2410" s="72">
        <f>+L2410*O2410</f>
        <v>1379</v>
      </c>
      <c r="S2410" s="72">
        <v>0</v>
      </c>
      <c r="T2410" s="72">
        <f>+L2410*S2410</f>
        <v>0</v>
      </c>
      <c r="U2410" s="72">
        <f>+R2410-T2410</f>
        <v>1379</v>
      </c>
      <c r="V2410" s="72">
        <f t="shared" ref="V2410" si="248">+U2410*0</f>
        <v>0</v>
      </c>
      <c r="W2410" s="72">
        <f>+U2410-V2410</f>
        <v>1379</v>
      </c>
      <c r="X2410" s="72">
        <v>0</v>
      </c>
      <c r="Y2410" s="14">
        <f t="shared" si="245"/>
        <v>0</v>
      </c>
      <c r="Z2410" s="11" t="s">
        <v>26</v>
      </c>
      <c r="AA2410" s="12" t="s">
        <v>31</v>
      </c>
    </row>
    <row r="2411" spans="1:27" x14ac:dyDescent="0.25">
      <c r="A2411" s="10">
        <v>45692</v>
      </c>
      <c r="B2411" s="71">
        <v>0.16607638888888887</v>
      </c>
      <c r="C2411" s="11" t="s">
        <v>4798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2">
        <f>M2411*P2411</f>
        <v>1500</v>
      </c>
      <c r="S2411" s="72">
        <v>0</v>
      </c>
      <c r="T2411" s="72">
        <f>M2411*S2411</f>
        <v>0</v>
      </c>
      <c r="U2411" s="72">
        <f>R2411-T2411</f>
        <v>1500</v>
      </c>
      <c r="V2411" s="72">
        <f>U2411*0</f>
        <v>0</v>
      </c>
      <c r="W2411" s="72">
        <f>U2411-V2411</f>
        <v>1500</v>
      </c>
      <c r="X2411" s="72">
        <v>0</v>
      </c>
      <c r="Y2411" s="14">
        <f t="shared" si="245"/>
        <v>0</v>
      </c>
      <c r="Z2411" s="11" t="s">
        <v>26</v>
      </c>
      <c r="AA2411" s="12" t="s">
        <v>31</v>
      </c>
    </row>
    <row r="2412" spans="1:27" x14ac:dyDescent="0.25">
      <c r="A2412" s="10">
        <v>45692</v>
      </c>
      <c r="B2412" s="71">
        <v>1.9745370370370274E-2</v>
      </c>
      <c r="C2412" s="11" t="s">
        <v>4799</v>
      </c>
      <c r="D2412" s="11">
        <v>16942</v>
      </c>
      <c r="E2412" s="11" t="s">
        <v>4779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2">
        <f>(L2412*O2412)-Q2412</f>
        <v>1713.6</v>
      </c>
      <c r="S2412" s="72">
        <v>0</v>
      </c>
      <c r="T2412" s="72">
        <f t="shared" ref="T2412:T2413" si="249">+L2412*S2412</f>
        <v>0</v>
      </c>
      <c r="U2412" s="72">
        <f t="shared" ref="U2412:U2413" si="250">+R2412-T2412</f>
        <v>1713.6</v>
      </c>
      <c r="V2412" s="72">
        <f>+U2412*0</f>
        <v>0</v>
      </c>
      <c r="W2412" s="72">
        <f t="shared" ref="W2412:W2413" si="251">+U2412-V2412</f>
        <v>1713.6</v>
      </c>
      <c r="X2412" s="72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x14ac:dyDescent="0.25">
      <c r="A2413" s="10">
        <v>45692</v>
      </c>
      <c r="B2413" s="71">
        <v>1.2129629629629712E-2</v>
      </c>
      <c r="C2413" s="11" t="s">
        <v>4800</v>
      </c>
      <c r="D2413" s="11">
        <v>16943</v>
      </c>
      <c r="E2413" s="11" t="s">
        <v>4781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2">
        <f>(L2413*O2413)-Q2413</f>
        <v>1475.9999999999998</v>
      </c>
      <c r="S2413" s="72">
        <v>0</v>
      </c>
      <c r="T2413" s="72">
        <f t="shared" si="249"/>
        <v>0</v>
      </c>
      <c r="U2413" s="72">
        <f t="shared" si="250"/>
        <v>1475.9999999999998</v>
      </c>
      <c r="V2413" s="72">
        <f>+U2413*0</f>
        <v>0</v>
      </c>
      <c r="W2413" s="72">
        <f t="shared" si="251"/>
        <v>1475.9999999999998</v>
      </c>
      <c r="X2413" s="72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x14ac:dyDescent="0.25">
      <c r="A2414" s="10">
        <v>45693</v>
      </c>
      <c r="B2414" s="71">
        <v>8.7152777777778079E-3</v>
      </c>
      <c r="C2414" s="11" t="s">
        <v>4801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4465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2">
        <f>+L2414*O2414</f>
        <v>1703.09</v>
      </c>
      <c r="S2414" s="72">
        <v>0</v>
      </c>
      <c r="T2414" s="72">
        <f>+L2414*S2414</f>
        <v>0</v>
      </c>
      <c r="U2414" s="72">
        <f>+R2414-T2414</f>
        <v>1703.09</v>
      </c>
      <c r="V2414" s="72">
        <f>+U2414*0.75</f>
        <v>1277.3174999999999</v>
      </c>
      <c r="W2414" s="72">
        <f>+U2414-V2414</f>
        <v>425.77250000000004</v>
      </c>
      <c r="X2414" s="72">
        <v>0</v>
      </c>
      <c r="Y2414" s="14">
        <f t="shared" ref="Y2414:Y2418" si="252">T2414-X2414</f>
        <v>0</v>
      </c>
      <c r="Z2414" s="11" t="s">
        <v>26</v>
      </c>
      <c r="AA2414" s="12" t="s">
        <v>31</v>
      </c>
    </row>
    <row r="2415" spans="1:27" x14ac:dyDescent="0.25">
      <c r="A2415" s="10">
        <v>45693</v>
      </c>
      <c r="B2415" s="71">
        <v>1.0659722222222223E-2</v>
      </c>
      <c r="C2415" s="11" t="s">
        <v>4802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4465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2">
        <f>+L2415*O2415</f>
        <v>1647.2922000000001</v>
      </c>
      <c r="S2415" s="72">
        <v>0</v>
      </c>
      <c r="T2415" s="72">
        <f>+L2415*S2415</f>
        <v>0</v>
      </c>
      <c r="U2415" s="72">
        <f>+R2415-T2415</f>
        <v>1647.2922000000001</v>
      </c>
      <c r="V2415" s="72">
        <f>+U2415*0.75</f>
        <v>1235.4691500000001</v>
      </c>
      <c r="W2415" s="72">
        <f>+U2415-V2415</f>
        <v>411.82304999999997</v>
      </c>
      <c r="X2415" s="72">
        <v>0</v>
      </c>
      <c r="Y2415" s="14">
        <f t="shared" si="252"/>
        <v>0</v>
      </c>
      <c r="Z2415" s="11" t="s">
        <v>26</v>
      </c>
      <c r="AA2415" s="12" t="s">
        <v>31</v>
      </c>
    </row>
    <row r="2416" spans="1:27" x14ac:dyDescent="0.25">
      <c r="A2416" s="10">
        <v>45693</v>
      </c>
      <c r="B2416" s="71">
        <v>1.2939814814814821E-2</v>
      </c>
      <c r="C2416" s="11" t="s">
        <v>4803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4440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2">
        <f t="shared" ref="R2416" si="254">+L2416*O2416</f>
        <v>1558.48</v>
      </c>
      <c r="S2416" s="72">
        <v>0</v>
      </c>
      <c r="T2416" s="72">
        <f t="shared" ref="T2416" si="255">+L2416*S2416</f>
        <v>0</v>
      </c>
      <c r="U2416" s="72">
        <f t="shared" ref="U2416" si="256">+R2416-T2416</f>
        <v>1558.48</v>
      </c>
      <c r="V2416" s="72">
        <f>+U2416*1</f>
        <v>1558.48</v>
      </c>
      <c r="W2416" s="72">
        <f t="shared" ref="W2416" si="257">+U2416-V2416</f>
        <v>0</v>
      </c>
      <c r="X2416" s="72">
        <v>0</v>
      </c>
      <c r="Y2416" s="14">
        <f t="shared" si="252"/>
        <v>0</v>
      </c>
      <c r="Z2416" s="11" t="s">
        <v>26</v>
      </c>
      <c r="AA2416" s="12" t="s">
        <v>31</v>
      </c>
    </row>
    <row r="2417" spans="1:27" x14ac:dyDescent="0.25">
      <c r="A2417" s="10">
        <v>45693</v>
      </c>
      <c r="B2417" s="71">
        <v>1.722222222222225E-2</v>
      </c>
      <c r="C2417" s="11" t="s">
        <v>4804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4465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2">
        <f>+L2417*O2417</f>
        <v>535.5</v>
      </c>
      <c r="S2417" s="72">
        <v>0</v>
      </c>
      <c r="T2417" s="72">
        <f>+L2417*S2417</f>
        <v>0</v>
      </c>
      <c r="U2417" s="72">
        <f>+R2417-T2417</f>
        <v>535.5</v>
      </c>
      <c r="V2417" s="72">
        <f>+U2417*0.75</f>
        <v>401.625</v>
      </c>
      <c r="W2417" s="72">
        <f>+U2417-V2417</f>
        <v>133.875</v>
      </c>
      <c r="X2417" s="72">
        <v>0</v>
      </c>
      <c r="Y2417" s="14">
        <f t="shared" si="252"/>
        <v>0</v>
      </c>
      <c r="Z2417" s="11" t="s">
        <v>26</v>
      </c>
      <c r="AA2417" s="12" t="s">
        <v>31</v>
      </c>
    </row>
    <row r="2418" spans="1:27" x14ac:dyDescent="0.25">
      <c r="A2418" s="10">
        <v>45693</v>
      </c>
      <c r="B2418" s="71">
        <v>1.9803240740740691E-2</v>
      </c>
      <c r="C2418" s="11" t="s">
        <v>4805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2">
        <f>M2418*P2418</f>
        <v>1440</v>
      </c>
      <c r="S2418" s="72">
        <v>0</v>
      </c>
      <c r="T2418" s="72">
        <f>M2418*S2418</f>
        <v>0</v>
      </c>
      <c r="U2418" s="72">
        <f>R2418-T2418</f>
        <v>1440</v>
      </c>
      <c r="V2418" s="72">
        <f>U2418*0</f>
        <v>0</v>
      </c>
      <c r="W2418" s="72">
        <f>U2418-V2418</f>
        <v>1440</v>
      </c>
      <c r="X2418" s="72">
        <v>0</v>
      </c>
      <c r="Y2418" s="14">
        <f t="shared" si="252"/>
        <v>0</v>
      </c>
      <c r="Z2418" s="11" t="s">
        <v>26</v>
      </c>
      <c r="AA2418" s="12" t="s">
        <v>31</v>
      </c>
    </row>
    <row r="2419" spans="1:27" x14ac:dyDescent="0.25">
      <c r="A2419" s="10">
        <v>45693</v>
      </c>
      <c r="B2419" s="71">
        <v>1.8495370370370412E-2</v>
      </c>
      <c r="C2419" s="11" t="s">
        <v>4806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4439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2">
        <f>L2419*O2419</f>
        <v>3587.0000000000005</v>
      </c>
      <c r="S2419" s="72">
        <v>38</v>
      </c>
      <c r="T2419" s="72">
        <f>L2419*S2419</f>
        <v>1603.6000000000001</v>
      </c>
      <c r="U2419" s="72">
        <f>R2419-T2419</f>
        <v>1983.4000000000003</v>
      </c>
      <c r="V2419" s="72">
        <f>U2419*1</f>
        <v>1983.4000000000003</v>
      </c>
      <c r="W2419" s="72">
        <f>U2419-V2419</f>
        <v>0</v>
      </c>
      <c r="X2419" s="72">
        <f>L2419*37</f>
        <v>1561.4</v>
      </c>
      <c r="Y2419" s="73">
        <f>+T2419-X2419</f>
        <v>42.200000000000045</v>
      </c>
      <c r="Z2419" s="12" t="s">
        <v>41</v>
      </c>
      <c r="AA2419" s="12" t="s">
        <v>78</v>
      </c>
    </row>
    <row r="2420" spans="1:27" x14ac:dyDescent="0.25">
      <c r="A2420" s="10">
        <v>45693</v>
      </c>
      <c r="B2420" s="71">
        <v>2.2326388888888882E-2</v>
      </c>
      <c r="C2420" s="11" t="s">
        <v>4807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4465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2">
        <f>+L2420*O2420</f>
        <v>528.29999999999995</v>
      </c>
      <c r="S2420" s="72">
        <v>0</v>
      </c>
      <c r="T2420" s="72">
        <f>+L2420*S2420</f>
        <v>0</v>
      </c>
      <c r="U2420" s="72">
        <f>+R2420-T2420</f>
        <v>528.29999999999995</v>
      </c>
      <c r="V2420" s="72">
        <f>+U2420*0.75</f>
        <v>396.22499999999997</v>
      </c>
      <c r="W2420" s="72">
        <f>+U2420-V2420</f>
        <v>132.07499999999999</v>
      </c>
      <c r="X2420" s="72">
        <v>0</v>
      </c>
      <c r="Y2420" s="14">
        <f t="shared" ref="Y2420:Y2424" si="258">T2420-X2420</f>
        <v>0</v>
      </c>
      <c r="Z2420" s="11" t="s">
        <v>26</v>
      </c>
      <c r="AA2420" s="12" t="s">
        <v>31</v>
      </c>
    </row>
    <row r="2421" spans="1:27" x14ac:dyDescent="0.25">
      <c r="A2421" s="10">
        <v>45693</v>
      </c>
      <c r="B2421" s="71">
        <v>2.3425925925925961E-2</v>
      </c>
      <c r="C2421" s="11" t="s">
        <v>4808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2">
        <f>M2421*P2421</f>
        <v>1450</v>
      </c>
      <c r="S2421" s="72">
        <v>0</v>
      </c>
      <c r="T2421" s="72">
        <f>M2421*S2421</f>
        <v>0</v>
      </c>
      <c r="U2421" s="72">
        <f>R2421-T2421</f>
        <v>1450</v>
      </c>
      <c r="V2421" s="72">
        <f>U2421*0</f>
        <v>0</v>
      </c>
      <c r="W2421" s="72">
        <f>U2421-V2421</f>
        <v>1450</v>
      </c>
      <c r="X2421" s="72">
        <v>0</v>
      </c>
      <c r="Y2421" s="14">
        <f t="shared" si="258"/>
        <v>0</v>
      </c>
      <c r="Z2421" s="11" t="s">
        <v>26</v>
      </c>
      <c r="AA2421" s="12" t="s">
        <v>31</v>
      </c>
    </row>
    <row r="2422" spans="1:27" x14ac:dyDescent="0.25">
      <c r="A2422" s="10">
        <v>45693</v>
      </c>
      <c r="B2422" s="71">
        <v>2.7881944444444418E-2</v>
      </c>
      <c r="C2422" s="11" t="s">
        <v>4809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2">
        <f>+M2422*P2422</f>
        <v>600</v>
      </c>
      <c r="S2422" s="72">
        <v>0</v>
      </c>
      <c r="T2422" s="72">
        <f>+M2422*S2422</f>
        <v>0</v>
      </c>
      <c r="U2422" s="72">
        <f t="shared" ref="U2422" si="259">+R2422-T2422</f>
        <v>600</v>
      </c>
      <c r="V2422" s="72">
        <f>+U2422*0</f>
        <v>0</v>
      </c>
      <c r="W2422" s="72">
        <f t="shared" ref="W2422" si="260">+U2422-V2422</f>
        <v>600</v>
      </c>
      <c r="X2422" s="72">
        <v>0</v>
      </c>
      <c r="Y2422" s="14">
        <f t="shared" si="258"/>
        <v>0</v>
      </c>
      <c r="Z2422" s="11" t="s">
        <v>26</v>
      </c>
      <c r="AA2422" s="12" t="s">
        <v>31</v>
      </c>
    </row>
    <row r="2423" spans="1:27" x14ac:dyDescent="0.25">
      <c r="A2423" s="10">
        <v>45693</v>
      </c>
      <c r="B2423" s="71">
        <v>2.7824074074074112E-2</v>
      </c>
      <c r="C2423" s="11" t="s">
        <v>4810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4465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2">
        <f>+L2423*O2423</f>
        <v>546.59999999999991</v>
      </c>
      <c r="S2423" s="72">
        <v>0</v>
      </c>
      <c r="T2423" s="72">
        <f>+L2423*S2423</f>
        <v>0</v>
      </c>
      <c r="U2423" s="72">
        <f>+R2423-T2423</f>
        <v>546.59999999999991</v>
      </c>
      <c r="V2423" s="72">
        <f>+U2423*0.75</f>
        <v>409.94999999999993</v>
      </c>
      <c r="W2423" s="72">
        <f>+U2423-V2423</f>
        <v>136.64999999999998</v>
      </c>
      <c r="X2423" s="72">
        <v>0</v>
      </c>
      <c r="Y2423" s="14">
        <f t="shared" si="258"/>
        <v>0</v>
      </c>
      <c r="Z2423" s="11" t="s">
        <v>26</v>
      </c>
      <c r="AA2423" s="12" t="s">
        <v>31</v>
      </c>
    </row>
    <row r="2424" spans="1:27" x14ac:dyDescent="0.25">
      <c r="A2424" s="10">
        <v>45693</v>
      </c>
      <c r="B2424" s="71">
        <v>2.2986111111111096E-2</v>
      </c>
      <c r="C2424" s="11" t="s">
        <v>4811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2">
        <f>(L2424*O2424)-Q2424</f>
        <v>595.20000000000005</v>
      </c>
      <c r="S2424" s="72">
        <v>0</v>
      </c>
      <c r="T2424" s="72">
        <f t="shared" ref="T2424" si="261">+L2424*S2424</f>
        <v>0</v>
      </c>
      <c r="U2424" s="72">
        <f t="shared" ref="U2424" si="262">+R2424-T2424</f>
        <v>595.20000000000005</v>
      </c>
      <c r="V2424" s="72">
        <f t="shared" ref="V2424" si="263">+U2424*0</f>
        <v>0</v>
      </c>
      <c r="W2424" s="72">
        <f t="shared" ref="W2424" si="264">+U2424-V2424</f>
        <v>595.20000000000005</v>
      </c>
      <c r="X2424" s="72">
        <v>0</v>
      </c>
      <c r="Y2424" s="14">
        <f t="shared" si="258"/>
        <v>0</v>
      </c>
      <c r="Z2424" s="11" t="s">
        <v>26</v>
      </c>
      <c r="AA2424" s="12" t="s">
        <v>31</v>
      </c>
    </row>
    <row r="2425" spans="1:27" x14ac:dyDescent="0.25">
      <c r="A2425" s="10">
        <v>45693</v>
      </c>
      <c r="B2425" s="71">
        <v>3.5567129629629657E-2</v>
      </c>
      <c r="C2425" s="11" t="s">
        <v>4812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4439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2">
        <f>L2425*O2425</f>
        <v>3711.4199999999996</v>
      </c>
      <c r="S2425" s="72">
        <v>38</v>
      </c>
      <c r="T2425" s="72">
        <f>L2425*S2425</f>
        <v>1621.08</v>
      </c>
      <c r="U2425" s="72">
        <f>R2425-T2425</f>
        <v>2090.3399999999997</v>
      </c>
      <c r="V2425" s="72">
        <f>U2425*1</f>
        <v>2090.3399999999997</v>
      </c>
      <c r="W2425" s="72">
        <f>U2425-V2425</f>
        <v>0</v>
      </c>
      <c r="X2425" s="72">
        <f>L2425*37</f>
        <v>1578.4199999999998</v>
      </c>
      <c r="Y2425" s="73">
        <f>+T2425-X2425</f>
        <v>42.660000000000082</v>
      </c>
      <c r="Z2425" s="12" t="s">
        <v>41</v>
      </c>
      <c r="AA2425" s="12" t="s">
        <v>78</v>
      </c>
    </row>
    <row r="2426" spans="1:27" x14ac:dyDescent="0.25">
      <c r="A2426" s="10">
        <v>45693</v>
      </c>
      <c r="B2426" s="71">
        <v>2.8900462962962947E-2</v>
      </c>
      <c r="C2426" s="11" t="s">
        <v>4813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4465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2">
        <f>+L2426*O2426</f>
        <v>502.80000000000007</v>
      </c>
      <c r="S2426" s="72">
        <v>0</v>
      </c>
      <c r="T2426" s="72">
        <f>+L2426*S2426</f>
        <v>0</v>
      </c>
      <c r="U2426" s="72">
        <f>+R2426-T2426</f>
        <v>502.80000000000007</v>
      </c>
      <c r="V2426" s="72">
        <f>+U2426*0.75</f>
        <v>377.1</v>
      </c>
      <c r="W2426" s="72">
        <f>+U2426-V2426</f>
        <v>125.70000000000005</v>
      </c>
      <c r="X2426" s="72">
        <v>0</v>
      </c>
      <c r="Y2426" s="14">
        <f t="shared" ref="Y2426" si="265">T2426-X2426</f>
        <v>0</v>
      </c>
      <c r="Z2426" s="11" t="s">
        <v>26</v>
      </c>
      <c r="AA2426" s="12" t="s">
        <v>31</v>
      </c>
    </row>
    <row r="2427" spans="1:27" x14ac:dyDescent="0.25">
      <c r="A2427" s="10">
        <v>45693</v>
      </c>
      <c r="B2427" s="71">
        <v>3.6388888888888915E-2</v>
      </c>
      <c r="C2427" s="11" t="s">
        <v>4814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4439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2">
        <f>L2427*O2427</f>
        <v>3509.2400000000002</v>
      </c>
      <c r="S2427" s="72">
        <v>38</v>
      </c>
      <c r="T2427" s="72">
        <f>L2427*S2427</f>
        <v>1606.64</v>
      </c>
      <c r="U2427" s="72">
        <f>R2427-T2427</f>
        <v>1902.6000000000001</v>
      </c>
      <c r="V2427" s="72">
        <f>U2427*1</f>
        <v>1902.6000000000001</v>
      </c>
      <c r="W2427" s="72">
        <f>U2427-V2427</f>
        <v>0</v>
      </c>
      <c r="X2427" s="72">
        <f>L2427*37</f>
        <v>1564.3600000000001</v>
      </c>
      <c r="Y2427" s="73">
        <f>+T2427-X2427</f>
        <v>42.279999999999973</v>
      </c>
      <c r="Z2427" s="12" t="s">
        <v>41</v>
      </c>
      <c r="AA2427" s="12" t="s">
        <v>78</v>
      </c>
    </row>
    <row r="2428" spans="1:27" x14ac:dyDescent="0.25">
      <c r="A2428" s="10">
        <v>45693</v>
      </c>
      <c r="B2428" s="71">
        <v>3.1932870370370348E-2</v>
      </c>
      <c r="C2428" s="11" t="s">
        <v>4815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2">
        <f>+M2428*P2428</f>
        <v>600</v>
      </c>
      <c r="S2428" s="72">
        <v>0</v>
      </c>
      <c r="T2428" s="72">
        <f>+M2428*S2428</f>
        <v>0</v>
      </c>
      <c r="U2428" s="72">
        <f t="shared" ref="U2428" si="266">+R2428-T2428</f>
        <v>600</v>
      </c>
      <c r="V2428" s="72">
        <f>+U2428*0</f>
        <v>0</v>
      </c>
      <c r="W2428" s="72">
        <f t="shared" ref="W2428" si="267">+U2428-V2428</f>
        <v>600</v>
      </c>
      <c r="X2428" s="72">
        <v>0</v>
      </c>
      <c r="Y2428" s="14">
        <f t="shared" ref="Y2428:Y2486" si="268">T2428-X2428</f>
        <v>0</v>
      </c>
      <c r="Z2428" s="11" t="s">
        <v>26</v>
      </c>
      <c r="AA2428" s="12" t="s">
        <v>31</v>
      </c>
    </row>
    <row r="2429" spans="1:27" x14ac:dyDescent="0.25">
      <c r="A2429" s="10">
        <v>45693</v>
      </c>
      <c r="B2429" s="71">
        <v>4.1168981481481459E-2</v>
      </c>
      <c r="C2429" s="11" t="s">
        <v>4816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2">
        <f>M2429*P2429</f>
        <v>1450</v>
      </c>
      <c r="S2429" s="72">
        <v>0</v>
      </c>
      <c r="T2429" s="72">
        <f>M2429*S2429</f>
        <v>0</v>
      </c>
      <c r="U2429" s="72">
        <f>R2429-T2429</f>
        <v>1450</v>
      </c>
      <c r="V2429" s="72">
        <f>U2429*0</f>
        <v>0</v>
      </c>
      <c r="W2429" s="72">
        <f>U2429-V2429</f>
        <v>1450</v>
      </c>
      <c r="X2429" s="72">
        <v>0</v>
      </c>
      <c r="Y2429" s="14">
        <f t="shared" si="268"/>
        <v>0</v>
      </c>
      <c r="Z2429" s="11" t="s">
        <v>26</v>
      </c>
      <c r="AA2429" s="12" t="s">
        <v>31</v>
      </c>
    </row>
    <row r="2430" spans="1:27" x14ac:dyDescent="0.25">
      <c r="A2430" s="10">
        <v>45693</v>
      </c>
      <c r="B2430" s="71">
        <v>4.086805555555556E-2</v>
      </c>
      <c r="C2430" s="11" t="s">
        <v>4817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2">
        <f>+M2430*P2430</f>
        <v>600</v>
      </c>
      <c r="S2430" s="72">
        <v>0</v>
      </c>
      <c r="T2430" s="72">
        <f>+M2430*S2430</f>
        <v>0</v>
      </c>
      <c r="U2430" s="72">
        <f t="shared" ref="U2430" si="269">+R2430-T2430</f>
        <v>600</v>
      </c>
      <c r="V2430" s="72">
        <f>+U2430*0</f>
        <v>0</v>
      </c>
      <c r="W2430" s="72">
        <f t="shared" ref="W2430" si="270">+U2430-V2430</f>
        <v>600</v>
      </c>
      <c r="X2430" s="72">
        <v>0</v>
      </c>
      <c r="Y2430" s="14">
        <f t="shared" si="268"/>
        <v>0</v>
      </c>
      <c r="Z2430" s="11" t="s">
        <v>26</v>
      </c>
      <c r="AA2430" s="12" t="s">
        <v>31</v>
      </c>
    </row>
    <row r="2431" spans="1:27" x14ac:dyDescent="0.25">
      <c r="A2431" s="10">
        <v>45693</v>
      </c>
      <c r="B2431" s="71">
        <v>3.4375000000000044E-2</v>
      </c>
      <c r="C2431" s="11" t="s">
        <v>4818</v>
      </c>
      <c r="D2431" s="11">
        <v>16961</v>
      </c>
      <c r="E2431" s="11" t="s">
        <v>1217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2">
        <f>M2431*P2431</f>
        <v>1500</v>
      </c>
      <c r="S2431" s="72">
        <v>0</v>
      </c>
      <c r="T2431" s="72">
        <f>M2431*S2431</f>
        <v>0</v>
      </c>
      <c r="U2431" s="72">
        <f>R2431-T2431</f>
        <v>1500</v>
      </c>
      <c r="V2431" s="72">
        <f>U2431*0</f>
        <v>0</v>
      </c>
      <c r="W2431" s="72">
        <f>U2431-V2431</f>
        <v>1500</v>
      </c>
      <c r="X2431" s="72">
        <v>0</v>
      </c>
      <c r="Y2431" s="14">
        <f t="shared" si="268"/>
        <v>0</v>
      </c>
      <c r="Z2431" s="11" t="s">
        <v>26</v>
      </c>
      <c r="AA2431" s="12" t="s">
        <v>31</v>
      </c>
    </row>
    <row r="2432" spans="1:27" x14ac:dyDescent="0.25">
      <c r="A2432" s="10">
        <v>45693</v>
      </c>
      <c r="B2432" s="71">
        <v>3.6597222222222225E-2</v>
      </c>
      <c r="C2432" s="11" t="s">
        <v>4819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2">
        <f>M2432*P2432</f>
        <v>1280</v>
      </c>
      <c r="S2432" s="72">
        <v>0</v>
      </c>
      <c r="T2432" s="72">
        <f>M2432*S2432</f>
        <v>0</v>
      </c>
      <c r="U2432" s="72">
        <f>+R2432-T2432</f>
        <v>1280</v>
      </c>
      <c r="V2432" s="72">
        <f t="shared" ref="V2432:V2433" si="271">+U2432*0</f>
        <v>0</v>
      </c>
      <c r="W2432" s="72">
        <f>+U2432-V2432</f>
        <v>1280</v>
      </c>
      <c r="X2432" s="72">
        <v>0</v>
      </c>
      <c r="Y2432" s="14">
        <f t="shared" si="268"/>
        <v>0</v>
      </c>
      <c r="Z2432" s="11" t="s">
        <v>26</v>
      </c>
      <c r="AA2432" s="12" t="s">
        <v>31</v>
      </c>
    </row>
    <row r="2433" spans="1:27" x14ac:dyDescent="0.25">
      <c r="A2433" s="10">
        <v>45693</v>
      </c>
      <c r="B2433" s="71">
        <v>4.1863425925925957E-2</v>
      </c>
      <c r="C2433" s="11" t="s">
        <v>4820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2">
        <f>+L2433*O2433</f>
        <v>1535.2</v>
      </c>
      <c r="S2433" s="72">
        <v>0</v>
      </c>
      <c r="T2433" s="72">
        <f>+L2433*S2433</f>
        <v>0</v>
      </c>
      <c r="U2433" s="72">
        <f>+R2433-T2433</f>
        <v>1535.2</v>
      </c>
      <c r="V2433" s="72">
        <f t="shared" si="271"/>
        <v>0</v>
      </c>
      <c r="W2433" s="72">
        <f>+U2433-V2433</f>
        <v>1535.2</v>
      </c>
      <c r="X2433" s="72">
        <v>0</v>
      </c>
      <c r="Y2433" s="14">
        <f t="shared" si="268"/>
        <v>0</v>
      </c>
      <c r="Z2433" s="11" t="s">
        <v>26</v>
      </c>
      <c r="AA2433" s="12" t="s">
        <v>31</v>
      </c>
    </row>
    <row r="2434" spans="1:27" x14ac:dyDescent="0.25">
      <c r="A2434" s="10">
        <v>45693</v>
      </c>
      <c r="B2434" s="71">
        <v>2.4768518518518579E-2</v>
      </c>
      <c r="C2434" s="11" t="s">
        <v>4821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2">
        <f>+M2434*P2434</f>
        <v>600</v>
      </c>
      <c r="S2434" s="72">
        <v>0</v>
      </c>
      <c r="T2434" s="72">
        <f>+M2434*S2434</f>
        <v>0</v>
      </c>
      <c r="U2434" s="72">
        <f t="shared" ref="U2434" si="272">+R2434-T2434</f>
        <v>600</v>
      </c>
      <c r="V2434" s="72">
        <f>+U2434*0</f>
        <v>0</v>
      </c>
      <c r="W2434" s="72">
        <f t="shared" ref="W2434" si="273">+U2434-V2434</f>
        <v>600</v>
      </c>
      <c r="X2434" s="72">
        <v>0</v>
      </c>
      <c r="Y2434" s="14">
        <f t="shared" si="268"/>
        <v>0</v>
      </c>
      <c r="Z2434" s="11" t="s">
        <v>26</v>
      </c>
      <c r="AA2434" s="12" t="s">
        <v>31</v>
      </c>
    </row>
    <row r="2435" spans="1:27" x14ac:dyDescent="0.25">
      <c r="A2435" s="10">
        <v>45693</v>
      </c>
      <c r="B2435" s="71">
        <v>1.9120370370370399E-2</v>
      </c>
      <c r="C2435" s="11" t="s">
        <v>4822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2">
        <f>L2435*O2435</f>
        <v>446.70000000000005</v>
      </c>
      <c r="S2435" s="72">
        <v>0</v>
      </c>
      <c r="T2435" s="72">
        <f>L2435*S2435</f>
        <v>0</v>
      </c>
      <c r="U2435" s="72">
        <f>R2435-T2435</f>
        <v>446.70000000000005</v>
      </c>
      <c r="V2435" s="72">
        <f>U2435*0</f>
        <v>0</v>
      </c>
      <c r="W2435" s="72">
        <f>U2435-V2435</f>
        <v>446.70000000000005</v>
      </c>
      <c r="X2435" s="72">
        <v>0</v>
      </c>
      <c r="Y2435" s="14">
        <f t="shared" si="268"/>
        <v>0</v>
      </c>
      <c r="Z2435" s="11" t="s">
        <v>26</v>
      </c>
      <c r="AA2435" s="12" t="s">
        <v>31</v>
      </c>
    </row>
    <row r="2436" spans="1:27" x14ac:dyDescent="0.25">
      <c r="A2436" s="10">
        <v>45693</v>
      </c>
      <c r="B2436" s="71">
        <v>2.8935185185185175E-2</v>
      </c>
      <c r="C2436" s="11" t="s">
        <v>4823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2">
        <f>+M2436*P2436</f>
        <v>600</v>
      </c>
      <c r="S2436" s="72">
        <v>0</v>
      </c>
      <c r="T2436" s="72">
        <f>+M2436*S2436</f>
        <v>0</v>
      </c>
      <c r="U2436" s="72">
        <f t="shared" ref="U2436:U2440" si="274">+R2436-T2436</f>
        <v>600</v>
      </c>
      <c r="V2436" s="72">
        <f>+U2436*0</f>
        <v>0</v>
      </c>
      <c r="W2436" s="72">
        <f t="shared" ref="W2436:W2440" si="275">+U2436-V2436</f>
        <v>600</v>
      </c>
      <c r="X2436" s="72">
        <v>0</v>
      </c>
      <c r="Y2436" s="14">
        <f t="shared" si="268"/>
        <v>0</v>
      </c>
      <c r="Z2436" s="11" t="s">
        <v>26</v>
      </c>
      <c r="AA2436" s="12" t="s">
        <v>31</v>
      </c>
    </row>
    <row r="2437" spans="1:27" x14ac:dyDescent="0.25">
      <c r="A2437" s="10">
        <v>45693</v>
      </c>
      <c r="B2437" s="71">
        <v>8.5995370370370305E-3</v>
      </c>
      <c r="C2437" s="11" t="s">
        <v>4824</v>
      </c>
      <c r="D2437" s="11">
        <v>16967</v>
      </c>
      <c r="E2437" s="11" t="s">
        <v>4793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2">
        <f>(L2437*O2437)-Q2437</f>
        <v>306.39999999999998</v>
      </c>
      <c r="S2437" s="72">
        <v>0</v>
      </c>
      <c r="T2437" s="72">
        <f t="shared" ref="T2437" si="276">+L2437*S2437</f>
        <v>0</v>
      </c>
      <c r="U2437" s="72">
        <f t="shared" si="274"/>
        <v>306.39999999999998</v>
      </c>
      <c r="V2437" s="72">
        <f t="shared" ref="V2437" si="277">+U2437*0</f>
        <v>0</v>
      </c>
      <c r="W2437" s="72">
        <f t="shared" si="275"/>
        <v>306.39999999999998</v>
      </c>
      <c r="X2437" s="72">
        <v>0</v>
      </c>
      <c r="Y2437" s="14">
        <f t="shared" si="268"/>
        <v>0</v>
      </c>
      <c r="Z2437" s="11" t="s">
        <v>26</v>
      </c>
      <c r="AA2437" s="12" t="s">
        <v>31</v>
      </c>
    </row>
    <row r="2438" spans="1:27" x14ac:dyDescent="0.25">
      <c r="A2438" s="10">
        <v>45693</v>
      </c>
      <c r="B2438" s="71">
        <v>8.7731481481481688E-3</v>
      </c>
      <c r="C2438" s="11" t="s">
        <v>4825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2">
        <f>+M2438*P2438</f>
        <v>600</v>
      </c>
      <c r="S2438" s="72">
        <v>0</v>
      </c>
      <c r="T2438" s="72">
        <f>+M2438*S2438</f>
        <v>0</v>
      </c>
      <c r="U2438" s="72">
        <f t="shared" si="274"/>
        <v>600</v>
      </c>
      <c r="V2438" s="72">
        <f>+U2438*0</f>
        <v>0</v>
      </c>
      <c r="W2438" s="72">
        <f t="shared" si="275"/>
        <v>600</v>
      </c>
      <c r="X2438" s="72">
        <v>0</v>
      </c>
      <c r="Y2438" s="14">
        <f t="shared" si="268"/>
        <v>0</v>
      </c>
      <c r="Z2438" s="11" t="s">
        <v>26</v>
      </c>
      <c r="AA2438" s="12" t="s">
        <v>31</v>
      </c>
    </row>
    <row r="2439" spans="1:27" x14ac:dyDescent="0.25">
      <c r="A2439" s="10">
        <v>45693</v>
      </c>
      <c r="B2439" s="71">
        <v>7.3645833333333299E-2</v>
      </c>
      <c r="C2439" s="11" t="s">
        <v>4826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4440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2">
        <f>+L2439*O2439</f>
        <v>1493.1</v>
      </c>
      <c r="S2439" s="72">
        <v>0</v>
      </c>
      <c r="T2439" s="72">
        <f>+L2439*S2439</f>
        <v>0</v>
      </c>
      <c r="U2439" s="72">
        <f t="shared" si="274"/>
        <v>1493.1</v>
      </c>
      <c r="V2439" s="72">
        <f>+U2439*1</f>
        <v>1493.1</v>
      </c>
      <c r="W2439" s="72">
        <f t="shared" si="275"/>
        <v>0</v>
      </c>
      <c r="X2439" s="72">
        <v>0</v>
      </c>
      <c r="Y2439" s="14">
        <f t="shared" si="268"/>
        <v>0</v>
      </c>
      <c r="Z2439" s="11" t="s">
        <v>26</v>
      </c>
      <c r="AA2439" s="12" t="s">
        <v>31</v>
      </c>
    </row>
    <row r="2440" spans="1:27" x14ac:dyDescent="0.25">
      <c r="A2440" s="10">
        <v>45693</v>
      </c>
      <c r="B2440" s="71">
        <v>2.0810185185185182E-2</v>
      </c>
      <c r="C2440" s="11" t="s">
        <v>4827</v>
      </c>
      <c r="D2440" s="11">
        <v>16970</v>
      </c>
      <c r="E2440" s="11" t="s">
        <v>4828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2">
        <f>(L2440*O2440)-Q2440</f>
        <v>254.99999999999997</v>
      </c>
      <c r="S2440" s="72">
        <v>0</v>
      </c>
      <c r="T2440" s="72">
        <f t="shared" ref="T2440" si="278">+L2440*S2440</f>
        <v>0</v>
      </c>
      <c r="U2440" s="72">
        <f t="shared" si="274"/>
        <v>254.99999999999997</v>
      </c>
      <c r="V2440" s="72">
        <f t="shared" ref="V2440" si="279">+U2440*0</f>
        <v>0</v>
      </c>
      <c r="W2440" s="72">
        <f t="shared" si="275"/>
        <v>254.99999999999997</v>
      </c>
      <c r="X2440" s="72">
        <v>0</v>
      </c>
      <c r="Y2440" s="14">
        <f t="shared" si="268"/>
        <v>0</v>
      </c>
      <c r="Z2440" s="11" t="s">
        <v>26</v>
      </c>
      <c r="AA2440" s="12" t="s">
        <v>31</v>
      </c>
    </row>
    <row r="2441" spans="1:27" x14ac:dyDescent="0.25">
      <c r="A2441" s="10">
        <v>45693</v>
      </c>
      <c r="B2441" s="71">
        <v>3.6041666666666694E-2</v>
      </c>
      <c r="C2441" s="11" t="s">
        <v>4829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4463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2">
        <f t="shared" ref="R2441" si="280">+L2441*O2441</f>
        <v>1497.76</v>
      </c>
      <c r="S2441" s="72">
        <v>0</v>
      </c>
      <c r="T2441" s="72">
        <f>+L2441*S2441</f>
        <v>0</v>
      </c>
      <c r="U2441" s="72">
        <f>+R2441-T2441</f>
        <v>1497.76</v>
      </c>
      <c r="V2441" s="72">
        <f>+U2441*1</f>
        <v>1497.76</v>
      </c>
      <c r="W2441" s="72">
        <f>+U2441-V2441</f>
        <v>0</v>
      </c>
      <c r="X2441" s="72">
        <v>0</v>
      </c>
      <c r="Y2441" s="14">
        <f t="shared" si="268"/>
        <v>0</v>
      </c>
      <c r="Z2441" s="11" t="s">
        <v>26</v>
      </c>
      <c r="AA2441" s="12" t="s">
        <v>31</v>
      </c>
    </row>
    <row r="2442" spans="1:27" x14ac:dyDescent="0.25">
      <c r="A2442" s="10">
        <v>45693</v>
      </c>
      <c r="B2442" s="71">
        <v>1.3703703703703718E-2</v>
      </c>
      <c r="C2442" s="11" t="s">
        <v>4830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4465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2">
        <f>+L2442*O2442</f>
        <v>1817.3</v>
      </c>
      <c r="S2442" s="72">
        <v>0</v>
      </c>
      <c r="T2442" s="72">
        <f>+L2442*S2442</f>
        <v>0</v>
      </c>
      <c r="U2442" s="72">
        <f>+R2442-T2442</f>
        <v>1817.3</v>
      </c>
      <c r="V2442" s="72">
        <f>+U2442*0.75</f>
        <v>1362.9749999999999</v>
      </c>
      <c r="W2442" s="72">
        <f>+U2442-V2442</f>
        <v>454.32500000000005</v>
      </c>
      <c r="X2442" s="72">
        <v>0</v>
      </c>
      <c r="Y2442" s="14">
        <f t="shared" si="268"/>
        <v>0</v>
      </c>
      <c r="Z2442" s="11" t="s">
        <v>26</v>
      </c>
      <c r="AA2442" s="12" t="s">
        <v>31</v>
      </c>
    </row>
    <row r="2443" spans="1:27" x14ac:dyDescent="0.25">
      <c r="A2443" s="10">
        <v>45693</v>
      </c>
      <c r="B2443" s="71">
        <v>6.6087962962962377E-3</v>
      </c>
      <c r="C2443" s="11" t="s">
        <v>4831</v>
      </c>
      <c r="D2443" s="11">
        <v>16973</v>
      </c>
      <c r="E2443" s="11" t="s">
        <v>4793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2">
        <f>(L2443*O2443)-Q2443</f>
        <v>318</v>
      </c>
      <c r="S2443" s="72">
        <v>0</v>
      </c>
      <c r="T2443" s="72">
        <f t="shared" ref="T2443" si="281">+L2443*S2443</f>
        <v>0</v>
      </c>
      <c r="U2443" s="72">
        <f t="shared" ref="U2443:U2444" si="282">+R2443-T2443</f>
        <v>318</v>
      </c>
      <c r="V2443" s="72">
        <f t="shared" ref="V2443" si="283">+U2443*0</f>
        <v>0</v>
      </c>
      <c r="W2443" s="72">
        <f t="shared" ref="W2443:W2444" si="284">+U2443-V2443</f>
        <v>318</v>
      </c>
      <c r="X2443" s="72">
        <v>0</v>
      </c>
      <c r="Y2443" s="14">
        <f t="shared" si="268"/>
        <v>0</v>
      </c>
      <c r="Z2443" s="11" t="s">
        <v>26</v>
      </c>
      <c r="AA2443" s="12" t="s">
        <v>31</v>
      </c>
    </row>
    <row r="2444" spans="1:27" x14ac:dyDescent="0.25">
      <c r="A2444" s="10">
        <v>45693</v>
      </c>
      <c r="B2444" s="71">
        <v>0.10934027777777777</v>
      </c>
      <c r="C2444" s="11" t="s">
        <v>4832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4440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2">
        <f>+L2444*O2444</f>
        <v>1538.1</v>
      </c>
      <c r="S2444" s="72">
        <v>0</v>
      </c>
      <c r="T2444" s="72">
        <f>+L2444*S2444</f>
        <v>0</v>
      </c>
      <c r="U2444" s="72">
        <f t="shared" si="282"/>
        <v>1538.1</v>
      </c>
      <c r="V2444" s="72">
        <f>+U2444*1</f>
        <v>1538.1</v>
      </c>
      <c r="W2444" s="72">
        <f t="shared" si="284"/>
        <v>0</v>
      </c>
      <c r="X2444" s="72">
        <v>0</v>
      </c>
      <c r="Y2444" s="14">
        <f t="shared" si="268"/>
        <v>0</v>
      </c>
      <c r="Z2444" s="11" t="s">
        <v>26</v>
      </c>
      <c r="AA2444" s="12" t="s">
        <v>31</v>
      </c>
    </row>
    <row r="2445" spans="1:27" x14ac:dyDescent="0.25">
      <c r="A2445" s="10">
        <v>45693</v>
      </c>
      <c r="B2445" s="71">
        <v>9.8263888888888706E-3</v>
      </c>
      <c r="C2445" s="11" t="s">
        <v>4833</v>
      </c>
      <c r="D2445" s="11">
        <v>16976</v>
      </c>
      <c r="E2445" s="11" t="s">
        <v>4834</v>
      </c>
      <c r="F2445" s="11" t="s">
        <v>26</v>
      </c>
      <c r="G2445" s="11">
        <v>72352</v>
      </c>
      <c r="H2445" s="12" t="s">
        <v>4465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2">
        <f>+L2445*O2445</f>
        <v>1877.65</v>
      </c>
      <c r="S2445" s="72">
        <v>0</v>
      </c>
      <c r="T2445" s="72">
        <f>+L2445*S2445</f>
        <v>0</v>
      </c>
      <c r="U2445" s="72">
        <f>+R2445-T2445</f>
        <v>1877.65</v>
      </c>
      <c r="V2445" s="72">
        <f>+U2445*0.75</f>
        <v>1408.2375000000002</v>
      </c>
      <c r="W2445" s="72">
        <f>+U2445-V2445</f>
        <v>469.41249999999991</v>
      </c>
      <c r="X2445" s="72">
        <v>0</v>
      </c>
      <c r="Y2445" s="14">
        <f t="shared" si="268"/>
        <v>0</v>
      </c>
      <c r="Z2445" s="11" t="s">
        <v>26</v>
      </c>
      <c r="AA2445" s="12" t="s">
        <v>31</v>
      </c>
    </row>
    <row r="2446" spans="1:27" x14ac:dyDescent="0.25">
      <c r="A2446" s="10">
        <v>45693</v>
      </c>
      <c r="B2446" s="71">
        <v>1.3969907407407445E-2</v>
      </c>
      <c r="C2446" s="11" t="s">
        <v>4835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4440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2">
        <f t="shared" ref="R2446" si="285">+L2446*O2446</f>
        <v>1545.6000000000001</v>
      </c>
      <c r="S2446" s="72">
        <v>0</v>
      </c>
      <c r="T2446" s="72">
        <f t="shared" ref="T2446" si="286">+L2446*S2446</f>
        <v>0</v>
      </c>
      <c r="U2446" s="72">
        <f t="shared" ref="U2446" si="287">+R2446-T2446</f>
        <v>1545.6000000000001</v>
      </c>
      <c r="V2446" s="72">
        <f>+U2446*1</f>
        <v>1545.6000000000001</v>
      </c>
      <c r="W2446" s="72">
        <f t="shared" ref="W2446" si="288">+U2446-V2446</f>
        <v>0</v>
      </c>
      <c r="X2446" s="72">
        <v>0</v>
      </c>
      <c r="Y2446" s="14">
        <f t="shared" si="268"/>
        <v>0</v>
      </c>
      <c r="Z2446" s="11" t="s">
        <v>26</v>
      </c>
      <c r="AA2446" s="12" t="s">
        <v>31</v>
      </c>
    </row>
    <row r="2447" spans="1:27" x14ac:dyDescent="0.25">
      <c r="A2447" s="10">
        <v>45693</v>
      </c>
      <c r="B2447" s="71">
        <v>1.2905092592592593E-2</v>
      </c>
      <c r="C2447" s="11" t="s">
        <v>4836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4465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2">
        <f>+L2447*O2447</f>
        <v>547.80000000000007</v>
      </c>
      <c r="S2447" s="72">
        <v>0</v>
      </c>
      <c r="T2447" s="72">
        <f>+L2447*S2447</f>
        <v>0</v>
      </c>
      <c r="U2447" s="72">
        <f>+R2447-T2447</f>
        <v>547.80000000000007</v>
      </c>
      <c r="V2447" s="72">
        <f>+U2447*0.75</f>
        <v>410.85</v>
      </c>
      <c r="W2447" s="72">
        <f>+U2447-V2447</f>
        <v>136.95000000000005</v>
      </c>
      <c r="X2447" s="72">
        <v>0</v>
      </c>
      <c r="Y2447" s="14">
        <f t="shared" si="268"/>
        <v>0</v>
      </c>
      <c r="Z2447" s="11" t="s">
        <v>26</v>
      </c>
      <c r="AA2447" s="12" t="s">
        <v>31</v>
      </c>
    </row>
    <row r="2448" spans="1:27" x14ac:dyDescent="0.25">
      <c r="A2448" s="10">
        <v>45693</v>
      </c>
      <c r="B2448" s="71">
        <v>1.7893518518518503E-2</v>
      </c>
      <c r="C2448" s="11" t="s">
        <v>4837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2">
        <f>M2448*P2448</f>
        <v>1450</v>
      </c>
      <c r="S2448" s="72">
        <v>0</v>
      </c>
      <c r="T2448" s="72">
        <f>M2448*S2448</f>
        <v>0</v>
      </c>
      <c r="U2448" s="72">
        <f>R2448-T2448</f>
        <v>1450</v>
      </c>
      <c r="V2448" s="72">
        <f>U2448*0</f>
        <v>0</v>
      </c>
      <c r="W2448" s="72">
        <f>U2448-V2448</f>
        <v>1450</v>
      </c>
      <c r="X2448" s="72">
        <v>0</v>
      </c>
      <c r="Y2448" s="14">
        <f t="shared" si="268"/>
        <v>0</v>
      </c>
      <c r="Z2448" s="11" t="s">
        <v>26</v>
      </c>
      <c r="AA2448" s="12" t="s">
        <v>31</v>
      </c>
    </row>
    <row r="2449" spans="1:27" x14ac:dyDescent="0.25">
      <c r="A2449" s="10">
        <v>45693</v>
      </c>
      <c r="B2449" s="71">
        <v>5.2893518518518645E-3</v>
      </c>
      <c r="C2449" s="11" t="s">
        <v>4838</v>
      </c>
      <c r="D2449" s="11">
        <v>16980</v>
      </c>
      <c r="E2449" s="11" t="s">
        <v>4793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2">
        <f>(L2449*O2449)-Q2449</f>
        <v>311.2</v>
      </c>
      <c r="S2449" s="72">
        <v>0</v>
      </c>
      <c r="T2449" s="72">
        <f t="shared" ref="T2449" si="289">+L2449*S2449</f>
        <v>0</v>
      </c>
      <c r="U2449" s="72">
        <f t="shared" ref="U2449" si="290">+R2449-T2449</f>
        <v>311.2</v>
      </c>
      <c r="V2449" s="72">
        <f t="shared" ref="V2449" si="291">+U2449*0</f>
        <v>0</v>
      </c>
      <c r="W2449" s="72">
        <f t="shared" ref="W2449" si="292">+U2449-V2449</f>
        <v>311.2</v>
      </c>
      <c r="X2449" s="72">
        <v>0</v>
      </c>
      <c r="Y2449" s="14">
        <f t="shared" si="268"/>
        <v>0</v>
      </c>
      <c r="Z2449" s="11" t="s">
        <v>26</v>
      </c>
      <c r="AA2449" s="12" t="s">
        <v>31</v>
      </c>
    </row>
    <row r="2450" spans="1:27" x14ac:dyDescent="0.25">
      <c r="A2450" s="10">
        <v>45693</v>
      </c>
      <c r="B2450" s="71">
        <v>8.8425925925926796E-3</v>
      </c>
      <c r="C2450" s="11" t="s">
        <v>4839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4463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2">
        <f t="shared" ref="R2450" si="293">+L2450*O2450</f>
        <v>1549.6799999999998</v>
      </c>
      <c r="S2450" s="72">
        <v>0</v>
      </c>
      <c r="T2450" s="72">
        <f>+L2450*S2450</f>
        <v>0</v>
      </c>
      <c r="U2450" s="72">
        <f>+R2450-T2450</f>
        <v>1549.6799999999998</v>
      </c>
      <c r="V2450" s="72">
        <f>+U2450*1</f>
        <v>1549.6799999999998</v>
      </c>
      <c r="W2450" s="72">
        <f>+U2450-V2450</f>
        <v>0</v>
      </c>
      <c r="X2450" s="72">
        <v>0</v>
      </c>
      <c r="Y2450" s="14">
        <f t="shared" si="268"/>
        <v>0</v>
      </c>
      <c r="Z2450" s="11" t="s">
        <v>26</v>
      </c>
      <c r="AA2450" s="12" t="s">
        <v>31</v>
      </c>
    </row>
    <row r="2451" spans="1:27" x14ac:dyDescent="0.25">
      <c r="A2451" s="10">
        <v>45693</v>
      </c>
      <c r="B2451" s="71">
        <v>2.1597222222222212E-2</v>
      </c>
      <c r="C2451" s="11" t="s">
        <v>4840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2">
        <f>M2451*P2451</f>
        <v>1600</v>
      </c>
      <c r="S2451" s="72">
        <v>0</v>
      </c>
      <c r="T2451" s="72">
        <f>M2451*S2451</f>
        <v>0</v>
      </c>
      <c r="U2451" s="72">
        <f>+R2451-T2451</f>
        <v>1600</v>
      </c>
      <c r="V2451" s="72">
        <f t="shared" ref="V2451" si="294">+U2451*0</f>
        <v>0</v>
      </c>
      <c r="W2451" s="72">
        <f>+U2451-V2451</f>
        <v>1600</v>
      </c>
      <c r="X2451" s="72">
        <v>0</v>
      </c>
      <c r="Y2451" s="14">
        <f t="shared" si="268"/>
        <v>0</v>
      </c>
      <c r="Z2451" s="11" t="s">
        <v>26</v>
      </c>
      <c r="AA2451" s="12" t="s">
        <v>31</v>
      </c>
    </row>
    <row r="2452" spans="1:27" x14ac:dyDescent="0.25">
      <c r="A2452" s="10">
        <v>45693</v>
      </c>
      <c r="B2452" s="71">
        <v>5.6805555555555554E-2</v>
      </c>
      <c r="C2452" s="11" t="s">
        <v>4841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2">
        <f>M2452*P2452</f>
        <v>1450</v>
      </c>
      <c r="S2452" s="72">
        <v>0</v>
      </c>
      <c r="T2452" s="72">
        <f>M2452*S2452</f>
        <v>0</v>
      </c>
      <c r="U2452" s="72">
        <f>R2452-T2452</f>
        <v>1450</v>
      </c>
      <c r="V2452" s="72">
        <f>U2452*0</f>
        <v>0</v>
      </c>
      <c r="W2452" s="72">
        <f>U2452-V2452</f>
        <v>1450</v>
      </c>
      <c r="X2452" s="72">
        <v>0</v>
      </c>
      <c r="Y2452" s="14">
        <f t="shared" si="268"/>
        <v>0</v>
      </c>
      <c r="Z2452" s="11" t="s">
        <v>26</v>
      </c>
      <c r="AA2452" s="12" t="s">
        <v>31</v>
      </c>
    </row>
    <row r="2453" spans="1:27" x14ac:dyDescent="0.25">
      <c r="A2453" s="10">
        <v>45693</v>
      </c>
      <c r="B2453" s="71">
        <v>2.4050925925925892E-2</v>
      </c>
      <c r="C2453" s="11" t="s">
        <v>4842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2">
        <f>M2453*P2453</f>
        <v>1600</v>
      </c>
      <c r="S2453" s="72">
        <v>0</v>
      </c>
      <c r="T2453" s="72">
        <f>M2453*S2453</f>
        <v>0</v>
      </c>
      <c r="U2453" s="72">
        <f>+R2453-T2453</f>
        <v>1600</v>
      </c>
      <c r="V2453" s="72">
        <f t="shared" ref="V2453:V2454" si="295">+U2453*0</f>
        <v>0</v>
      </c>
      <c r="W2453" s="72">
        <f>+U2453-V2453</f>
        <v>1600</v>
      </c>
      <c r="X2453" s="72">
        <v>0</v>
      </c>
      <c r="Y2453" s="14">
        <f t="shared" si="268"/>
        <v>0</v>
      </c>
      <c r="Z2453" s="11" t="s">
        <v>26</v>
      </c>
      <c r="AA2453" s="12" t="s">
        <v>31</v>
      </c>
    </row>
    <row r="2454" spans="1:27" x14ac:dyDescent="0.25">
      <c r="A2454" s="10">
        <v>45693</v>
      </c>
      <c r="B2454" s="71">
        <v>1.9201388888888893E-2</v>
      </c>
      <c r="C2454" s="11" t="s">
        <v>4843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2">
        <f>M2454*P2454</f>
        <v>1600</v>
      </c>
      <c r="S2454" s="72">
        <v>0</v>
      </c>
      <c r="T2454" s="72">
        <f>M2454*S2454</f>
        <v>0</v>
      </c>
      <c r="U2454" s="72">
        <f>+R2454-T2454</f>
        <v>1600</v>
      </c>
      <c r="V2454" s="72">
        <f t="shared" si="295"/>
        <v>0</v>
      </c>
      <c r="W2454" s="72">
        <f>+U2454-V2454</f>
        <v>1600</v>
      </c>
      <c r="X2454" s="72">
        <v>0</v>
      </c>
      <c r="Y2454" s="14">
        <f t="shared" si="268"/>
        <v>0</v>
      </c>
      <c r="Z2454" s="11" t="s">
        <v>26</v>
      </c>
      <c r="AA2454" s="12" t="s">
        <v>31</v>
      </c>
    </row>
    <row r="2455" spans="1:27" x14ac:dyDescent="0.25">
      <c r="A2455" s="10">
        <v>45693</v>
      </c>
      <c r="B2455" s="71">
        <v>1.1446759259259309E-2</v>
      </c>
      <c r="C2455" s="11" t="s">
        <v>4844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2">
        <f>M2455*P2455</f>
        <v>1500</v>
      </c>
      <c r="S2455" s="72">
        <v>0</v>
      </c>
      <c r="T2455" s="72">
        <f>M2455*S2455</f>
        <v>0</v>
      </c>
      <c r="U2455" s="72">
        <f>R2455-T2455</f>
        <v>1500</v>
      </c>
      <c r="V2455" s="72">
        <f>U2455*0</f>
        <v>0</v>
      </c>
      <c r="W2455" s="72">
        <f>U2455-V2455</f>
        <v>1500</v>
      </c>
      <c r="X2455" s="72">
        <v>0</v>
      </c>
      <c r="Y2455" s="14">
        <f t="shared" si="268"/>
        <v>0</v>
      </c>
      <c r="Z2455" s="11" t="s">
        <v>26</v>
      </c>
      <c r="AA2455" s="12" t="s">
        <v>31</v>
      </c>
    </row>
    <row r="2456" spans="1:27" x14ac:dyDescent="0.25">
      <c r="A2456" s="10">
        <v>45693</v>
      </c>
      <c r="B2456" s="71">
        <v>1.1840277777777741E-2</v>
      </c>
      <c r="C2456" s="11" t="s">
        <v>4845</v>
      </c>
      <c r="D2456" s="11">
        <v>16988</v>
      </c>
      <c r="E2456" s="11" t="s">
        <v>4793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2">
        <f>(L2456*O2456)-Q2456</f>
        <v>315.59999999999997</v>
      </c>
      <c r="S2456" s="72">
        <v>0</v>
      </c>
      <c r="T2456" s="72">
        <f t="shared" ref="T2456" si="296">+L2456*S2456</f>
        <v>0</v>
      </c>
      <c r="U2456" s="72">
        <f t="shared" ref="U2456" si="297">+R2456-T2456</f>
        <v>315.59999999999997</v>
      </c>
      <c r="V2456" s="72">
        <f t="shared" ref="V2456" si="298">+U2456*0</f>
        <v>0</v>
      </c>
      <c r="W2456" s="72">
        <f t="shared" ref="W2456" si="299">+U2456-V2456</f>
        <v>315.59999999999997</v>
      </c>
      <c r="X2456" s="72">
        <v>0</v>
      </c>
      <c r="Y2456" s="14">
        <f t="shared" si="268"/>
        <v>0</v>
      </c>
      <c r="Z2456" s="11" t="s">
        <v>26</v>
      </c>
      <c r="AA2456" s="12" t="s">
        <v>31</v>
      </c>
    </row>
    <row r="2457" spans="1:27" x14ac:dyDescent="0.25">
      <c r="A2457" s="10">
        <v>45693</v>
      </c>
      <c r="B2457" s="71">
        <v>1.2245370370370323E-2</v>
      </c>
      <c r="C2457" s="11" t="s">
        <v>4846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2">
        <f>M2457*P2457</f>
        <v>1450</v>
      </c>
      <c r="S2457" s="72">
        <v>0</v>
      </c>
      <c r="T2457" s="72">
        <f>M2457*S2457</f>
        <v>0</v>
      </c>
      <c r="U2457" s="72">
        <f>R2457-T2457</f>
        <v>1450</v>
      </c>
      <c r="V2457" s="72">
        <f>U2457*0</f>
        <v>0</v>
      </c>
      <c r="W2457" s="72">
        <f>U2457-V2457</f>
        <v>1450</v>
      </c>
      <c r="X2457" s="72">
        <v>0</v>
      </c>
      <c r="Y2457" s="14">
        <f t="shared" si="268"/>
        <v>0</v>
      </c>
      <c r="Z2457" s="11" t="s">
        <v>26</v>
      </c>
      <c r="AA2457" s="12" t="s">
        <v>31</v>
      </c>
    </row>
    <row r="2458" spans="1:27" x14ac:dyDescent="0.25">
      <c r="A2458" s="10">
        <v>45693</v>
      </c>
      <c r="B2458" s="71">
        <v>1.6909722222222312E-2</v>
      </c>
      <c r="C2458" s="11" t="s">
        <v>4847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2">
        <f>M2458*P2458</f>
        <v>1550</v>
      </c>
      <c r="S2458" s="72">
        <v>0</v>
      </c>
      <c r="T2458" s="72">
        <f>M2458*S2458</f>
        <v>0</v>
      </c>
      <c r="U2458" s="72">
        <f>R2458-T2458</f>
        <v>1550</v>
      </c>
      <c r="V2458" s="72">
        <f>U2458*0</f>
        <v>0</v>
      </c>
      <c r="W2458" s="72">
        <f>U2458-V2458</f>
        <v>1550</v>
      </c>
      <c r="X2458" s="72">
        <v>0</v>
      </c>
      <c r="Y2458" s="14">
        <f t="shared" si="268"/>
        <v>0</v>
      </c>
      <c r="Z2458" s="11" t="s">
        <v>26</v>
      </c>
      <c r="AA2458" s="12" t="s">
        <v>31</v>
      </c>
    </row>
    <row r="2459" spans="1:27" x14ac:dyDescent="0.25">
      <c r="A2459" s="10">
        <v>45693</v>
      </c>
      <c r="B2459" s="71">
        <v>1.6817129629629668E-2</v>
      </c>
      <c r="C2459" s="11" t="s">
        <v>4848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2">
        <f>+M2459*P2459</f>
        <v>600</v>
      </c>
      <c r="S2459" s="72">
        <v>0</v>
      </c>
      <c r="T2459" s="72">
        <f>+M2459*S2459</f>
        <v>0</v>
      </c>
      <c r="U2459" s="72">
        <f t="shared" ref="U2459:U2460" si="300">+R2459-T2459</f>
        <v>600</v>
      </c>
      <c r="V2459" s="72">
        <f>+U2459*0</f>
        <v>0</v>
      </c>
      <c r="W2459" s="72">
        <f t="shared" ref="W2459:W2460" si="301">+U2459-V2459</f>
        <v>600</v>
      </c>
      <c r="X2459" s="72">
        <v>0</v>
      </c>
      <c r="Y2459" s="14">
        <f t="shared" si="268"/>
        <v>0</v>
      </c>
      <c r="Z2459" s="11" t="s">
        <v>26</v>
      </c>
      <c r="AA2459" s="12" t="s">
        <v>31</v>
      </c>
    </row>
    <row r="2460" spans="1:27" x14ac:dyDescent="0.25">
      <c r="A2460" s="10">
        <v>45693</v>
      </c>
      <c r="B2460" s="71">
        <v>2.7280092592592564E-2</v>
      </c>
      <c r="C2460" s="11" t="s">
        <v>4849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4440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2">
        <f t="shared" ref="R2460" si="302">+L2460*O2460</f>
        <v>1652.2800000000002</v>
      </c>
      <c r="S2460" s="72">
        <v>0</v>
      </c>
      <c r="T2460" s="72">
        <f t="shared" ref="T2460" si="303">+L2460*S2460</f>
        <v>0</v>
      </c>
      <c r="U2460" s="72">
        <f t="shared" si="300"/>
        <v>1652.2800000000002</v>
      </c>
      <c r="V2460" s="72">
        <f>+U2460*1</f>
        <v>1652.2800000000002</v>
      </c>
      <c r="W2460" s="72">
        <f t="shared" si="301"/>
        <v>0</v>
      </c>
      <c r="X2460" s="72">
        <v>0</v>
      </c>
      <c r="Y2460" s="14">
        <f t="shared" si="268"/>
        <v>0</v>
      </c>
      <c r="Z2460" s="11" t="s">
        <v>26</v>
      </c>
      <c r="AA2460" s="12" t="s">
        <v>31</v>
      </c>
    </row>
    <row r="2461" spans="1:27" x14ac:dyDescent="0.25">
      <c r="A2461" s="10">
        <v>45693</v>
      </c>
      <c r="B2461" s="71">
        <v>1.7766203703703742E-2</v>
      </c>
      <c r="C2461" s="11" t="s">
        <v>4850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4465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2">
        <f>+L2461*O2461</f>
        <v>562.5</v>
      </c>
      <c r="S2461" s="72">
        <v>0</v>
      </c>
      <c r="T2461" s="72">
        <f>+L2461*S2461</f>
        <v>0</v>
      </c>
      <c r="U2461" s="72">
        <f>+R2461-T2461</f>
        <v>562.5</v>
      </c>
      <c r="V2461" s="72">
        <f>+U2461*0.75</f>
        <v>421.875</v>
      </c>
      <c r="W2461" s="72">
        <f>+U2461-V2461</f>
        <v>140.625</v>
      </c>
      <c r="X2461" s="72">
        <v>0</v>
      </c>
      <c r="Y2461" s="14">
        <f t="shared" si="268"/>
        <v>0</v>
      </c>
      <c r="Z2461" s="11" t="s">
        <v>26</v>
      </c>
      <c r="AA2461" s="12" t="s">
        <v>31</v>
      </c>
    </row>
    <row r="2462" spans="1:27" x14ac:dyDescent="0.25">
      <c r="A2462" s="10">
        <v>45693</v>
      </c>
      <c r="B2462" s="71">
        <v>2.5300925925926032E-2</v>
      </c>
      <c r="C2462" s="11" t="s">
        <v>4851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2">
        <f>+M2462*P2462</f>
        <v>1600</v>
      </c>
      <c r="S2462" s="72">
        <v>0</v>
      </c>
      <c r="T2462" s="72">
        <f>+M2462*S2462</f>
        <v>0</v>
      </c>
      <c r="U2462" s="72">
        <f t="shared" ref="U2462:U2463" si="304">+R2462-T2462</f>
        <v>1600</v>
      </c>
      <c r="V2462" s="72">
        <f t="shared" ref="V2462" si="305">+U2462*0</f>
        <v>0</v>
      </c>
      <c r="W2462" s="72">
        <f t="shared" ref="W2462:W2463" si="306">+U2462-V2462</f>
        <v>1600</v>
      </c>
      <c r="X2462" s="72">
        <v>0</v>
      </c>
      <c r="Y2462" s="14">
        <f t="shared" si="268"/>
        <v>0</v>
      </c>
      <c r="Z2462" s="11" t="s">
        <v>26</v>
      </c>
      <c r="AA2462" s="12" t="s">
        <v>31</v>
      </c>
    </row>
    <row r="2463" spans="1:27" x14ac:dyDescent="0.25">
      <c r="A2463" s="10">
        <v>45693</v>
      </c>
      <c r="B2463" s="71">
        <v>1.8981481481481488E-2</v>
      </c>
      <c r="C2463" s="11" t="s">
        <v>4852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4440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2">
        <f>+L2463*O2463</f>
        <v>1575</v>
      </c>
      <c r="S2463" s="72">
        <v>0</v>
      </c>
      <c r="T2463" s="72">
        <f>+L2463*S2463</f>
        <v>0</v>
      </c>
      <c r="U2463" s="72">
        <f t="shared" si="304"/>
        <v>1575</v>
      </c>
      <c r="V2463" s="72">
        <f>+U2463*1</f>
        <v>1575</v>
      </c>
      <c r="W2463" s="72">
        <f t="shared" si="306"/>
        <v>0</v>
      </c>
      <c r="X2463" s="72">
        <v>0</v>
      </c>
      <c r="Y2463" s="14">
        <f t="shared" si="268"/>
        <v>0</v>
      </c>
      <c r="Z2463" s="11" t="s">
        <v>26</v>
      </c>
      <c r="AA2463" s="12" t="s">
        <v>31</v>
      </c>
    </row>
    <row r="2464" spans="1:27" x14ac:dyDescent="0.25">
      <c r="A2464" s="10">
        <v>45693</v>
      </c>
      <c r="B2464" s="71">
        <v>3.6215277777777777E-2</v>
      </c>
      <c r="C2464" s="11" t="s">
        <v>4853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2">
        <f>L2464*O2464</f>
        <v>1077.6399999999999</v>
      </c>
      <c r="S2464" s="72">
        <v>0</v>
      </c>
      <c r="T2464" s="72">
        <f>L2464*S2464</f>
        <v>0</v>
      </c>
      <c r="U2464" s="72">
        <f>R2464-T2464</f>
        <v>1077.6399999999999</v>
      </c>
      <c r="V2464" s="72">
        <f>U2464*0</f>
        <v>0</v>
      </c>
      <c r="W2464" s="72">
        <f>U2464-V2464</f>
        <v>1077.6399999999999</v>
      </c>
      <c r="X2464" s="72">
        <v>0</v>
      </c>
      <c r="Y2464" s="14">
        <f t="shared" si="268"/>
        <v>0</v>
      </c>
      <c r="Z2464" s="11" t="s">
        <v>26</v>
      </c>
      <c r="AA2464" s="12" t="s">
        <v>31</v>
      </c>
    </row>
    <row r="2465" spans="1:27" x14ac:dyDescent="0.25">
      <c r="A2465" s="10">
        <v>45693</v>
      </c>
      <c r="B2465" s="71">
        <v>1.230324074074074E-2</v>
      </c>
      <c r="C2465" s="11" t="s">
        <v>4854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2">
        <f>+L2465*O2465</f>
        <v>1640.8000000000002</v>
      </c>
      <c r="S2465" s="72">
        <v>0</v>
      </c>
      <c r="T2465" s="72">
        <f>+L2465*S2465</f>
        <v>0</v>
      </c>
      <c r="U2465" s="72">
        <f>+R2465-T2465</f>
        <v>1640.8000000000002</v>
      </c>
      <c r="V2465" s="72">
        <f t="shared" ref="V2465" si="307">+U2465*0</f>
        <v>0</v>
      </c>
      <c r="W2465" s="72">
        <f>+U2465-V2465</f>
        <v>1640.8000000000002</v>
      </c>
      <c r="X2465" s="72">
        <v>0</v>
      </c>
      <c r="Y2465" s="14">
        <f t="shared" si="268"/>
        <v>0</v>
      </c>
      <c r="Z2465" s="11" t="s">
        <v>26</v>
      </c>
      <c r="AA2465" s="12" t="s">
        <v>31</v>
      </c>
    </row>
    <row r="2466" spans="1:27" x14ac:dyDescent="0.25">
      <c r="A2466" s="10">
        <v>45693</v>
      </c>
      <c r="B2466" s="71">
        <v>0.12562499999999999</v>
      </c>
      <c r="C2466" s="11" t="s">
        <v>4855</v>
      </c>
      <c r="D2466" s="11">
        <v>16999</v>
      </c>
      <c r="E2466" s="11" t="s">
        <v>4834</v>
      </c>
      <c r="F2466" s="11" t="s">
        <v>26</v>
      </c>
      <c r="G2466" s="11">
        <v>72353</v>
      </c>
      <c r="H2466" s="12" t="s">
        <v>4465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2">
        <f>+L2466*O2466</f>
        <v>1837.7</v>
      </c>
      <c r="S2466" s="72">
        <v>0</v>
      </c>
      <c r="T2466" s="72">
        <f>+L2466*S2466</f>
        <v>0</v>
      </c>
      <c r="U2466" s="72">
        <f>+R2466-T2466</f>
        <v>1837.7</v>
      </c>
      <c r="V2466" s="72">
        <f>+U2466*0.75</f>
        <v>1378.2750000000001</v>
      </c>
      <c r="W2466" s="72">
        <f>+U2466-V2466</f>
        <v>459.42499999999995</v>
      </c>
      <c r="X2466" s="72">
        <v>0</v>
      </c>
      <c r="Y2466" s="14">
        <f t="shared" si="268"/>
        <v>0</v>
      </c>
      <c r="Z2466" s="11" t="s">
        <v>26</v>
      </c>
      <c r="AA2466" s="12" t="s">
        <v>31</v>
      </c>
    </row>
    <row r="2467" spans="1:27" x14ac:dyDescent="0.25">
      <c r="A2467" s="10">
        <v>45693</v>
      </c>
      <c r="B2467" s="71">
        <v>1.8206018518518552E-2</v>
      </c>
      <c r="C2467" s="11" t="s">
        <v>4856</v>
      </c>
      <c r="D2467" s="11">
        <v>17000</v>
      </c>
      <c r="E2467" s="11" t="s">
        <v>3803</v>
      </c>
      <c r="F2467" s="11" t="s">
        <v>26</v>
      </c>
      <c r="G2467" s="11">
        <v>24333</v>
      </c>
      <c r="H2467" s="12" t="s">
        <v>4465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2">
        <f>+L2467*O2467</f>
        <v>549.6</v>
      </c>
      <c r="S2467" s="72">
        <v>0</v>
      </c>
      <c r="T2467" s="72">
        <f>+L2467*S2467</f>
        <v>0</v>
      </c>
      <c r="U2467" s="72">
        <f>+R2467-T2467</f>
        <v>549.6</v>
      </c>
      <c r="V2467" s="72">
        <f>+U2467*0.75</f>
        <v>412.20000000000005</v>
      </c>
      <c r="W2467" s="72">
        <f>+U2467-V2467</f>
        <v>137.39999999999998</v>
      </c>
      <c r="X2467" s="72">
        <v>0</v>
      </c>
      <c r="Y2467" s="14">
        <f t="shared" si="268"/>
        <v>0</v>
      </c>
      <c r="Z2467" s="11" t="s">
        <v>26</v>
      </c>
      <c r="AA2467" s="12" t="s">
        <v>31</v>
      </c>
    </row>
    <row r="2468" spans="1:27" x14ac:dyDescent="0.25">
      <c r="A2468" s="10">
        <v>45693</v>
      </c>
      <c r="B2468" s="71">
        <v>2.3333333333333317E-2</v>
      </c>
      <c r="C2468" s="11" t="s">
        <v>4857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2">
        <f>L2468*O2468</f>
        <v>1082.28</v>
      </c>
      <c r="S2468" s="72">
        <v>0</v>
      </c>
      <c r="T2468" s="72">
        <f>L2468*S2468</f>
        <v>0</v>
      </c>
      <c r="U2468" s="72">
        <f>R2468-T2468</f>
        <v>1082.28</v>
      </c>
      <c r="V2468" s="72">
        <f>U2468*0</f>
        <v>0</v>
      </c>
      <c r="W2468" s="72">
        <f>U2468-V2468</f>
        <v>1082.28</v>
      </c>
      <c r="X2468" s="72">
        <v>0</v>
      </c>
      <c r="Y2468" s="14">
        <f t="shared" si="268"/>
        <v>0</v>
      </c>
      <c r="Z2468" s="11" t="s">
        <v>26</v>
      </c>
      <c r="AA2468" s="12" t="s">
        <v>31</v>
      </c>
    </row>
    <row r="2469" spans="1:27" x14ac:dyDescent="0.25">
      <c r="A2469" s="10">
        <v>45693</v>
      </c>
      <c r="B2469" s="71">
        <v>2.3217592592592595E-2</v>
      </c>
      <c r="C2469" s="11" t="s">
        <v>4858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2">
        <f>(L2469*O2469)-Q2469</f>
        <v>566</v>
      </c>
      <c r="S2469" s="72">
        <v>0</v>
      </c>
      <c r="T2469" s="72">
        <f t="shared" ref="T2469" si="308">+L2469*S2469</f>
        <v>0</v>
      </c>
      <c r="U2469" s="72">
        <f t="shared" ref="U2469" si="309">+R2469-T2469</f>
        <v>566</v>
      </c>
      <c r="V2469" s="72">
        <f t="shared" ref="V2469:V2470" si="310">+U2469*0</f>
        <v>0</v>
      </c>
      <c r="W2469" s="72">
        <f t="shared" ref="W2469" si="311">+U2469-V2469</f>
        <v>566</v>
      </c>
      <c r="X2469" s="72">
        <v>0</v>
      </c>
      <c r="Y2469" s="14">
        <f t="shared" si="268"/>
        <v>0</v>
      </c>
      <c r="Z2469" s="11" t="s">
        <v>26</v>
      </c>
      <c r="AA2469" s="12" t="s">
        <v>31</v>
      </c>
    </row>
    <row r="2470" spans="1:27" x14ac:dyDescent="0.25">
      <c r="A2470" s="10">
        <v>45693</v>
      </c>
      <c r="B2470" s="71">
        <v>9.1435185185185786E-3</v>
      </c>
      <c r="C2470" s="11" t="s">
        <v>4859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2">
        <f>M2470*P2470</f>
        <v>1536</v>
      </c>
      <c r="S2470" s="72">
        <v>0</v>
      </c>
      <c r="T2470" s="72">
        <f>M2470*S2470</f>
        <v>0</v>
      </c>
      <c r="U2470" s="72">
        <f>+R2470-T2470</f>
        <v>1536</v>
      </c>
      <c r="V2470" s="72">
        <f t="shared" si="310"/>
        <v>0</v>
      </c>
      <c r="W2470" s="72">
        <f>+U2470-V2470</f>
        <v>1536</v>
      </c>
      <c r="X2470" s="72">
        <v>0</v>
      </c>
      <c r="Y2470" s="14">
        <f t="shared" si="268"/>
        <v>0</v>
      </c>
      <c r="Z2470" s="11" t="s">
        <v>26</v>
      </c>
      <c r="AA2470" s="12" t="s">
        <v>31</v>
      </c>
    </row>
    <row r="2471" spans="1:27" x14ac:dyDescent="0.25">
      <c r="A2471" s="10">
        <v>45693</v>
      </c>
      <c r="B2471" s="71">
        <v>7.8472222222222276E-3</v>
      </c>
      <c r="C2471" s="11" t="s">
        <v>4860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2">
        <f>L2471*O2471</f>
        <v>1093.8799999999999</v>
      </c>
      <c r="S2471" s="72">
        <v>0</v>
      </c>
      <c r="T2471" s="72">
        <f>L2471*S2471</f>
        <v>0</v>
      </c>
      <c r="U2471" s="72">
        <f>R2471-T2471</f>
        <v>1093.8799999999999</v>
      </c>
      <c r="V2471" s="72">
        <f>U2471*0</f>
        <v>0</v>
      </c>
      <c r="W2471" s="72">
        <f>U2471-V2471</f>
        <v>1093.8799999999999</v>
      </c>
      <c r="X2471" s="72">
        <v>0</v>
      </c>
      <c r="Y2471" s="14">
        <f t="shared" si="268"/>
        <v>0</v>
      </c>
      <c r="Z2471" s="11" t="s">
        <v>26</v>
      </c>
      <c r="AA2471" s="12" t="s">
        <v>31</v>
      </c>
    </row>
    <row r="2472" spans="1:27" x14ac:dyDescent="0.25">
      <c r="A2472" s="10">
        <v>45693</v>
      </c>
      <c r="B2472" s="71">
        <v>1.2627314814814827E-2</v>
      </c>
      <c r="C2472" s="11" t="s">
        <v>4861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4440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2">
        <f t="shared" ref="R2472" si="312">+L2472*O2472</f>
        <v>1539.7199999999998</v>
      </c>
      <c r="S2472" s="72">
        <v>0</v>
      </c>
      <c r="T2472" s="72">
        <f t="shared" ref="T2472" si="313">+L2472*S2472</f>
        <v>0</v>
      </c>
      <c r="U2472" s="72">
        <f t="shared" ref="U2472:U2474" si="314">+R2472-T2472</f>
        <v>1539.7199999999998</v>
      </c>
      <c r="V2472" s="72">
        <f>+U2472*1</f>
        <v>1539.7199999999998</v>
      </c>
      <c r="W2472" s="72">
        <f t="shared" ref="W2472:W2474" si="315">+U2472-V2472</f>
        <v>0</v>
      </c>
      <c r="X2472" s="72">
        <v>0</v>
      </c>
      <c r="Y2472" s="14">
        <f t="shared" si="268"/>
        <v>0</v>
      </c>
      <c r="Z2472" s="11" t="s">
        <v>26</v>
      </c>
      <c r="AA2472" s="12" t="s">
        <v>31</v>
      </c>
    </row>
    <row r="2473" spans="1:27" x14ac:dyDescent="0.25">
      <c r="A2473" s="10">
        <v>45693</v>
      </c>
      <c r="B2473" s="71">
        <v>1.1539351851851842E-2</v>
      </c>
      <c r="C2473" s="11" t="s">
        <v>4862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4464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2">
        <f>+M2473*P2473</f>
        <v>787.19999999999993</v>
      </c>
      <c r="S2473" s="72">
        <v>0</v>
      </c>
      <c r="T2473" s="72">
        <f>+M2473*S2473</f>
        <v>0</v>
      </c>
      <c r="U2473" s="72">
        <f t="shared" si="314"/>
        <v>787.19999999999993</v>
      </c>
      <c r="V2473" s="72">
        <f>+U2473*1</f>
        <v>787.19999999999993</v>
      </c>
      <c r="W2473" s="72">
        <f t="shared" si="315"/>
        <v>0</v>
      </c>
      <c r="X2473" s="72">
        <v>0</v>
      </c>
      <c r="Y2473" s="14">
        <f t="shared" si="268"/>
        <v>0</v>
      </c>
      <c r="Z2473" s="11" t="s">
        <v>26</v>
      </c>
      <c r="AA2473" s="12" t="s">
        <v>31</v>
      </c>
    </row>
    <row r="2474" spans="1:27" x14ac:dyDescent="0.25">
      <c r="A2474" s="10">
        <v>45693</v>
      </c>
      <c r="B2474" s="71">
        <v>1.3865740740740651E-2</v>
      </c>
      <c r="C2474" s="11" t="s">
        <v>4863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2">
        <f>+M2474*P2474</f>
        <v>576</v>
      </c>
      <c r="S2474" s="72">
        <v>0</v>
      </c>
      <c r="T2474" s="72">
        <f>+M2474*S2474</f>
        <v>0</v>
      </c>
      <c r="U2474" s="72">
        <f t="shared" si="314"/>
        <v>576</v>
      </c>
      <c r="V2474" s="72">
        <f>+U2474*0</f>
        <v>0</v>
      </c>
      <c r="W2474" s="72">
        <f t="shared" si="315"/>
        <v>576</v>
      </c>
      <c r="X2474" s="72">
        <v>0</v>
      </c>
      <c r="Y2474" s="14">
        <f t="shared" si="268"/>
        <v>0</v>
      </c>
      <c r="Z2474" s="11" t="s">
        <v>26</v>
      </c>
      <c r="AA2474" s="12" t="s">
        <v>31</v>
      </c>
    </row>
    <row r="2475" spans="1:27" x14ac:dyDescent="0.25">
      <c r="A2475" s="10">
        <v>45693</v>
      </c>
      <c r="B2475" s="71">
        <v>1.8553240740740717E-2</v>
      </c>
      <c r="C2475" s="11" t="s">
        <v>4864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2">
        <f>L2475*O2475</f>
        <v>536.70000000000005</v>
      </c>
      <c r="S2475" s="72">
        <v>0</v>
      </c>
      <c r="T2475" s="72">
        <f>L2475*S2475</f>
        <v>0</v>
      </c>
      <c r="U2475" s="72">
        <f>R2475-T2475</f>
        <v>536.70000000000005</v>
      </c>
      <c r="V2475" s="72">
        <f>U2475*0</f>
        <v>0</v>
      </c>
      <c r="W2475" s="72">
        <f>U2475-V2475</f>
        <v>536.70000000000005</v>
      </c>
      <c r="X2475" s="72">
        <v>0</v>
      </c>
      <c r="Y2475" s="14">
        <f t="shared" si="268"/>
        <v>0</v>
      </c>
      <c r="Z2475" s="11" t="s">
        <v>26</v>
      </c>
      <c r="AA2475" s="12" t="s">
        <v>31</v>
      </c>
    </row>
    <row r="2476" spans="1:27" x14ac:dyDescent="0.25">
      <c r="A2476" s="10">
        <v>45693</v>
      </c>
      <c r="B2476" s="71">
        <v>1.4629629629629659E-2</v>
      </c>
      <c r="C2476" s="11" t="s">
        <v>4865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2">
        <f>+M2476*P2476</f>
        <v>1012.5</v>
      </c>
      <c r="S2476" s="72">
        <v>0</v>
      </c>
      <c r="T2476" s="72">
        <f>+M2476*S2476</f>
        <v>0</v>
      </c>
      <c r="U2476" s="72">
        <f t="shared" ref="U2476:U2478" si="316">+R2476-T2476</f>
        <v>1012.5</v>
      </c>
      <c r="V2476" s="72">
        <f t="shared" ref="V2476" si="317">+U2476*0</f>
        <v>0</v>
      </c>
      <c r="W2476" s="72">
        <f t="shared" ref="W2476:W2478" si="318">+U2476-V2476</f>
        <v>1012.5</v>
      </c>
      <c r="X2476" s="72">
        <v>0</v>
      </c>
      <c r="Y2476" s="14">
        <f t="shared" si="268"/>
        <v>0</v>
      </c>
      <c r="Z2476" s="11" t="s">
        <v>26</v>
      </c>
      <c r="AA2476" s="12" t="s">
        <v>31</v>
      </c>
    </row>
    <row r="2477" spans="1:27" x14ac:dyDescent="0.25">
      <c r="A2477" s="10">
        <v>45693</v>
      </c>
      <c r="B2477" s="71">
        <v>1.359953703703709E-2</v>
      </c>
      <c r="C2477" s="11" t="s">
        <v>4866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4440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2">
        <f t="shared" ref="R2477" si="319">+L2477*O2477</f>
        <v>1614.48</v>
      </c>
      <c r="S2477" s="72">
        <v>0</v>
      </c>
      <c r="T2477" s="72">
        <f t="shared" ref="T2477" si="320">+L2477*S2477</f>
        <v>0</v>
      </c>
      <c r="U2477" s="72">
        <f t="shared" si="316"/>
        <v>1614.48</v>
      </c>
      <c r="V2477" s="72">
        <f>+U2477*1</f>
        <v>1614.48</v>
      </c>
      <c r="W2477" s="72">
        <f t="shared" si="318"/>
        <v>0</v>
      </c>
      <c r="X2477" s="72">
        <v>0</v>
      </c>
      <c r="Y2477" s="14">
        <f t="shared" si="268"/>
        <v>0</v>
      </c>
      <c r="Z2477" s="11" t="s">
        <v>26</v>
      </c>
      <c r="AA2477" s="12" t="s">
        <v>31</v>
      </c>
    </row>
    <row r="2478" spans="1:27" x14ac:dyDescent="0.25">
      <c r="A2478" s="10">
        <v>45693</v>
      </c>
      <c r="B2478" s="71">
        <v>1.3055555555555598E-2</v>
      </c>
      <c r="C2478" s="11" t="s">
        <v>4867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2">
        <f>+M2478*P2478</f>
        <v>552</v>
      </c>
      <c r="S2478" s="72">
        <v>0</v>
      </c>
      <c r="T2478" s="72">
        <f>+M2478*S2478</f>
        <v>0</v>
      </c>
      <c r="U2478" s="72">
        <f t="shared" si="316"/>
        <v>552</v>
      </c>
      <c r="V2478" s="72">
        <f>+U2478*0</f>
        <v>0</v>
      </c>
      <c r="W2478" s="72">
        <f t="shared" si="318"/>
        <v>552</v>
      </c>
      <c r="X2478" s="72">
        <v>0</v>
      </c>
      <c r="Y2478" s="14">
        <f t="shared" si="268"/>
        <v>0</v>
      </c>
      <c r="Z2478" s="11" t="s">
        <v>26</v>
      </c>
      <c r="AA2478" s="12" t="s">
        <v>31</v>
      </c>
    </row>
    <row r="2479" spans="1:27" x14ac:dyDescent="0.25">
      <c r="A2479" s="10">
        <v>45693</v>
      </c>
      <c r="B2479" s="71">
        <v>4.9791666666666679E-2</v>
      </c>
      <c r="C2479" s="11" t="s">
        <v>4868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2">
        <f>M2479*P2479</f>
        <v>1536</v>
      </c>
      <c r="S2479" s="72">
        <v>0</v>
      </c>
      <c r="T2479" s="72">
        <f>M2479*S2479</f>
        <v>0</v>
      </c>
      <c r="U2479" s="72">
        <f>+R2479-T2479</f>
        <v>1536</v>
      </c>
      <c r="V2479" s="72">
        <f t="shared" ref="V2479" si="322">+U2479*0</f>
        <v>0</v>
      </c>
      <c r="W2479" s="72">
        <f>+U2479-V2479</f>
        <v>1536</v>
      </c>
      <c r="X2479" s="72">
        <v>0</v>
      </c>
      <c r="Y2479" s="14">
        <f t="shared" si="268"/>
        <v>0</v>
      </c>
      <c r="Z2479" s="11" t="s">
        <v>26</v>
      </c>
      <c r="AA2479" s="12" t="s">
        <v>31</v>
      </c>
    </row>
    <row r="2480" spans="1:27" x14ac:dyDescent="0.25">
      <c r="A2480" s="10">
        <v>45693</v>
      </c>
      <c r="B2480" s="71">
        <v>4.0763888888888933E-2</v>
      </c>
      <c r="C2480" s="11" t="s">
        <v>4869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2">
        <f>M2480*P2480</f>
        <v>1450</v>
      </c>
      <c r="S2480" s="72">
        <v>0</v>
      </c>
      <c r="T2480" s="72">
        <f>M2480*S2480</f>
        <v>0</v>
      </c>
      <c r="U2480" s="72">
        <f>R2480-T2480</f>
        <v>1450</v>
      </c>
      <c r="V2480" s="72">
        <f>U2480*0</f>
        <v>0</v>
      </c>
      <c r="W2480" s="72">
        <f>U2480-V2480</f>
        <v>1450</v>
      </c>
      <c r="X2480" s="72">
        <v>0</v>
      </c>
      <c r="Y2480" s="14">
        <f t="shared" si="268"/>
        <v>0</v>
      </c>
      <c r="Z2480" s="11" t="s">
        <v>26</v>
      </c>
      <c r="AA2480" s="12" t="s">
        <v>31</v>
      </c>
    </row>
    <row r="2481" spans="1:27" x14ac:dyDescent="0.25">
      <c r="A2481" s="10">
        <v>45693</v>
      </c>
      <c r="B2481" s="71">
        <v>4.1111111111111098E-2</v>
      </c>
      <c r="C2481" s="11" t="s">
        <v>4870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2">
        <f>+M2481*P2481</f>
        <v>552</v>
      </c>
      <c r="S2481" s="72">
        <v>0</v>
      </c>
      <c r="T2481" s="72">
        <f>+M2481*S2481</f>
        <v>0</v>
      </c>
      <c r="U2481" s="72">
        <f t="shared" ref="U2481:U2482" si="323">+R2481-T2481</f>
        <v>552</v>
      </c>
      <c r="V2481" s="72">
        <f>+U2481*0</f>
        <v>0</v>
      </c>
      <c r="W2481" s="72">
        <f t="shared" ref="W2481:W2482" si="324">+U2481-V2481</f>
        <v>552</v>
      </c>
      <c r="X2481" s="72">
        <v>0</v>
      </c>
      <c r="Y2481" s="14">
        <f t="shared" si="268"/>
        <v>0</v>
      </c>
      <c r="Z2481" s="11" t="s">
        <v>26</v>
      </c>
      <c r="AA2481" s="12" t="s">
        <v>31</v>
      </c>
    </row>
    <row r="2482" spans="1:27" x14ac:dyDescent="0.25">
      <c r="A2482" s="10">
        <v>45693</v>
      </c>
      <c r="B2482" s="71">
        <v>0.11912037037037049</v>
      </c>
      <c r="C2482" s="11" t="s">
        <v>4871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2">
        <f>+M2482*P2482</f>
        <v>528</v>
      </c>
      <c r="S2482" s="72">
        <v>0</v>
      </c>
      <c r="T2482" s="72">
        <f>+M2482*S2482</f>
        <v>0</v>
      </c>
      <c r="U2482" s="72">
        <f t="shared" si="323"/>
        <v>528</v>
      </c>
      <c r="V2482" s="72">
        <f>+U2482*0</f>
        <v>0</v>
      </c>
      <c r="W2482" s="72">
        <f t="shared" si="324"/>
        <v>528</v>
      </c>
      <c r="X2482" s="72">
        <v>0</v>
      </c>
      <c r="Y2482" s="14">
        <f t="shared" si="268"/>
        <v>0</v>
      </c>
      <c r="Z2482" s="11" t="s">
        <v>26</v>
      </c>
      <c r="AA2482" s="12" t="s">
        <v>31</v>
      </c>
    </row>
    <row r="2483" spans="1:27" x14ac:dyDescent="0.25">
      <c r="A2483" s="10">
        <v>45693</v>
      </c>
      <c r="B2483" s="71">
        <v>1.6076388888888848E-2</v>
      </c>
      <c r="C2483" s="11" t="s">
        <v>4872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2">
        <f>+L2483*O2483</f>
        <v>1695.2</v>
      </c>
      <c r="S2483" s="72">
        <v>0</v>
      </c>
      <c r="T2483" s="72">
        <f>+L2483*S2483</f>
        <v>0</v>
      </c>
      <c r="U2483" s="72">
        <f>+R2483-T2483</f>
        <v>1695.2</v>
      </c>
      <c r="V2483" s="72">
        <f t="shared" ref="V2483:V2484" si="325">+U2483*0</f>
        <v>0</v>
      </c>
      <c r="W2483" s="72">
        <f>+U2483-V2483</f>
        <v>1695.2</v>
      </c>
      <c r="X2483" s="72">
        <v>0</v>
      </c>
      <c r="Y2483" s="14">
        <f t="shared" si="268"/>
        <v>0</v>
      </c>
      <c r="Z2483" s="11" t="s">
        <v>26</v>
      </c>
      <c r="AA2483" s="12" t="s">
        <v>31</v>
      </c>
    </row>
    <row r="2484" spans="1:27" x14ac:dyDescent="0.25">
      <c r="A2484" s="10">
        <v>45693</v>
      </c>
      <c r="B2484" s="71">
        <v>9.5717592592593492E-3</v>
      </c>
      <c r="C2484" s="11" t="s">
        <v>4873</v>
      </c>
      <c r="D2484" s="11">
        <v>17018</v>
      </c>
      <c r="E2484" s="11" t="s">
        <v>2126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2">
        <f>+L2484*O2484</f>
        <v>1613.6000000000001</v>
      </c>
      <c r="S2484" s="72">
        <v>0</v>
      </c>
      <c r="T2484" s="72">
        <f>+L2484*S2484</f>
        <v>0</v>
      </c>
      <c r="U2484" s="72">
        <f>+R2484-T2484</f>
        <v>1613.6000000000001</v>
      </c>
      <c r="V2484" s="72">
        <f t="shared" si="325"/>
        <v>0</v>
      </c>
      <c r="W2484" s="72">
        <f>+U2484-V2484</f>
        <v>1613.6000000000001</v>
      </c>
      <c r="X2484" s="72">
        <v>0</v>
      </c>
      <c r="Y2484" s="14">
        <f t="shared" si="268"/>
        <v>0</v>
      </c>
      <c r="Z2484" s="11" t="s">
        <v>26</v>
      </c>
      <c r="AA2484" s="12" t="s">
        <v>31</v>
      </c>
    </row>
    <row r="2485" spans="1:27" x14ac:dyDescent="0.25">
      <c r="A2485" s="10">
        <v>45693</v>
      </c>
      <c r="B2485" s="71">
        <v>4.3807870370370372E-2</v>
      </c>
      <c r="C2485" s="11" t="s">
        <v>4874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2">
        <f>M2485*P2485</f>
        <v>1550</v>
      </c>
      <c r="S2485" s="72">
        <v>0</v>
      </c>
      <c r="T2485" s="72">
        <f>M2485*S2485</f>
        <v>0</v>
      </c>
      <c r="U2485" s="72">
        <f>R2485-T2485</f>
        <v>1550</v>
      </c>
      <c r="V2485" s="72">
        <f>U2485*0</f>
        <v>0</v>
      </c>
      <c r="W2485" s="72">
        <f>U2485-V2485</f>
        <v>1550</v>
      </c>
      <c r="X2485" s="72">
        <v>0</v>
      </c>
      <c r="Y2485" s="14">
        <f t="shared" si="268"/>
        <v>0</v>
      </c>
      <c r="Z2485" s="11" t="s">
        <v>26</v>
      </c>
      <c r="AA2485" s="12" t="s">
        <v>31</v>
      </c>
    </row>
    <row r="2486" spans="1:27" x14ac:dyDescent="0.25">
      <c r="A2486" s="10">
        <v>45694</v>
      </c>
      <c r="B2486" s="71">
        <v>2.7071759259259087E-2</v>
      </c>
      <c r="C2486" s="11" t="s">
        <v>4875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4463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2">
        <f t="shared" ref="R2486" si="326">+L2486*O2486</f>
        <v>1593.6799999999998</v>
      </c>
      <c r="S2486" s="72">
        <v>0</v>
      </c>
      <c r="T2486" s="72">
        <f>+L2486*S2486</f>
        <v>0</v>
      </c>
      <c r="U2486" s="72">
        <f>+R2486-T2486</f>
        <v>1593.6799999999998</v>
      </c>
      <c r="V2486" s="72">
        <f>+U2486*1</f>
        <v>1593.6799999999998</v>
      </c>
      <c r="W2486" s="72">
        <f>+U2486-V2486</f>
        <v>0</v>
      </c>
      <c r="X2486" s="72">
        <v>0</v>
      </c>
      <c r="Y2486" s="14">
        <f t="shared" si="268"/>
        <v>0</v>
      </c>
      <c r="Z2486" s="11" t="s">
        <v>26</v>
      </c>
      <c r="AA2486" s="12" t="s">
        <v>31</v>
      </c>
    </row>
    <row r="2487" spans="1:27" x14ac:dyDescent="0.25">
      <c r="A2487" s="10">
        <v>45694</v>
      </c>
      <c r="B2487" s="71">
        <v>7.7662037037037335E-3</v>
      </c>
      <c r="C2487" s="11" t="s">
        <v>4876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4439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2">
        <f>L2487*O2487</f>
        <v>3620.9399999999996</v>
      </c>
      <c r="S2487" s="72">
        <v>38</v>
      </c>
      <c r="T2487" s="72">
        <f>L2487*S2487</f>
        <v>1581.56</v>
      </c>
      <c r="U2487" s="72">
        <f>R2487-T2487</f>
        <v>2039.3799999999997</v>
      </c>
      <c r="V2487" s="72">
        <f>U2487*1</f>
        <v>2039.3799999999997</v>
      </c>
      <c r="W2487" s="72">
        <f>U2487-V2487</f>
        <v>0</v>
      </c>
      <c r="X2487" s="72">
        <f>L2487*36</f>
        <v>1498.32</v>
      </c>
      <c r="Y2487" s="73">
        <f>+T2487-X2487</f>
        <v>83.240000000000009</v>
      </c>
      <c r="Z2487" s="12" t="s">
        <v>141</v>
      </c>
      <c r="AA2487" s="12" t="s">
        <v>78</v>
      </c>
    </row>
    <row r="2488" spans="1:27" x14ac:dyDescent="0.25">
      <c r="A2488" s="10">
        <v>45694</v>
      </c>
      <c r="B2488" s="71">
        <v>4.3807870370370372E-2</v>
      </c>
      <c r="C2488" s="11" t="s">
        <v>4877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4465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2">
        <f>+L2488*O2488</f>
        <v>1710.7542000000001</v>
      </c>
      <c r="S2488" s="72">
        <v>0</v>
      </c>
      <c r="T2488" s="72">
        <f>+L2488*S2488</f>
        <v>0</v>
      </c>
      <c r="U2488" s="72">
        <f>+R2488-T2488</f>
        <v>1710.7542000000001</v>
      </c>
      <c r="V2488" s="72">
        <f>+U2488*0.75</f>
        <v>1283.06565</v>
      </c>
      <c r="W2488" s="72">
        <f>+U2488-V2488</f>
        <v>427.68855000000008</v>
      </c>
      <c r="X2488" s="72">
        <v>0</v>
      </c>
      <c r="Y2488" s="14">
        <f t="shared" ref="Y2488:Y2491" si="328">T2488-X2488</f>
        <v>0</v>
      </c>
      <c r="Z2488" s="11" t="s">
        <v>26</v>
      </c>
      <c r="AA2488" s="12" t="s">
        <v>31</v>
      </c>
    </row>
    <row r="2489" spans="1:27" x14ac:dyDescent="0.25">
      <c r="A2489" s="10">
        <v>45694</v>
      </c>
      <c r="B2489" s="71">
        <v>1.0462962962962952E-2</v>
      </c>
      <c r="C2489" s="11" t="s">
        <v>4878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4440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2">
        <f t="shared" ref="R2489" si="329">+L2489*O2489</f>
        <v>1590.6799999999998</v>
      </c>
      <c r="S2489" s="72">
        <v>0</v>
      </c>
      <c r="T2489" s="72">
        <f t="shared" ref="T2489" si="330">+L2489*S2489</f>
        <v>0</v>
      </c>
      <c r="U2489" s="72">
        <f t="shared" ref="U2489" si="331">+R2489-T2489</f>
        <v>1590.6799999999998</v>
      </c>
      <c r="V2489" s="72">
        <f>+U2489*1</f>
        <v>1590.6799999999998</v>
      </c>
      <c r="W2489" s="72">
        <f t="shared" ref="W2489" si="332">+U2489-V2489</f>
        <v>0</v>
      </c>
      <c r="X2489" s="72">
        <v>0</v>
      </c>
      <c r="Y2489" s="14">
        <f t="shared" si="328"/>
        <v>0</v>
      </c>
      <c r="Z2489" s="11" t="s">
        <v>26</v>
      </c>
      <c r="AA2489" s="12" t="s">
        <v>31</v>
      </c>
    </row>
    <row r="2490" spans="1:27" x14ac:dyDescent="0.25">
      <c r="A2490" s="10">
        <v>45694</v>
      </c>
      <c r="B2490" s="71">
        <v>1.6018518518518543E-2</v>
      </c>
      <c r="C2490" s="11" t="s">
        <v>4879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4465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2">
        <f>+L2490*O2490</f>
        <v>1797.7877999999998</v>
      </c>
      <c r="S2490" s="72">
        <v>0</v>
      </c>
      <c r="T2490" s="72">
        <f>+L2490*S2490</f>
        <v>0</v>
      </c>
      <c r="U2490" s="72">
        <f>+R2490-T2490</f>
        <v>1797.7877999999998</v>
      </c>
      <c r="V2490" s="72">
        <f>+U2490*0.75</f>
        <v>1348.3408499999998</v>
      </c>
      <c r="W2490" s="72">
        <f>+U2490-V2490</f>
        <v>449.44695000000002</v>
      </c>
      <c r="X2490" s="72">
        <v>0</v>
      </c>
      <c r="Y2490" s="14">
        <f t="shared" si="328"/>
        <v>0</v>
      </c>
      <c r="Z2490" s="11" t="s">
        <v>26</v>
      </c>
      <c r="AA2490" s="12" t="s">
        <v>31</v>
      </c>
    </row>
    <row r="2491" spans="1:27" x14ac:dyDescent="0.25">
      <c r="A2491" s="10">
        <v>45694</v>
      </c>
      <c r="B2491" s="71">
        <v>1.7812500000000009E-2</v>
      </c>
      <c r="C2491" s="11" t="s">
        <v>4880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4440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2">
        <f>+L2491*O2491</f>
        <v>1644.3</v>
      </c>
      <c r="S2491" s="72">
        <v>0</v>
      </c>
      <c r="T2491" s="72">
        <f>+L2491*S2491</f>
        <v>0</v>
      </c>
      <c r="U2491" s="72">
        <f t="shared" ref="U2491" si="333">+R2491-T2491</f>
        <v>1644.3</v>
      </c>
      <c r="V2491" s="72">
        <f>+U2491*1</f>
        <v>1644.3</v>
      </c>
      <c r="W2491" s="72">
        <f t="shared" ref="W2491" si="334">+U2491-V2491</f>
        <v>0</v>
      </c>
      <c r="X2491" s="72">
        <v>0</v>
      </c>
      <c r="Y2491" s="14">
        <f t="shared" si="328"/>
        <v>0</v>
      </c>
      <c r="Z2491" s="11" t="s">
        <v>26</v>
      </c>
      <c r="AA2491" s="12" t="s">
        <v>31</v>
      </c>
    </row>
    <row r="2492" spans="1:27" x14ac:dyDescent="0.25">
      <c r="A2492" s="10">
        <v>45694</v>
      </c>
      <c r="B2492" s="71">
        <v>2.1666666666666667E-2</v>
      </c>
      <c r="C2492" s="11" t="s">
        <v>4881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4439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2">
        <f>L2492*O2492</f>
        <v>3420.84</v>
      </c>
      <c r="S2492" s="72">
        <v>38</v>
      </c>
      <c r="T2492" s="72">
        <f>L2492*S2492</f>
        <v>1494.16</v>
      </c>
      <c r="U2492" s="72">
        <f>R2492-T2492</f>
        <v>1926.68</v>
      </c>
      <c r="V2492" s="72">
        <f>U2492*1</f>
        <v>1926.68</v>
      </c>
      <c r="W2492" s="72">
        <f>U2492-V2492</f>
        <v>0</v>
      </c>
      <c r="X2492" s="72">
        <f>L2492*36</f>
        <v>1415.52</v>
      </c>
      <c r="Y2492" s="73">
        <f>+T2492-X2492</f>
        <v>78.6400000000001</v>
      </c>
      <c r="Z2492" s="12" t="s">
        <v>141</v>
      </c>
      <c r="AA2492" s="12" t="s">
        <v>78</v>
      </c>
    </row>
    <row r="2493" spans="1:27" x14ac:dyDescent="0.25">
      <c r="A2493" s="10">
        <v>45694</v>
      </c>
      <c r="B2493" s="71">
        <v>1.8865740740740766E-2</v>
      </c>
      <c r="C2493" s="11" t="s">
        <v>4882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4465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2">
        <f>+L2493*O2493</f>
        <v>566.1</v>
      </c>
      <c r="S2493" s="72">
        <v>0</v>
      </c>
      <c r="T2493" s="72">
        <f>+L2493*S2493</f>
        <v>0</v>
      </c>
      <c r="U2493" s="72">
        <f>+R2493-T2493</f>
        <v>566.1</v>
      </c>
      <c r="V2493" s="72">
        <f>+U2493*0.75</f>
        <v>424.57500000000005</v>
      </c>
      <c r="W2493" s="72">
        <f>+U2493-V2493</f>
        <v>141.52499999999998</v>
      </c>
      <c r="X2493" s="72">
        <v>0</v>
      </c>
      <c r="Y2493" s="14">
        <f t="shared" ref="Y2493:Y2494" si="335">T2493-X2493</f>
        <v>0</v>
      </c>
      <c r="Z2493" s="11" t="s">
        <v>26</v>
      </c>
      <c r="AA2493" s="12" t="s">
        <v>31</v>
      </c>
    </row>
    <row r="2494" spans="1:27" x14ac:dyDescent="0.25">
      <c r="A2494" s="10">
        <v>45694</v>
      </c>
      <c r="B2494" s="71">
        <v>2.4791666666666656E-2</v>
      </c>
      <c r="C2494" s="11" t="s">
        <v>4883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4465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2">
        <f>+L2494*O2494</f>
        <v>556.19999999999993</v>
      </c>
      <c r="S2494" s="72">
        <v>0</v>
      </c>
      <c r="T2494" s="72">
        <f>+L2494*S2494</f>
        <v>0</v>
      </c>
      <c r="U2494" s="72">
        <f>+R2494-T2494</f>
        <v>556.19999999999993</v>
      </c>
      <c r="V2494" s="72">
        <f>+U2494*0.75</f>
        <v>417.15</v>
      </c>
      <c r="W2494" s="72">
        <f>+U2494-V2494</f>
        <v>139.04999999999995</v>
      </c>
      <c r="X2494" s="72">
        <v>0</v>
      </c>
      <c r="Y2494" s="14">
        <f t="shared" si="335"/>
        <v>0</v>
      </c>
      <c r="Z2494" s="11" t="s">
        <v>26</v>
      </c>
      <c r="AA2494" s="12" t="s">
        <v>31</v>
      </c>
    </row>
    <row r="2495" spans="1:27" x14ac:dyDescent="0.25">
      <c r="A2495" s="10">
        <v>45694</v>
      </c>
      <c r="B2495" s="71">
        <v>2.8645833333333315E-2</v>
      </c>
      <c r="C2495" s="11" t="s">
        <v>4884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4439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2">
        <f>L2495*O2495</f>
        <v>3507.84</v>
      </c>
      <c r="S2495" s="72">
        <v>38</v>
      </c>
      <c r="T2495" s="72">
        <f>L2495*S2495</f>
        <v>1532.16</v>
      </c>
      <c r="U2495" s="72">
        <f>R2495-T2495</f>
        <v>1975.68</v>
      </c>
      <c r="V2495" s="72">
        <f>U2495*1</f>
        <v>1975.68</v>
      </c>
      <c r="W2495" s="72">
        <f>U2495-V2495</f>
        <v>0</v>
      </c>
      <c r="X2495" s="72">
        <f>L2495*36</f>
        <v>1451.52</v>
      </c>
      <c r="Y2495" s="73">
        <f>+T2495-X2495</f>
        <v>80.6400000000001</v>
      </c>
      <c r="Z2495" s="12" t="s">
        <v>141</v>
      </c>
      <c r="AA2495" s="12" t="s">
        <v>78</v>
      </c>
    </row>
    <row r="2496" spans="1:27" x14ac:dyDescent="0.25">
      <c r="A2496" s="10">
        <v>45694</v>
      </c>
      <c r="B2496" s="71">
        <v>2.9456018518518534E-2</v>
      </c>
      <c r="C2496" s="11" t="s">
        <v>4885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4465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2">
        <f>+L2496*O2496</f>
        <v>583.20000000000005</v>
      </c>
      <c r="S2496" s="72">
        <v>0</v>
      </c>
      <c r="T2496" s="72">
        <f>+L2496*S2496</f>
        <v>0</v>
      </c>
      <c r="U2496" s="72">
        <f>+R2496-T2496</f>
        <v>583.20000000000005</v>
      </c>
      <c r="V2496" s="72">
        <f>+U2496*0.75</f>
        <v>437.40000000000003</v>
      </c>
      <c r="W2496" s="72">
        <f>+U2496-V2496</f>
        <v>145.80000000000001</v>
      </c>
      <c r="X2496" s="72">
        <v>0</v>
      </c>
      <c r="Y2496" s="14">
        <f t="shared" ref="Y2496:Y2498" si="336">T2496-X2496</f>
        <v>0</v>
      </c>
      <c r="Z2496" s="11" t="s">
        <v>26</v>
      </c>
      <c r="AA2496" s="12" t="s">
        <v>31</v>
      </c>
    </row>
    <row r="2497" spans="1:27" x14ac:dyDescent="0.25">
      <c r="A2497" s="10">
        <v>45694</v>
      </c>
      <c r="B2497" s="71">
        <v>3.0567129629629652E-2</v>
      </c>
      <c r="C2497" s="11" t="s">
        <v>4886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4465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2">
        <f>+L2497*O2497</f>
        <v>1904.85</v>
      </c>
      <c r="S2497" s="72">
        <v>0</v>
      </c>
      <c r="T2497" s="72">
        <f>+L2497*S2497</f>
        <v>0</v>
      </c>
      <c r="U2497" s="72">
        <f>+R2497-T2497</f>
        <v>1904.85</v>
      </c>
      <c r="V2497" s="72">
        <f>+U2497*0.75</f>
        <v>1428.6374999999998</v>
      </c>
      <c r="W2497" s="72">
        <f>+U2497-V2497</f>
        <v>476.21250000000009</v>
      </c>
      <c r="X2497" s="72">
        <v>0</v>
      </c>
      <c r="Y2497" s="14">
        <f t="shared" si="336"/>
        <v>0</v>
      </c>
      <c r="Z2497" s="11" t="s">
        <v>26</v>
      </c>
      <c r="AA2497" s="12" t="s">
        <v>31</v>
      </c>
    </row>
    <row r="2498" spans="1:27" x14ac:dyDescent="0.25">
      <c r="A2498" s="10">
        <v>45694</v>
      </c>
      <c r="B2498" s="71">
        <v>3.4768518518518532E-2</v>
      </c>
      <c r="C2498" s="11" t="s">
        <v>4887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2">
        <f>M2498*P2498</f>
        <v>1500</v>
      </c>
      <c r="S2498" s="72">
        <v>0</v>
      </c>
      <c r="T2498" s="72">
        <f>M2498*S2498</f>
        <v>0</v>
      </c>
      <c r="U2498" s="72">
        <f>R2498-T2498</f>
        <v>1500</v>
      </c>
      <c r="V2498" s="72">
        <f>U2498*0</f>
        <v>0</v>
      </c>
      <c r="W2498" s="72">
        <f>U2498-V2498</f>
        <v>1500</v>
      </c>
      <c r="X2498" s="72">
        <v>0</v>
      </c>
      <c r="Y2498" s="14">
        <f t="shared" si="336"/>
        <v>0</v>
      </c>
      <c r="Z2498" s="11" t="s">
        <v>26</v>
      </c>
      <c r="AA2498" s="12" t="s">
        <v>31</v>
      </c>
    </row>
    <row r="2499" spans="1:27" x14ac:dyDescent="0.25">
      <c r="A2499" s="10">
        <v>45694</v>
      </c>
      <c r="B2499" s="71">
        <v>3.5324074074074119E-2</v>
      </c>
      <c r="C2499" s="11" t="s">
        <v>4888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2">
        <f>+L2499*O2499</f>
        <v>3911.18</v>
      </c>
      <c r="S2499" s="72">
        <v>40</v>
      </c>
      <c r="T2499" s="72">
        <f>L2499*S2499</f>
        <v>1719.1999999999998</v>
      </c>
      <c r="U2499" s="72">
        <f t="shared" ref="U2499" si="337">R2499-T2499</f>
        <v>2191.98</v>
      </c>
      <c r="V2499" s="72">
        <f>U2499*1</f>
        <v>2191.98</v>
      </c>
      <c r="W2499" s="72">
        <f t="shared" ref="W2499" si="338">U2499-V2499</f>
        <v>0</v>
      </c>
      <c r="X2499" s="72">
        <f>L2499*37</f>
        <v>1590.26</v>
      </c>
      <c r="Y2499" s="73">
        <f>+T2499-X2499</f>
        <v>128.93999999999983</v>
      </c>
      <c r="Z2499" s="12" t="s">
        <v>41</v>
      </c>
      <c r="AA2499" s="12" t="s">
        <v>79</v>
      </c>
    </row>
    <row r="2500" spans="1:27" x14ac:dyDescent="0.25">
      <c r="A2500" s="10">
        <v>45694</v>
      </c>
      <c r="B2500" s="71">
        <v>3.8263888888888931E-2</v>
      </c>
      <c r="C2500" s="11" t="s">
        <v>4889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4465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2">
        <f>+L2500*O2500</f>
        <v>565.79999999999995</v>
      </c>
      <c r="S2500" s="72">
        <v>0</v>
      </c>
      <c r="T2500" s="72">
        <f>+L2500*S2500</f>
        <v>0</v>
      </c>
      <c r="U2500" s="72">
        <f>+R2500-T2500</f>
        <v>565.79999999999995</v>
      </c>
      <c r="V2500" s="72">
        <f>+U2500*0.75</f>
        <v>424.34999999999997</v>
      </c>
      <c r="W2500" s="72">
        <f>+U2500-V2500</f>
        <v>141.44999999999999</v>
      </c>
      <c r="X2500" s="72">
        <v>0</v>
      </c>
      <c r="Y2500" s="14">
        <f t="shared" ref="Y2500:Y2501" si="339">T2500-X2500</f>
        <v>0</v>
      </c>
      <c r="Z2500" s="11" t="s">
        <v>26</v>
      </c>
      <c r="AA2500" s="12" t="s">
        <v>31</v>
      </c>
    </row>
    <row r="2501" spans="1:27" x14ac:dyDescent="0.25">
      <c r="A2501" s="10">
        <v>45694</v>
      </c>
      <c r="B2501" s="71">
        <v>3.480324074074076E-2</v>
      </c>
      <c r="C2501" s="11" t="s">
        <v>4890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4465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2">
        <f>+L2501*O2501</f>
        <v>576.9</v>
      </c>
      <c r="S2501" s="72">
        <v>0</v>
      </c>
      <c r="T2501" s="72">
        <f>+L2501*S2501</f>
        <v>0</v>
      </c>
      <c r="U2501" s="72">
        <f>+R2501-T2501</f>
        <v>576.9</v>
      </c>
      <c r="V2501" s="72">
        <f>+U2501*0.75</f>
        <v>432.67499999999995</v>
      </c>
      <c r="W2501" s="72">
        <f>+U2501-V2501</f>
        <v>144.22500000000002</v>
      </c>
      <c r="X2501" s="72">
        <v>0</v>
      </c>
      <c r="Y2501" s="14">
        <f t="shared" si="339"/>
        <v>0</v>
      </c>
      <c r="Z2501" s="11" t="s">
        <v>26</v>
      </c>
      <c r="AA2501" s="12" t="s">
        <v>31</v>
      </c>
    </row>
    <row r="2502" spans="1:27" x14ac:dyDescent="0.25">
      <c r="A2502" s="10">
        <v>45694</v>
      </c>
      <c r="B2502" s="71">
        <v>4.0243055555555574E-2</v>
      </c>
      <c r="C2502" s="11" t="s">
        <v>4891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2">
        <f>+L2502*O2502</f>
        <v>3929.38</v>
      </c>
      <c r="S2502" s="72">
        <v>40</v>
      </c>
      <c r="T2502" s="72">
        <f>L2502*S2502</f>
        <v>1727.2</v>
      </c>
      <c r="U2502" s="72">
        <f t="shared" ref="U2502" si="340">R2502-T2502</f>
        <v>2202.1800000000003</v>
      </c>
      <c r="V2502" s="72">
        <f>U2502*1</f>
        <v>2202.1800000000003</v>
      </c>
      <c r="W2502" s="72">
        <f t="shared" ref="W2502" si="341">U2502-V2502</f>
        <v>0</v>
      </c>
      <c r="X2502" s="72">
        <f>L2502*37</f>
        <v>1597.66</v>
      </c>
      <c r="Y2502" s="73">
        <f>+T2502-X2502</f>
        <v>129.53999999999996</v>
      </c>
      <c r="Z2502" s="12" t="s">
        <v>41</v>
      </c>
      <c r="AA2502" s="12" t="s">
        <v>79</v>
      </c>
    </row>
    <row r="2503" spans="1:27" x14ac:dyDescent="0.25">
      <c r="A2503" s="10">
        <v>45694</v>
      </c>
      <c r="B2503" s="71">
        <v>4.2939814814814792E-2</v>
      </c>
      <c r="C2503" s="11" t="s">
        <v>4892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2">
        <f>(L2503*O2503)-Q2503</f>
        <v>659.2</v>
      </c>
      <c r="S2503" s="72">
        <v>0</v>
      </c>
      <c r="T2503" s="72">
        <f t="shared" ref="T2503" si="342">+L2503*S2503</f>
        <v>0</v>
      </c>
      <c r="U2503" s="72">
        <f t="shared" ref="U2503" si="343">+R2503-T2503</f>
        <v>659.2</v>
      </c>
      <c r="V2503" s="72">
        <f t="shared" ref="V2503" si="344">+U2503*0</f>
        <v>0</v>
      </c>
      <c r="W2503" s="72">
        <f t="shared" ref="W2503" si="345">+U2503-V2503</f>
        <v>659.2</v>
      </c>
      <c r="X2503" s="72">
        <v>0</v>
      </c>
      <c r="Y2503" s="14">
        <f t="shared" ref="Y2503:Y2506" si="346">T2503-X2503</f>
        <v>0</v>
      </c>
      <c r="Z2503" s="11" t="s">
        <v>26</v>
      </c>
      <c r="AA2503" s="12" t="s">
        <v>31</v>
      </c>
    </row>
    <row r="2504" spans="1:27" x14ac:dyDescent="0.25">
      <c r="A2504" s="10">
        <v>45694</v>
      </c>
      <c r="B2504" s="71">
        <v>3.8784722222222179E-2</v>
      </c>
      <c r="C2504" s="11" t="s">
        <v>4893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2">
        <f>M2504*P2504</f>
        <v>1550</v>
      </c>
      <c r="S2504" s="72">
        <v>0</v>
      </c>
      <c r="T2504" s="72">
        <f>M2504*S2504</f>
        <v>0</v>
      </c>
      <c r="U2504" s="72">
        <f>R2504-T2504</f>
        <v>1550</v>
      </c>
      <c r="V2504" s="72">
        <f>U2504*0</f>
        <v>0</v>
      </c>
      <c r="W2504" s="72">
        <f>U2504-V2504</f>
        <v>1550</v>
      </c>
      <c r="X2504" s="72">
        <v>0</v>
      </c>
      <c r="Y2504" s="14">
        <f t="shared" si="346"/>
        <v>0</v>
      </c>
      <c r="Z2504" s="11" t="s">
        <v>26</v>
      </c>
      <c r="AA2504" s="12" t="s">
        <v>31</v>
      </c>
    </row>
    <row r="2505" spans="1:27" x14ac:dyDescent="0.25">
      <c r="A2505" s="10">
        <v>45694</v>
      </c>
      <c r="B2505" s="71">
        <v>3.587962962962965E-2</v>
      </c>
      <c r="C2505" s="11" t="s">
        <v>4894</v>
      </c>
      <c r="D2505" s="11">
        <v>17039</v>
      </c>
      <c r="E2505" s="11" t="s">
        <v>4895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2">
        <f>(L2505*O2505)-Q2505</f>
        <v>625.6</v>
      </c>
      <c r="S2505" s="72">
        <v>0</v>
      </c>
      <c r="T2505" s="72">
        <f t="shared" ref="T2505" si="347">+L2505*S2505</f>
        <v>0</v>
      </c>
      <c r="U2505" s="72">
        <f t="shared" ref="U2505:U2506" si="348">+R2505-T2505</f>
        <v>625.6</v>
      </c>
      <c r="V2505" s="72">
        <f t="shared" ref="V2505" si="349">+U2505*0</f>
        <v>0</v>
      </c>
      <c r="W2505" s="72">
        <f t="shared" ref="W2505:W2506" si="350">+U2505-V2505</f>
        <v>625.6</v>
      </c>
      <c r="X2505" s="72">
        <v>0</v>
      </c>
      <c r="Y2505" s="14">
        <f t="shared" si="346"/>
        <v>0</v>
      </c>
      <c r="Z2505" s="11" t="s">
        <v>26</v>
      </c>
      <c r="AA2505" s="12" t="s">
        <v>31</v>
      </c>
    </row>
    <row r="2506" spans="1:27" x14ac:dyDescent="0.25">
      <c r="A2506" s="10">
        <v>45694</v>
      </c>
      <c r="B2506" s="71">
        <v>4.0787037037037066E-2</v>
      </c>
      <c r="C2506" s="11" t="s">
        <v>4896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2">
        <f>+M2506*P2506</f>
        <v>600</v>
      </c>
      <c r="S2506" s="72">
        <v>0</v>
      </c>
      <c r="T2506" s="72">
        <f>+M2506*S2506</f>
        <v>0</v>
      </c>
      <c r="U2506" s="72">
        <f t="shared" si="348"/>
        <v>600</v>
      </c>
      <c r="V2506" s="72">
        <f>+U2506*0</f>
        <v>0</v>
      </c>
      <c r="W2506" s="72">
        <f t="shared" si="350"/>
        <v>600</v>
      </c>
      <c r="X2506" s="72">
        <v>0</v>
      </c>
      <c r="Y2506" s="14">
        <f t="shared" si="346"/>
        <v>0</v>
      </c>
      <c r="Z2506" s="11" t="s">
        <v>26</v>
      </c>
      <c r="AA2506" s="12" t="s">
        <v>31</v>
      </c>
    </row>
    <row r="2507" spans="1:27" x14ac:dyDescent="0.25">
      <c r="A2507" s="10">
        <v>45694</v>
      </c>
      <c r="B2507" s="71">
        <v>1.6724537037037024E-2</v>
      </c>
      <c r="C2507" s="11" t="s">
        <v>4897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4439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2">
        <f>L2507*O2507</f>
        <v>3884.5000000000005</v>
      </c>
      <c r="S2507" s="72">
        <v>38</v>
      </c>
      <c r="T2507" s="72">
        <f>L2507*S2507</f>
        <v>1736.6000000000001</v>
      </c>
      <c r="U2507" s="72">
        <f>R2507-T2507</f>
        <v>2147.9000000000005</v>
      </c>
      <c r="V2507" s="72">
        <f>U2507*1</f>
        <v>2147.9000000000005</v>
      </c>
      <c r="W2507" s="72">
        <f>U2507-V2507</f>
        <v>0</v>
      </c>
      <c r="X2507" s="72">
        <f>L2507*37</f>
        <v>1690.9</v>
      </c>
      <c r="Y2507" s="73">
        <f>+T2507-X2507</f>
        <v>45.700000000000045</v>
      </c>
      <c r="Z2507" s="12" t="s">
        <v>41</v>
      </c>
      <c r="AA2507" s="12" t="s">
        <v>78</v>
      </c>
    </row>
    <row r="2508" spans="1:27" x14ac:dyDescent="0.25">
      <c r="A2508" s="10">
        <v>45694</v>
      </c>
      <c r="B2508" s="71">
        <v>1.4918981481481519E-2</v>
      </c>
      <c r="C2508" s="11" t="s">
        <v>4898</v>
      </c>
      <c r="D2508" s="11">
        <v>17042</v>
      </c>
      <c r="E2508" s="11" t="s">
        <v>2143</v>
      </c>
      <c r="F2508" s="11" t="s">
        <v>26</v>
      </c>
      <c r="G2508" s="11">
        <v>112429</v>
      </c>
      <c r="H2508" s="12" t="s">
        <v>4463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2">
        <f t="shared" ref="R2508" si="351">+L2508*O2508</f>
        <v>1662.3200000000002</v>
      </c>
      <c r="S2508" s="72">
        <v>0</v>
      </c>
      <c r="T2508" s="72">
        <f>+L2508*S2508</f>
        <v>0</v>
      </c>
      <c r="U2508" s="72">
        <f>+R2508-T2508</f>
        <v>1662.3200000000002</v>
      </c>
      <c r="V2508" s="72">
        <f>+U2508*1</f>
        <v>1662.3200000000002</v>
      </c>
      <c r="W2508" s="72">
        <f>+U2508-V2508</f>
        <v>0</v>
      </c>
      <c r="X2508" s="72">
        <v>0</v>
      </c>
      <c r="Y2508" s="14">
        <f t="shared" ref="Y2508:Y2509" si="352">T2508-X2508</f>
        <v>0</v>
      </c>
      <c r="Z2508" s="11" t="s">
        <v>26</v>
      </c>
      <c r="AA2508" s="12" t="s">
        <v>31</v>
      </c>
    </row>
    <row r="2509" spans="1:27" x14ac:dyDescent="0.25">
      <c r="A2509" s="10">
        <v>45694</v>
      </c>
      <c r="B2509" s="71">
        <v>3.3715277777777775E-2</v>
      </c>
      <c r="C2509" s="11" t="s">
        <v>4899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4440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2">
        <f>+L2509*O2509</f>
        <v>1654.1999999999998</v>
      </c>
      <c r="S2509" s="72">
        <v>0</v>
      </c>
      <c r="T2509" s="72">
        <f>+L2509*S2509</f>
        <v>0</v>
      </c>
      <c r="U2509" s="72">
        <f t="shared" ref="U2509" si="353">+R2509-T2509</f>
        <v>1654.1999999999998</v>
      </c>
      <c r="V2509" s="72">
        <f>+U2509*1</f>
        <v>1654.1999999999998</v>
      </c>
      <c r="W2509" s="72">
        <f t="shared" ref="W2509" si="354">+U2509-V2509</f>
        <v>0</v>
      </c>
      <c r="X2509" s="72">
        <v>0</v>
      </c>
      <c r="Y2509" s="14">
        <f t="shared" si="352"/>
        <v>0</v>
      </c>
      <c r="Z2509" s="11" t="s">
        <v>26</v>
      </c>
      <c r="AA2509" s="12" t="s">
        <v>31</v>
      </c>
    </row>
    <row r="2510" spans="1:27" x14ac:dyDescent="0.25">
      <c r="A2510" s="10">
        <v>45694</v>
      </c>
      <c r="B2510" s="71">
        <v>3.2361111111111174E-2</v>
      </c>
      <c r="C2510" s="11" t="s">
        <v>4900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4439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2">
        <f>L2510*O2510</f>
        <v>3826.7000000000003</v>
      </c>
      <c r="S2510" s="72">
        <v>38</v>
      </c>
      <c r="T2510" s="72">
        <f>L2510*S2510</f>
        <v>1710.7600000000002</v>
      </c>
      <c r="U2510" s="72">
        <f>R2510-T2510</f>
        <v>2115.94</v>
      </c>
      <c r="V2510" s="72">
        <f>U2510*1</f>
        <v>2115.94</v>
      </c>
      <c r="W2510" s="72">
        <f>U2510-V2510</f>
        <v>0</v>
      </c>
      <c r="X2510" s="72">
        <f>L2510*37</f>
        <v>1665.74</v>
      </c>
      <c r="Y2510" s="73">
        <f>+T2510-X2510</f>
        <v>45.020000000000209</v>
      </c>
      <c r="Z2510" s="12" t="s">
        <v>41</v>
      </c>
      <c r="AA2510" s="12" t="s">
        <v>78</v>
      </c>
    </row>
    <row r="2511" spans="1:27" x14ac:dyDescent="0.25">
      <c r="A2511" s="10">
        <v>45694</v>
      </c>
      <c r="B2511" s="71">
        <v>3.1365740740740722E-2</v>
      </c>
      <c r="C2511" s="11" t="s">
        <v>4901</v>
      </c>
      <c r="D2511" s="11">
        <v>17045</v>
      </c>
      <c r="E2511" s="11" t="s">
        <v>2126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35</v>
      </c>
      <c r="P2511" s="13"/>
      <c r="Q2511" s="13">
        <v>0</v>
      </c>
      <c r="R2511" s="72">
        <f>+L2511*O2511</f>
        <v>1357.3</v>
      </c>
      <c r="S2511" s="72">
        <v>0</v>
      </c>
      <c r="T2511" s="72">
        <f>+L2511*S2511</f>
        <v>0</v>
      </c>
      <c r="U2511" s="72">
        <f>+R2511-T2511</f>
        <v>1357.3</v>
      </c>
      <c r="V2511" s="72">
        <f t="shared" ref="V2511" si="355">+U2511*0</f>
        <v>0</v>
      </c>
      <c r="W2511" s="72">
        <f>+U2511-V2511</f>
        <v>1357.3</v>
      </c>
      <c r="X2511" s="72">
        <v>0</v>
      </c>
      <c r="Y2511" s="14">
        <f t="shared" ref="Y2511:Y2513" si="356">T2511-X2511</f>
        <v>0</v>
      </c>
      <c r="Z2511" s="11" t="s">
        <v>26</v>
      </c>
      <c r="AA2511" s="12" t="s">
        <v>31</v>
      </c>
    </row>
    <row r="2512" spans="1:27" x14ac:dyDescent="0.25">
      <c r="A2512" s="10">
        <v>45694</v>
      </c>
      <c r="B2512" s="71">
        <v>3.9652777777777759E-2</v>
      </c>
      <c r="C2512" s="11" t="s">
        <v>4902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4465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2">
        <f>+L2512*O2512</f>
        <v>566.4</v>
      </c>
      <c r="S2512" s="72">
        <v>0</v>
      </c>
      <c r="T2512" s="72">
        <f>+L2512*S2512</f>
        <v>0</v>
      </c>
      <c r="U2512" s="72">
        <f>+R2512-T2512</f>
        <v>566.4</v>
      </c>
      <c r="V2512" s="72">
        <f>+U2512*0.75</f>
        <v>424.79999999999995</v>
      </c>
      <c r="W2512" s="72">
        <f>+U2512-V2512</f>
        <v>141.60000000000002</v>
      </c>
      <c r="X2512" s="72">
        <v>0</v>
      </c>
      <c r="Y2512" s="14">
        <f t="shared" si="356"/>
        <v>0</v>
      </c>
      <c r="Z2512" s="11" t="s">
        <v>26</v>
      </c>
      <c r="AA2512" s="12" t="s">
        <v>31</v>
      </c>
    </row>
    <row r="2513" spans="1:27" x14ac:dyDescent="0.25">
      <c r="A2513" s="10">
        <v>45694</v>
      </c>
      <c r="B2513" s="71">
        <v>1.758101851851851E-2</v>
      </c>
      <c r="C2513" s="11" t="s">
        <v>4903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4463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2">
        <f t="shared" ref="R2513" si="357">+L2513*O2513</f>
        <v>1609.44</v>
      </c>
      <c r="S2513" s="72">
        <v>0</v>
      </c>
      <c r="T2513" s="72">
        <f>+L2513*S2513</f>
        <v>0</v>
      </c>
      <c r="U2513" s="72">
        <f t="shared" ref="U2513" si="358">+R2513-T2513</f>
        <v>1609.44</v>
      </c>
      <c r="V2513" s="72">
        <f>+U2513*1</f>
        <v>1609.44</v>
      </c>
      <c r="W2513" s="72">
        <f t="shared" ref="W2513" si="359">+U2513-V2513</f>
        <v>0</v>
      </c>
      <c r="X2513" s="72">
        <v>0</v>
      </c>
      <c r="Y2513" s="14">
        <f t="shared" si="356"/>
        <v>0</v>
      </c>
      <c r="Z2513" s="11" t="s">
        <v>26</v>
      </c>
      <c r="AA2513" s="12" t="s">
        <v>31</v>
      </c>
    </row>
    <row r="2514" spans="1:27" x14ac:dyDescent="0.25">
      <c r="A2514" s="10">
        <v>45694</v>
      </c>
      <c r="B2514" s="71">
        <v>2.5104166666666705E-2</v>
      </c>
      <c r="C2514" s="11" t="s">
        <v>4904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4439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2">
        <f>L2514*O2514</f>
        <v>3652</v>
      </c>
      <c r="S2514" s="72">
        <v>38</v>
      </c>
      <c r="T2514" s="72">
        <f>L2514*S2514</f>
        <v>1672</v>
      </c>
      <c r="U2514" s="72">
        <f>R2514-T2514</f>
        <v>1980</v>
      </c>
      <c r="V2514" s="72">
        <f>U2514*1</f>
        <v>1980</v>
      </c>
      <c r="W2514" s="72">
        <f>U2514-V2514</f>
        <v>0</v>
      </c>
      <c r="X2514" s="72">
        <f>L2514*36</f>
        <v>1584</v>
      </c>
      <c r="Y2514" s="73">
        <f>+T2514-X2514</f>
        <v>88</v>
      </c>
      <c r="Z2514" s="12" t="s">
        <v>45</v>
      </c>
      <c r="AA2514" s="12" t="s">
        <v>78</v>
      </c>
    </row>
    <row r="2515" spans="1:27" x14ac:dyDescent="0.25">
      <c r="A2515" s="10">
        <v>45694</v>
      </c>
      <c r="B2515" s="71">
        <v>3.5254629629629608E-2</v>
      </c>
      <c r="C2515" s="11" t="s">
        <v>4905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2">
        <f>+L2515*O2515</f>
        <v>1689.6000000000001</v>
      </c>
      <c r="S2515" s="72">
        <v>0</v>
      </c>
      <c r="T2515" s="72">
        <f>+L2515*S2515</f>
        <v>0</v>
      </c>
      <c r="U2515" s="72">
        <f>+R2515-T2515</f>
        <v>1689.6000000000001</v>
      </c>
      <c r="V2515" s="72">
        <f t="shared" ref="V2515" si="360">+U2515*0</f>
        <v>0</v>
      </c>
      <c r="W2515" s="72">
        <f>+U2515-V2515</f>
        <v>1689.6000000000001</v>
      </c>
      <c r="X2515" s="72">
        <v>0</v>
      </c>
      <c r="Y2515" s="14">
        <f t="shared" ref="Y2515:Y2516" si="361">T2515-X2515</f>
        <v>0</v>
      </c>
      <c r="Z2515" s="11" t="s">
        <v>26</v>
      </c>
      <c r="AA2515" s="12" t="s">
        <v>31</v>
      </c>
    </row>
    <row r="2516" spans="1:27" x14ac:dyDescent="0.25">
      <c r="A2516" s="10">
        <v>45694</v>
      </c>
      <c r="B2516" s="71">
        <v>6.2812500000000049E-2</v>
      </c>
      <c r="C2516" s="11" t="s">
        <v>4906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4463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2">
        <f t="shared" ref="R2516" si="362">+L2516*O2516</f>
        <v>1579.2</v>
      </c>
      <c r="S2516" s="72">
        <v>0</v>
      </c>
      <c r="T2516" s="72">
        <f>+L2516*S2516</f>
        <v>0</v>
      </c>
      <c r="U2516" s="72">
        <f t="shared" ref="U2516" si="363">+R2516-T2516</f>
        <v>1579.2</v>
      </c>
      <c r="V2516" s="72">
        <f>+U2516*1</f>
        <v>1579.2</v>
      </c>
      <c r="W2516" s="72">
        <f t="shared" ref="W2516" si="364">+U2516-V2516</f>
        <v>0</v>
      </c>
      <c r="X2516" s="72">
        <v>0</v>
      </c>
      <c r="Y2516" s="14">
        <f t="shared" si="361"/>
        <v>0</v>
      </c>
      <c r="Z2516" s="11" t="s">
        <v>26</v>
      </c>
      <c r="AA2516" s="12" t="s">
        <v>31</v>
      </c>
    </row>
    <row r="2517" spans="1:27" x14ac:dyDescent="0.25">
      <c r="A2517" s="10">
        <v>45694</v>
      </c>
      <c r="B2517" s="71">
        <v>4.2777777777777748E-2</v>
      </c>
      <c r="C2517" s="11" t="s">
        <v>4907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4439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2">
        <f>L2517*O2517</f>
        <v>3595.56</v>
      </c>
      <c r="S2517" s="72">
        <v>38</v>
      </c>
      <c r="T2517" s="72">
        <f>L2517*S2517</f>
        <v>1646.16</v>
      </c>
      <c r="U2517" s="72">
        <f>R2517-T2517</f>
        <v>1949.3999999999999</v>
      </c>
      <c r="V2517" s="72">
        <f>U2517*1</f>
        <v>1949.3999999999999</v>
      </c>
      <c r="W2517" s="72">
        <f>U2517-V2517</f>
        <v>0</v>
      </c>
      <c r="X2517" s="72">
        <f>L2517*37</f>
        <v>1602.84</v>
      </c>
      <c r="Y2517" s="73">
        <f>+T2517-X2517</f>
        <v>43.320000000000164</v>
      </c>
      <c r="Z2517" s="12" t="s">
        <v>41</v>
      </c>
      <c r="AA2517" s="12" t="s">
        <v>78</v>
      </c>
    </row>
    <row r="2518" spans="1:27" x14ac:dyDescent="0.25">
      <c r="A2518" s="10">
        <v>45694</v>
      </c>
      <c r="B2518" s="71">
        <v>4.2962962962962925E-2</v>
      </c>
      <c r="C2518" s="11" t="s">
        <v>4908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4439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2">
        <f>L2518*O2518</f>
        <v>3709.68</v>
      </c>
      <c r="S2518" s="72">
        <v>38</v>
      </c>
      <c r="T2518" s="72">
        <f>L2518*S2518</f>
        <v>1620.32</v>
      </c>
      <c r="U2518" s="72">
        <f>R2518-T2518</f>
        <v>2089.3599999999997</v>
      </c>
      <c r="V2518" s="72">
        <f>U2518*1</f>
        <v>2089.3599999999997</v>
      </c>
      <c r="W2518" s="72">
        <f>U2518-V2518</f>
        <v>0</v>
      </c>
      <c r="X2518" s="72">
        <f>L2518*36</f>
        <v>1535.04</v>
      </c>
      <c r="Y2518" s="73">
        <f>+T2518-X2518</f>
        <v>85.279999999999973</v>
      </c>
      <c r="Z2518" s="12" t="s">
        <v>45</v>
      </c>
      <c r="AA2518" s="12" t="s">
        <v>78</v>
      </c>
    </row>
    <row r="2519" spans="1:27" x14ac:dyDescent="0.25">
      <c r="A2519" s="10">
        <v>45694</v>
      </c>
      <c r="B2519" s="71">
        <v>3.9918981481481486E-2</v>
      </c>
      <c r="C2519" s="11" t="s">
        <v>4909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35</v>
      </c>
      <c r="P2519" s="13"/>
      <c r="Q2519" s="13">
        <v>0</v>
      </c>
      <c r="R2519" s="72">
        <f>+L2519*O2519</f>
        <v>1479.8</v>
      </c>
      <c r="S2519" s="72">
        <v>0</v>
      </c>
      <c r="T2519" s="72">
        <f>+L2519*S2519</f>
        <v>0</v>
      </c>
      <c r="U2519" s="72">
        <f>+R2519-T2519</f>
        <v>1479.8</v>
      </c>
      <c r="V2519" s="72">
        <f t="shared" ref="V2519:V2520" si="365">+U2519*0</f>
        <v>0</v>
      </c>
      <c r="W2519" s="72">
        <f>+U2519-V2519</f>
        <v>1479.8</v>
      </c>
      <c r="X2519" s="72">
        <v>0</v>
      </c>
      <c r="Y2519" s="14">
        <f t="shared" ref="Y2519:Y2524" si="366">T2519-X2519</f>
        <v>0</v>
      </c>
      <c r="Z2519" s="11" t="s">
        <v>26</v>
      </c>
      <c r="AA2519" s="12" t="s">
        <v>31</v>
      </c>
    </row>
    <row r="2520" spans="1:27" x14ac:dyDescent="0.25">
      <c r="A2520" s="10">
        <v>45694</v>
      </c>
      <c r="B2520" s="71">
        <v>7.9189814814814796E-2</v>
      </c>
      <c r="C2520" s="11" t="s">
        <v>4910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2">
        <f>(L2520*O2520)-Q2520</f>
        <v>229</v>
      </c>
      <c r="S2520" s="72">
        <v>0</v>
      </c>
      <c r="T2520" s="72">
        <f t="shared" ref="T2520" si="367">+L2520*S2520</f>
        <v>0</v>
      </c>
      <c r="U2520" s="72">
        <f t="shared" ref="U2520:U2521" si="368">+R2520-T2520</f>
        <v>229</v>
      </c>
      <c r="V2520" s="72">
        <f t="shared" si="365"/>
        <v>0</v>
      </c>
      <c r="W2520" s="72">
        <f t="shared" ref="W2520:W2521" si="369">+U2520-V2520</f>
        <v>229</v>
      </c>
      <c r="X2520" s="72">
        <v>0</v>
      </c>
      <c r="Y2520" s="14">
        <f t="shared" si="366"/>
        <v>0</v>
      </c>
      <c r="Z2520" s="11" t="s">
        <v>26</v>
      </c>
      <c r="AA2520" s="12" t="s">
        <v>31</v>
      </c>
    </row>
    <row r="2521" spans="1:27" x14ac:dyDescent="0.25">
      <c r="A2521" s="10">
        <v>45694</v>
      </c>
      <c r="B2521" s="71">
        <v>2.7939814814814834E-2</v>
      </c>
      <c r="C2521" s="11" t="s">
        <v>4911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4463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2">
        <f t="shared" ref="R2521" si="370">+L2521*O2521</f>
        <v>1719.48</v>
      </c>
      <c r="S2521" s="72">
        <v>0</v>
      </c>
      <c r="T2521" s="72">
        <f>+L2521*S2521</f>
        <v>0</v>
      </c>
      <c r="U2521" s="72">
        <f t="shared" si="368"/>
        <v>1719.48</v>
      </c>
      <c r="V2521" s="72">
        <f>+U2521*1</f>
        <v>1719.48</v>
      </c>
      <c r="W2521" s="72">
        <f t="shared" si="369"/>
        <v>0</v>
      </c>
      <c r="X2521" s="72">
        <v>0</v>
      </c>
      <c r="Y2521" s="14">
        <f t="shared" si="366"/>
        <v>0</v>
      </c>
      <c r="Z2521" s="11" t="s">
        <v>26</v>
      </c>
      <c r="AA2521" s="12" t="s">
        <v>31</v>
      </c>
    </row>
    <row r="2522" spans="1:27" x14ac:dyDescent="0.25">
      <c r="A2522" s="10">
        <v>45694</v>
      </c>
      <c r="B2522" s="71">
        <v>1.1701388888888831E-2</v>
      </c>
      <c r="C2522" s="11" t="s">
        <v>4912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2">
        <f>M2522*P2522</f>
        <v>1600</v>
      </c>
      <c r="S2522" s="72">
        <v>0</v>
      </c>
      <c r="T2522" s="72">
        <f>M2522*S2522</f>
        <v>0</v>
      </c>
      <c r="U2522" s="72">
        <f>R2522-T2522</f>
        <v>1600</v>
      </c>
      <c r="V2522" s="72">
        <f>U2522*0</f>
        <v>0</v>
      </c>
      <c r="W2522" s="72">
        <f>+U2522-V2522</f>
        <v>1600</v>
      </c>
      <c r="X2522" s="72">
        <v>0</v>
      </c>
      <c r="Y2522" s="14">
        <f t="shared" si="366"/>
        <v>0</v>
      </c>
      <c r="Z2522" s="11" t="s">
        <v>26</v>
      </c>
      <c r="AA2522" s="12" t="s">
        <v>31</v>
      </c>
    </row>
    <row r="2523" spans="1:27" x14ac:dyDescent="0.25">
      <c r="A2523" s="10">
        <v>45694</v>
      </c>
      <c r="B2523" s="71">
        <v>1.8194444444444458E-2</v>
      </c>
      <c r="C2523" s="11" t="s">
        <v>4913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4440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2">
        <f>+L2523*O2523</f>
        <v>1612.8000000000002</v>
      </c>
      <c r="S2523" s="72">
        <v>0</v>
      </c>
      <c r="T2523" s="72">
        <f>+L2523*S2523</f>
        <v>0</v>
      </c>
      <c r="U2523" s="72">
        <f t="shared" ref="U2523" si="371">+R2523-T2523</f>
        <v>1612.8000000000002</v>
      </c>
      <c r="V2523" s="72">
        <f>+U2523*1</f>
        <v>1612.8000000000002</v>
      </c>
      <c r="W2523" s="72">
        <f t="shared" ref="W2523" si="372">+U2523-V2523</f>
        <v>0</v>
      </c>
      <c r="X2523" s="72">
        <v>0</v>
      </c>
      <c r="Y2523" s="14">
        <f t="shared" si="366"/>
        <v>0</v>
      </c>
      <c r="Z2523" s="11" t="s">
        <v>26</v>
      </c>
      <c r="AA2523" s="12" t="s">
        <v>31</v>
      </c>
    </row>
    <row r="2524" spans="1:27" x14ac:dyDescent="0.25">
      <c r="A2524" s="10">
        <v>45694</v>
      </c>
      <c r="B2524" s="71">
        <v>1.9247685185185215E-2</v>
      </c>
      <c r="C2524" s="11" t="s">
        <v>4914</v>
      </c>
      <c r="D2524" s="11">
        <v>17058</v>
      </c>
      <c r="E2524" s="11" t="s">
        <v>1217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2">
        <f>M2524*P2524</f>
        <v>1500</v>
      </c>
      <c r="S2524" s="72">
        <v>0</v>
      </c>
      <c r="T2524" s="72">
        <f>M2524*S2524</f>
        <v>0</v>
      </c>
      <c r="U2524" s="72">
        <f>R2524-T2524</f>
        <v>1500</v>
      </c>
      <c r="V2524" s="72">
        <f>U2524*0</f>
        <v>0</v>
      </c>
      <c r="W2524" s="72">
        <f>U2524-V2524</f>
        <v>1500</v>
      </c>
      <c r="X2524" s="72">
        <v>0</v>
      </c>
      <c r="Y2524" s="14">
        <f t="shared" si="366"/>
        <v>0</v>
      </c>
      <c r="Z2524" s="11" t="s">
        <v>26</v>
      </c>
      <c r="AA2524" s="12" t="s">
        <v>31</v>
      </c>
    </row>
    <row r="2525" spans="1:27" x14ac:dyDescent="0.25">
      <c r="A2525" s="10">
        <v>45694</v>
      </c>
      <c r="B2525" s="71">
        <v>7.645833333333335E-2</v>
      </c>
      <c r="C2525" s="11" t="s">
        <v>4915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4439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2">
        <f>L2525*O2525</f>
        <v>3700.14</v>
      </c>
      <c r="S2525" s="72">
        <v>38</v>
      </c>
      <c r="T2525" s="72">
        <f>L2525*S2525</f>
        <v>1694.04</v>
      </c>
      <c r="U2525" s="72">
        <f>R2525-T2525</f>
        <v>2006.1</v>
      </c>
      <c r="V2525" s="72">
        <f>U2525*1</f>
        <v>2006.1</v>
      </c>
      <c r="W2525" s="72">
        <f>U2525-V2525</f>
        <v>0</v>
      </c>
      <c r="X2525" s="72">
        <f t="shared" ref="X2525:X2526" si="373">L2525*36</f>
        <v>1604.8799999999999</v>
      </c>
      <c r="Y2525" s="73">
        <f>+T2525-X2525</f>
        <v>89.160000000000082</v>
      </c>
      <c r="Z2525" s="12" t="s">
        <v>141</v>
      </c>
      <c r="AA2525" s="12" t="s">
        <v>78</v>
      </c>
    </row>
    <row r="2526" spans="1:27" x14ac:dyDescent="0.25">
      <c r="A2526" s="10">
        <v>45694</v>
      </c>
      <c r="B2526" s="71">
        <v>5.3136574074074128E-2</v>
      </c>
      <c r="C2526" s="11" t="s">
        <v>4916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4439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2">
        <f>L2526*O2526</f>
        <v>3829.62</v>
      </c>
      <c r="S2526" s="72">
        <v>38</v>
      </c>
      <c r="T2526" s="72">
        <f>L2526*S2526</f>
        <v>1753.32</v>
      </c>
      <c r="U2526" s="72">
        <f>R2526-T2526</f>
        <v>2076.3000000000002</v>
      </c>
      <c r="V2526" s="72">
        <f>U2526*1</f>
        <v>2076.3000000000002</v>
      </c>
      <c r="W2526" s="72">
        <f>U2526-V2526</f>
        <v>0</v>
      </c>
      <c r="X2526" s="72">
        <f t="shared" si="373"/>
        <v>1661.04</v>
      </c>
      <c r="Y2526" s="73">
        <f>+T2526-X2526</f>
        <v>92.279999999999973</v>
      </c>
      <c r="Z2526" s="12" t="s">
        <v>141</v>
      </c>
      <c r="AA2526" s="12" t="s">
        <v>78</v>
      </c>
    </row>
    <row r="2527" spans="1:27" x14ac:dyDescent="0.25">
      <c r="A2527" s="10">
        <v>45694</v>
      </c>
      <c r="B2527" s="71">
        <v>1.215277777777779E-2</v>
      </c>
      <c r="C2527" s="11" t="s">
        <v>4917</v>
      </c>
      <c r="D2527" s="11">
        <v>17061</v>
      </c>
      <c r="E2527" s="11" t="s">
        <v>4793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2">
        <f>(L2527*O2527)-Q2527</f>
        <v>466.2</v>
      </c>
      <c r="S2527" s="72">
        <v>0</v>
      </c>
      <c r="T2527" s="72">
        <f t="shared" ref="T2527" si="374">+L2527*S2527</f>
        <v>0</v>
      </c>
      <c r="U2527" s="72">
        <f t="shared" ref="U2527" si="375">+R2527-T2527</f>
        <v>466.2</v>
      </c>
      <c r="V2527" s="72">
        <f>+U2527*0</f>
        <v>0</v>
      </c>
      <c r="W2527" s="72">
        <f t="shared" ref="W2527" si="376">+U2527-V2527</f>
        <v>466.2</v>
      </c>
      <c r="X2527" s="72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x14ac:dyDescent="0.25">
      <c r="A2528" s="10">
        <v>45694</v>
      </c>
      <c r="B2528" s="71">
        <v>1.9976851851851829E-2</v>
      </c>
      <c r="C2528" s="11" t="s">
        <v>4918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35</v>
      </c>
      <c r="P2528" s="13"/>
      <c r="Q2528" s="13">
        <v>0</v>
      </c>
      <c r="R2528" s="72">
        <f>+L2528*O2528</f>
        <v>1540</v>
      </c>
      <c r="S2528" s="72">
        <v>0</v>
      </c>
      <c r="T2528" s="72">
        <f>+L2528*S2528</f>
        <v>0</v>
      </c>
      <c r="U2528" s="72">
        <f>+R2528-T2528</f>
        <v>1540</v>
      </c>
      <c r="V2528" s="72">
        <f t="shared" ref="V2528" si="377">+U2528*0</f>
        <v>0</v>
      </c>
      <c r="W2528" s="72">
        <f>+U2528-V2528</f>
        <v>1540</v>
      </c>
      <c r="X2528" s="72">
        <v>0</v>
      </c>
      <c r="Y2528" s="14">
        <f t="shared" ref="Y2528" si="378">T2528-X2528</f>
        <v>0</v>
      </c>
      <c r="Z2528" s="11" t="s">
        <v>26</v>
      </c>
      <c r="AA2528" s="12" t="s">
        <v>31</v>
      </c>
    </row>
    <row r="2529" spans="1:27" x14ac:dyDescent="0.25">
      <c r="A2529" s="10">
        <v>45694</v>
      </c>
      <c r="B2529" s="71">
        <v>1.8217592592592535E-2</v>
      </c>
      <c r="C2529" s="11" t="s">
        <v>4919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2">
        <f>(L2529*O2529)-Q2529</f>
        <v>245.7</v>
      </c>
      <c r="S2529" s="72">
        <v>0</v>
      </c>
      <c r="T2529" s="72">
        <f t="shared" ref="T2529" si="379">+L2529*S2529</f>
        <v>0</v>
      </c>
      <c r="U2529" s="72">
        <f t="shared" ref="U2529" si="380">+R2529-T2529</f>
        <v>245.7</v>
      </c>
      <c r="V2529" s="72">
        <f>+U2529*0</f>
        <v>0</v>
      </c>
      <c r="W2529" s="72">
        <f t="shared" ref="W2529" si="381">+U2529-V2529</f>
        <v>245.7</v>
      </c>
      <c r="X2529" s="72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x14ac:dyDescent="0.25">
      <c r="A2530" s="10">
        <v>45694</v>
      </c>
      <c r="B2530" s="71">
        <v>8.8194444444444353E-3</v>
      </c>
      <c r="C2530" s="11" t="s">
        <v>4920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4465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2">
        <f>+L2530*O2530</f>
        <v>569.09999999999991</v>
      </c>
      <c r="S2530" s="72">
        <v>0</v>
      </c>
      <c r="T2530" s="72">
        <f>+L2530*S2530</f>
        <v>0</v>
      </c>
      <c r="U2530" s="72">
        <f>+R2530-T2530</f>
        <v>569.09999999999991</v>
      </c>
      <c r="V2530" s="72">
        <f>+U2530*0.75</f>
        <v>426.82499999999993</v>
      </c>
      <c r="W2530" s="72">
        <f>+U2530-V2530</f>
        <v>142.27499999999998</v>
      </c>
      <c r="X2530" s="72">
        <v>0</v>
      </c>
      <c r="Y2530" s="14">
        <f t="shared" ref="Y2530:Y2533" si="382">T2530-X2530</f>
        <v>0</v>
      </c>
      <c r="Z2530" s="11" t="s">
        <v>26</v>
      </c>
      <c r="AA2530" s="12" t="s">
        <v>31</v>
      </c>
    </row>
    <row r="2531" spans="1:27" x14ac:dyDescent="0.25">
      <c r="A2531" s="10">
        <v>45694</v>
      </c>
      <c r="B2531" s="71">
        <v>1.354166666666673E-2</v>
      </c>
      <c r="C2531" s="11" t="s">
        <v>4921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4465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2">
        <f>+L2531*O2531</f>
        <v>1805.9472000000001</v>
      </c>
      <c r="S2531" s="72">
        <v>0</v>
      </c>
      <c r="T2531" s="72">
        <f>+L2531*S2531</f>
        <v>0</v>
      </c>
      <c r="U2531" s="72">
        <f>+R2531-T2531</f>
        <v>1805.9472000000001</v>
      </c>
      <c r="V2531" s="72">
        <f>+U2531*0.75</f>
        <v>1354.4603999999999</v>
      </c>
      <c r="W2531" s="72">
        <f>+U2531-V2531</f>
        <v>451.48680000000013</v>
      </c>
      <c r="X2531" s="72">
        <v>0</v>
      </c>
      <c r="Y2531" s="14">
        <f t="shared" si="382"/>
        <v>0</v>
      </c>
      <c r="Z2531" s="11" t="s">
        <v>26</v>
      </c>
      <c r="AA2531" s="12" t="s">
        <v>31</v>
      </c>
    </row>
    <row r="2532" spans="1:27" x14ac:dyDescent="0.25">
      <c r="A2532" s="10">
        <v>45694</v>
      </c>
      <c r="B2532" s="71">
        <v>8.1712962962963154E-3</v>
      </c>
      <c r="C2532" s="11" t="s">
        <v>4922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2">
        <f>L2532*O2532</f>
        <v>529.79999999999995</v>
      </c>
      <c r="S2532" s="72">
        <v>0</v>
      </c>
      <c r="T2532" s="72">
        <f>L2532*S2532</f>
        <v>0</v>
      </c>
      <c r="U2532" s="72">
        <f>R2532-T2532</f>
        <v>529.79999999999995</v>
      </c>
      <c r="V2532" s="72">
        <f>U2532*0</f>
        <v>0</v>
      </c>
      <c r="W2532" s="72">
        <f>U2532-V2532</f>
        <v>529.79999999999995</v>
      </c>
      <c r="X2532" s="72">
        <v>0</v>
      </c>
      <c r="Y2532" s="14">
        <f t="shared" si="382"/>
        <v>0</v>
      </c>
      <c r="Z2532" s="11" t="s">
        <v>26</v>
      </c>
      <c r="AA2532" s="12" t="s">
        <v>31</v>
      </c>
    </row>
    <row r="2533" spans="1:27" x14ac:dyDescent="0.25">
      <c r="A2533" s="10">
        <v>45694</v>
      </c>
      <c r="B2533" s="71">
        <v>7.9583333333333339E-2</v>
      </c>
      <c r="C2533" s="11" t="s">
        <v>4923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2">
        <f>+M2533*P2533</f>
        <v>600</v>
      </c>
      <c r="S2533" s="72">
        <v>0</v>
      </c>
      <c r="T2533" s="72">
        <f>+M2533*S2533</f>
        <v>0</v>
      </c>
      <c r="U2533" s="72">
        <f t="shared" ref="U2533" si="383">+R2533-T2533</f>
        <v>600</v>
      </c>
      <c r="V2533" s="72">
        <f>+U2533*0</f>
        <v>0</v>
      </c>
      <c r="W2533" s="72">
        <f t="shared" ref="W2533" si="384">+U2533-V2533</f>
        <v>600</v>
      </c>
      <c r="X2533" s="72">
        <v>0</v>
      </c>
      <c r="Y2533" s="14">
        <f t="shared" si="382"/>
        <v>0</v>
      </c>
      <c r="Z2533" s="11" t="s">
        <v>26</v>
      </c>
      <c r="AA2533" s="12" t="s">
        <v>31</v>
      </c>
    </row>
    <row r="2534" spans="1:27" x14ac:dyDescent="0.25">
      <c r="A2534" s="10">
        <v>45694</v>
      </c>
      <c r="B2534" s="71">
        <v>1.0532407407407463E-2</v>
      </c>
      <c r="C2534" s="11" t="s">
        <v>4924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4441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2">
        <f>L2534*O2534</f>
        <v>3151.8</v>
      </c>
      <c r="S2534" s="72">
        <v>41</v>
      </c>
      <c r="T2534" s="72">
        <f>+L2534*S2534</f>
        <v>1435.8200000000002</v>
      </c>
      <c r="U2534" s="72">
        <f t="shared" ref="U2534" si="385">R2534-T2534</f>
        <v>1715.98</v>
      </c>
      <c r="V2534" s="72">
        <f>U2534*1</f>
        <v>1715.98</v>
      </c>
      <c r="W2534" s="72">
        <f t="shared" ref="W2534" si="386">U2534-V2534</f>
        <v>0</v>
      </c>
      <c r="X2534" s="16">
        <f>L2534*40</f>
        <v>1400.8000000000002</v>
      </c>
      <c r="Y2534" s="73">
        <f t="shared" ref="Y2534" si="387">+T2534-X2534</f>
        <v>35.019999999999982</v>
      </c>
      <c r="Z2534" s="12" t="s">
        <v>41</v>
      </c>
      <c r="AA2534" s="12" t="s">
        <v>747</v>
      </c>
    </row>
    <row r="2535" spans="1:27" x14ac:dyDescent="0.25">
      <c r="A2535" s="10">
        <v>45694</v>
      </c>
      <c r="B2535" s="71">
        <v>1.6157407407407398E-2</v>
      </c>
      <c r="C2535" s="11" t="s">
        <v>4925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4465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2">
        <f>+L2535*O2535</f>
        <v>549.9</v>
      </c>
      <c r="S2535" s="72">
        <v>0</v>
      </c>
      <c r="T2535" s="72">
        <f>+L2535*S2535</f>
        <v>0</v>
      </c>
      <c r="U2535" s="72">
        <f>+R2535-T2535</f>
        <v>549.9</v>
      </c>
      <c r="V2535" s="72">
        <f>+U2535*0.75</f>
        <v>412.42499999999995</v>
      </c>
      <c r="W2535" s="72">
        <f>+U2535-V2535</f>
        <v>137.47500000000002</v>
      </c>
      <c r="X2535" s="72">
        <v>0</v>
      </c>
      <c r="Y2535" s="14">
        <f t="shared" ref="Y2535:Y2537" si="388">T2535-X2535</f>
        <v>0</v>
      </c>
      <c r="Z2535" s="11" t="s">
        <v>26</v>
      </c>
      <c r="AA2535" s="12" t="s">
        <v>31</v>
      </c>
    </row>
    <row r="2536" spans="1:27" x14ac:dyDescent="0.25">
      <c r="A2536" s="10">
        <v>45694</v>
      </c>
      <c r="B2536" s="71">
        <v>1.9097222222222265E-2</v>
      </c>
      <c r="C2536" s="11" t="s">
        <v>4926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2">
        <f>+M2536*P2536</f>
        <v>600</v>
      </c>
      <c r="S2536" s="72">
        <v>0</v>
      </c>
      <c r="T2536" s="72">
        <f>+M2536*S2536</f>
        <v>0</v>
      </c>
      <c r="U2536" s="72">
        <f t="shared" ref="U2536:U2537" si="389">+R2536-T2536</f>
        <v>600</v>
      </c>
      <c r="V2536" s="72">
        <f>+U2536*0</f>
        <v>0</v>
      </c>
      <c r="W2536" s="72">
        <f t="shared" ref="W2536:W2537" si="390">+U2536-V2536</f>
        <v>600</v>
      </c>
      <c r="X2536" s="72">
        <v>0</v>
      </c>
      <c r="Y2536" s="14">
        <f t="shared" si="388"/>
        <v>0</v>
      </c>
      <c r="Z2536" s="11" t="s">
        <v>26</v>
      </c>
      <c r="AA2536" s="12" t="s">
        <v>31</v>
      </c>
    </row>
    <row r="2537" spans="1:27" x14ac:dyDescent="0.25">
      <c r="A2537" s="10">
        <v>45694</v>
      </c>
      <c r="B2537" s="71">
        <v>3.1944444444444497E-2</v>
      </c>
      <c r="C2537" s="11" t="s">
        <v>4927</v>
      </c>
      <c r="D2537" s="11">
        <v>17072</v>
      </c>
      <c r="E2537" s="11" t="s">
        <v>4793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2">
        <f>(L2537*O2537)-Q2537</f>
        <v>315.2</v>
      </c>
      <c r="S2537" s="72">
        <v>0</v>
      </c>
      <c r="T2537" s="72">
        <f t="shared" ref="T2537" si="391">+L2537*S2537</f>
        <v>0</v>
      </c>
      <c r="U2537" s="72">
        <f t="shared" si="389"/>
        <v>315.2</v>
      </c>
      <c r="V2537" s="72">
        <f t="shared" ref="V2537" si="392">+U2537*0</f>
        <v>0</v>
      </c>
      <c r="W2537" s="72">
        <f t="shared" si="390"/>
        <v>315.2</v>
      </c>
      <c r="X2537" s="72">
        <v>0</v>
      </c>
      <c r="Y2537" s="14">
        <f t="shared" si="388"/>
        <v>0</v>
      </c>
      <c r="Z2537" s="11" t="s">
        <v>26</v>
      </c>
      <c r="AA2537" s="12" t="s">
        <v>31</v>
      </c>
    </row>
    <row r="2538" spans="1:27" x14ac:dyDescent="0.25">
      <c r="A2538" s="10">
        <v>45694</v>
      </c>
      <c r="B2538" s="71">
        <v>2.2685185185185142E-2</v>
      </c>
      <c r="C2538" s="11" t="s">
        <v>4928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4439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2">
        <f>L2538*O2538</f>
        <v>3562.36</v>
      </c>
      <c r="S2538" s="72">
        <v>38</v>
      </c>
      <c r="T2538" s="72">
        <f>L2538*S2538</f>
        <v>1630.96</v>
      </c>
      <c r="U2538" s="72">
        <f>R2538-T2538</f>
        <v>1931.4</v>
      </c>
      <c r="V2538" s="72">
        <f>U2538*1</f>
        <v>1931.4</v>
      </c>
      <c r="W2538" s="72">
        <f>U2538-V2538</f>
        <v>0</v>
      </c>
      <c r="X2538" s="72">
        <f>L2538*36</f>
        <v>1545.1200000000001</v>
      </c>
      <c r="Y2538" s="73">
        <f>+T2538-X2538</f>
        <v>85.839999999999918</v>
      </c>
      <c r="Z2538" s="12" t="s">
        <v>141</v>
      </c>
      <c r="AA2538" s="12" t="s">
        <v>78</v>
      </c>
    </row>
    <row r="2539" spans="1:27" x14ac:dyDescent="0.25">
      <c r="A2539" s="10">
        <v>45694</v>
      </c>
      <c r="B2539" s="71">
        <v>1.2268518518518512E-2</v>
      </c>
      <c r="C2539" s="11" t="s">
        <v>4929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35</v>
      </c>
      <c r="P2539" s="13"/>
      <c r="Q2539" s="13">
        <v>0</v>
      </c>
      <c r="R2539" s="72">
        <f>+L2539*O2539</f>
        <v>1528.1</v>
      </c>
      <c r="S2539" s="72">
        <v>0</v>
      </c>
      <c r="T2539" s="72">
        <f>+L2539*S2539</f>
        <v>0</v>
      </c>
      <c r="U2539" s="72">
        <f>+R2539-T2539</f>
        <v>1528.1</v>
      </c>
      <c r="V2539" s="72">
        <f t="shared" ref="V2539" si="393">+U2539*0</f>
        <v>0</v>
      </c>
      <c r="W2539" s="72">
        <f>+U2539-V2539</f>
        <v>1528.1</v>
      </c>
      <c r="X2539" s="72">
        <v>0</v>
      </c>
      <c r="Y2539" s="14">
        <f t="shared" ref="Y2539:Y2548" si="394">T2539-X2539</f>
        <v>0</v>
      </c>
      <c r="Z2539" s="11" t="s">
        <v>26</v>
      </c>
      <c r="AA2539" s="12" t="s">
        <v>31</v>
      </c>
    </row>
    <row r="2540" spans="1:27" x14ac:dyDescent="0.25">
      <c r="A2540" s="10">
        <v>45694</v>
      </c>
      <c r="B2540" s="71">
        <v>1.2638888888888866E-2</v>
      </c>
      <c r="C2540" s="11" t="s">
        <v>4930</v>
      </c>
      <c r="D2540" s="11">
        <v>17075</v>
      </c>
      <c r="E2540" s="11" t="s">
        <v>2143</v>
      </c>
      <c r="F2540" s="11" t="s">
        <v>26</v>
      </c>
      <c r="G2540" s="11">
        <v>112432</v>
      </c>
      <c r="H2540" s="12" t="s">
        <v>4463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2">
        <f t="shared" ref="R2540" si="395">+L2540*O2540</f>
        <v>1697.64</v>
      </c>
      <c r="S2540" s="72">
        <v>0</v>
      </c>
      <c r="T2540" s="72">
        <f>+L2540*S2540</f>
        <v>0</v>
      </c>
      <c r="U2540" s="72">
        <f t="shared" ref="U2540" si="396">+R2540-T2540</f>
        <v>1697.64</v>
      </c>
      <c r="V2540" s="72">
        <f>+U2540*1</f>
        <v>1697.64</v>
      </c>
      <c r="W2540" s="72">
        <f t="shared" ref="W2540" si="397">+U2540-V2540</f>
        <v>0</v>
      </c>
      <c r="X2540" s="72">
        <v>0</v>
      </c>
      <c r="Y2540" s="14">
        <f t="shared" si="394"/>
        <v>0</v>
      </c>
      <c r="Z2540" s="11" t="s">
        <v>26</v>
      </c>
      <c r="AA2540" s="12" t="s">
        <v>31</v>
      </c>
    </row>
    <row r="2541" spans="1:27" x14ac:dyDescent="0.25">
      <c r="A2541" s="10">
        <v>45694</v>
      </c>
      <c r="B2541" s="71">
        <v>2.3009259259259229E-2</v>
      </c>
      <c r="C2541" s="11" t="s">
        <v>4931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2">
        <f>L2541*O2541</f>
        <v>552.9</v>
      </c>
      <c r="S2541" s="72">
        <v>0</v>
      </c>
      <c r="T2541" s="72">
        <f>L2541*S2541</f>
        <v>0</v>
      </c>
      <c r="U2541" s="72">
        <f>R2541-T2541</f>
        <v>552.9</v>
      </c>
      <c r="V2541" s="72">
        <f>U2541*0</f>
        <v>0</v>
      </c>
      <c r="W2541" s="72">
        <f>U2541-V2541</f>
        <v>552.9</v>
      </c>
      <c r="X2541" s="72">
        <v>0</v>
      </c>
      <c r="Y2541" s="14">
        <f t="shared" si="394"/>
        <v>0</v>
      </c>
      <c r="Z2541" s="11" t="s">
        <v>26</v>
      </c>
      <c r="AA2541" s="12" t="s">
        <v>31</v>
      </c>
    </row>
    <row r="2542" spans="1:27" x14ac:dyDescent="0.25">
      <c r="A2542" s="10">
        <v>45694</v>
      </c>
      <c r="B2542" s="71">
        <v>1.0844907407407456E-2</v>
      </c>
      <c r="C2542" s="11" t="s">
        <v>4932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2">
        <f>M2542*P2542</f>
        <v>1450</v>
      </c>
      <c r="S2542" s="72">
        <v>0</v>
      </c>
      <c r="T2542" s="72">
        <f>M2542*S2542</f>
        <v>0</v>
      </c>
      <c r="U2542" s="72">
        <f>R2542-T2542</f>
        <v>1450</v>
      </c>
      <c r="V2542" s="72">
        <f>U2542*0</f>
        <v>0</v>
      </c>
      <c r="W2542" s="72">
        <f>U2542-V2542</f>
        <v>1450</v>
      </c>
      <c r="X2542" s="72">
        <v>0</v>
      </c>
      <c r="Y2542" s="14">
        <f t="shared" si="394"/>
        <v>0</v>
      </c>
      <c r="Z2542" s="11" t="s">
        <v>26</v>
      </c>
      <c r="AA2542" s="12" t="s">
        <v>31</v>
      </c>
    </row>
    <row r="2543" spans="1:27" x14ac:dyDescent="0.25">
      <c r="A2543" s="10">
        <v>45694</v>
      </c>
      <c r="B2543" s="71">
        <v>1.3206018518518492E-2</v>
      </c>
      <c r="C2543" s="11" t="s">
        <v>4933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2">
        <f>L2543*O2543</f>
        <v>545.70000000000005</v>
      </c>
      <c r="S2543" s="72">
        <v>0</v>
      </c>
      <c r="T2543" s="72">
        <f>L2543*S2543</f>
        <v>0</v>
      </c>
      <c r="U2543" s="72">
        <f>R2543-T2543</f>
        <v>545.70000000000005</v>
      </c>
      <c r="V2543" s="72">
        <f>U2543*0</f>
        <v>0</v>
      </c>
      <c r="W2543" s="72">
        <f>U2543-V2543</f>
        <v>545.70000000000005</v>
      </c>
      <c r="X2543" s="72">
        <v>0</v>
      </c>
      <c r="Y2543" s="14">
        <f t="shared" si="394"/>
        <v>0</v>
      </c>
      <c r="Z2543" s="11" t="s">
        <v>26</v>
      </c>
      <c r="AA2543" s="12" t="s">
        <v>31</v>
      </c>
    </row>
    <row r="2544" spans="1:27" x14ac:dyDescent="0.25">
      <c r="A2544" s="10">
        <v>45694</v>
      </c>
      <c r="B2544" s="71">
        <v>8.2870370370370927E-3</v>
      </c>
      <c r="C2544" s="11" t="s">
        <v>4934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4463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2">
        <f t="shared" ref="R2544:R2545" si="398">+L2544*O2544</f>
        <v>1619.52</v>
      </c>
      <c r="S2544" s="72">
        <v>0</v>
      </c>
      <c r="T2544" s="72">
        <f>+L2544*S2544</f>
        <v>0</v>
      </c>
      <c r="U2544" s="72">
        <f t="shared" ref="U2544:U2546" si="399">+R2544-T2544</f>
        <v>1619.52</v>
      </c>
      <c r="V2544" s="72">
        <f>+U2544*1</f>
        <v>1619.52</v>
      </c>
      <c r="W2544" s="72">
        <f t="shared" ref="W2544:W2546" si="400">+U2544-V2544</f>
        <v>0</v>
      </c>
      <c r="X2544" s="72">
        <v>0</v>
      </c>
      <c r="Y2544" s="14">
        <f t="shared" si="394"/>
        <v>0</v>
      </c>
      <c r="Z2544" s="11" t="s">
        <v>26</v>
      </c>
      <c r="AA2544" s="12" t="s">
        <v>31</v>
      </c>
    </row>
    <row r="2545" spans="1:27" x14ac:dyDescent="0.25">
      <c r="A2545" s="10">
        <v>45694</v>
      </c>
      <c r="B2545" s="71">
        <v>2.626157407407409E-2</v>
      </c>
      <c r="C2545" s="11" t="s">
        <v>4935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4463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2">
        <f t="shared" si="398"/>
        <v>1669.9199999999998</v>
      </c>
      <c r="S2545" s="72">
        <v>0</v>
      </c>
      <c r="T2545" s="72">
        <f>+L2545*S2545</f>
        <v>0</v>
      </c>
      <c r="U2545" s="72">
        <f t="shared" si="399"/>
        <v>1669.9199999999998</v>
      </c>
      <c r="V2545" s="72">
        <f>+U2545*1</f>
        <v>1669.9199999999998</v>
      </c>
      <c r="W2545" s="72">
        <f t="shared" si="400"/>
        <v>0</v>
      </c>
      <c r="X2545" s="72">
        <v>0</v>
      </c>
      <c r="Y2545" s="14">
        <f t="shared" si="394"/>
        <v>0</v>
      </c>
      <c r="Z2545" s="11" t="s">
        <v>26</v>
      </c>
      <c r="AA2545" s="12" t="s">
        <v>31</v>
      </c>
    </row>
    <row r="2546" spans="1:27" x14ac:dyDescent="0.25">
      <c r="A2546" s="10">
        <v>45694</v>
      </c>
      <c r="B2546" s="71">
        <v>1.5601851851851811E-2</v>
      </c>
      <c r="C2546" s="11" t="s">
        <v>4936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2">
        <f>+M2546*P2546</f>
        <v>1600</v>
      </c>
      <c r="S2546" s="72">
        <v>0</v>
      </c>
      <c r="T2546" s="72">
        <f>+M2546*S2546</f>
        <v>0</v>
      </c>
      <c r="U2546" s="72">
        <f t="shared" si="399"/>
        <v>1600</v>
      </c>
      <c r="V2546" s="72">
        <f t="shared" ref="V2546" si="401">+U2546*0</f>
        <v>0</v>
      </c>
      <c r="W2546" s="72">
        <f t="shared" si="400"/>
        <v>1600</v>
      </c>
      <c r="X2546" s="72">
        <v>0</v>
      </c>
      <c r="Y2546" s="14">
        <f t="shared" si="394"/>
        <v>0</v>
      </c>
      <c r="Z2546" s="11" t="s">
        <v>26</v>
      </c>
      <c r="AA2546" s="12" t="s">
        <v>31</v>
      </c>
    </row>
    <row r="2547" spans="1:27" x14ac:dyDescent="0.25">
      <c r="A2547" s="10">
        <v>45694</v>
      </c>
      <c r="B2547" s="71">
        <v>2.1643518518518534E-2</v>
      </c>
      <c r="C2547" s="11" t="s">
        <v>4937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2">
        <f>L2547*O2547</f>
        <v>572.70000000000005</v>
      </c>
      <c r="S2547" s="72">
        <v>0</v>
      </c>
      <c r="T2547" s="72">
        <f>L2547*S2547</f>
        <v>0</v>
      </c>
      <c r="U2547" s="72">
        <f>R2547-T2547</f>
        <v>572.70000000000005</v>
      </c>
      <c r="V2547" s="72">
        <f>U2547*0</f>
        <v>0</v>
      </c>
      <c r="W2547" s="72">
        <f>U2547-V2547</f>
        <v>572.70000000000005</v>
      </c>
      <c r="X2547" s="72">
        <v>0</v>
      </c>
      <c r="Y2547" s="14">
        <f t="shared" si="394"/>
        <v>0</v>
      </c>
      <c r="Z2547" s="11" t="s">
        <v>26</v>
      </c>
      <c r="AA2547" s="12" t="s">
        <v>31</v>
      </c>
    </row>
    <row r="2548" spans="1:27" x14ac:dyDescent="0.25">
      <c r="A2548" s="10">
        <v>45694</v>
      </c>
      <c r="B2548" s="71">
        <v>1.3275462962962892E-2</v>
      </c>
      <c r="C2548" s="11" t="s">
        <v>4938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2">
        <f>M2548*P2548</f>
        <v>1450</v>
      </c>
      <c r="S2548" s="72">
        <v>0</v>
      </c>
      <c r="T2548" s="72">
        <f>M2548*S2548</f>
        <v>0</v>
      </c>
      <c r="U2548" s="72">
        <f>R2548-T2548</f>
        <v>1450</v>
      </c>
      <c r="V2548" s="72">
        <f>U2548*0</f>
        <v>0</v>
      </c>
      <c r="W2548" s="72">
        <f>U2548-V2548</f>
        <v>1450</v>
      </c>
      <c r="X2548" s="72">
        <v>0</v>
      </c>
      <c r="Y2548" s="14">
        <f t="shared" si="394"/>
        <v>0</v>
      </c>
      <c r="Z2548" s="11" t="s">
        <v>26</v>
      </c>
      <c r="AA2548" s="12" t="s">
        <v>31</v>
      </c>
    </row>
    <row r="2549" spans="1:27" x14ac:dyDescent="0.25">
      <c r="A2549" s="10">
        <v>45694</v>
      </c>
      <c r="B2549" s="71">
        <v>1.055555555555554E-2</v>
      </c>
      <c r="C2549" s="11" t="s">
        <v>4939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4439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2">
        <f>L2549*O2549</f>
        <v>3852.86</v>
      </c>
      <c r="S2549" s="72">
        <v>38</v>
      </c>
      <c r="T2549" s="72">
        <f>L2549*S2549</f>
        <v>1763.96</v>
      </c>
      <c r="U2549" s="72">
        <f>R2549-T2549</f>
        <v>2088.9</v>
      </c>
      <c r="V2549" s="72">
        <f>U2549*1</f>
        <v>2088.9</v>
      </c>
      <c r="W2549" s="72">
        <f>U2549-V2549</f>
        <v>0</v>
      </c>
      <c r="X2549" s="72">
        <f>L2549*36</f>
        <v>1671.1200000000001</v>
      </c>
      <c r="Y2549" s="73">
        <f>+T2549-X2549</f>
        <v>92.839999999999918</v>
      </c>
      <c r="Z2549" s="12" t="s">
        <v>70</v>
      </c>
      <c r="AA2549" s="12" t="s">
        <v>78</v>
      </c>
    </row>
    <row r="2550" spans="1:27" x14ac:dyDescent="0.25">
      <c r="A2550" s="10">
        <v>45694</v>
      </c>
      <c r="B2550" s="71">
        <v>1.3425925925925841E-2</v>
      </c>
      <c r="C2550" s="11" t="s">
        <v>4940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2">
        <f>L2550*O2550</f>
        <v>571.19999999999993</v>
      </c>
      <c r="S2550" s="72">
        <v>0</v>
      </c>
      <c r="T2550" s="72">
        <f>L2550*S2550</f>
        <v>0</v>
      </c>
      <c r="U2550" s="72">
        <f>R2550-T2550</f>
        <v>571.19999999999993</v>
      </c>
      <c r="V2550" s="72">
        <f>U2550*0</f>
        <v>0</v>
      </c>
      <c r="W2550" s="72">
        <f>U2550-V2550</f>
        <v>571.19999999999993</v>
      </c>
      <c r="X2550" s="72">
        <v>0</v>
      </c>
      <c r="Y2550" s="14">
        <f t="shared" ref="Y2550:Y2579" si="402">T2550-X2550</f>
        <v>0</v>
      </c>
      <c r="Z2550" s="11" t="s">
        <v>26</v>
      </c>
      <c r="AA2550" s="12" t="s">
        <v>31</v>
      </c>
    </row>
    <row r="2551" spans="1:27" x14ac:dyDescent="0.25">
      <c r="A2551" s="10">
        <v>45694</v>
      </c>
      <c r="B2551" s="71">
        <v>3.9907407407407391E-2</v>
      </c>
      <c r="C2551" s="11" t="s">
        <v>4941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2">
        <f>L2551*O2551</f>
        <v>560.4</v>
      </c>
      <c r="S2551" s="72">
        <v>0</v>
      </c>
      <c r="T2551" s="72">
        <f>L2551*S2551</f>
        <v>0</v>
      </c>
      <c r="U2551" s="72">
        <f>R2551-T2551</f>
        <v>560.4</v>
      </c>
      <c r="V2551" s="72">
        <f>U2551*0</f>
        <v>0</v>
      </c>
      <c r="W2551" s="72">
        <f>U2551-V2551</f>
        <v>560.4</v>
      </c>
      <c r="X2551" s="72">
        <v>0</v>
      </c>
      <c r="Y2551" s="14">
        <f t="shared" si="402"/>
        <v>0</v>
      </c>
      <c r="Z2551" s="11" t="s">
        <v>26</v>
      </c>
      <c r="AA2551" s="12" t="s">
        <v>31</v>
      </c>
    </row>
    <row r="2552" spans="1:27" x14ac:dyDescent="0.25">
      <c r="A2552" s="10">
        <v>45694</v>
      </c>
      <c r="B2552" s="71">
        <v>1.8379629629629579E-2</v>
      </c>
      <c r="C2552" s="11" t="s">
        <v>4942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2">
        <f>M2552*P2552</f>
        <v>1600</v>
      </c>
      <c r="S2552" s="72">
        <v>0</v>
      </c>
      <c r="T2552" s="72">
        <f>M2552*S2552</f>
        <v>0</v>
      </c>
      <c r="U2552" s="72">
        <f>+R2552-T2552</f>
        <v>1600</v>
      </c>
      <c r="V2552" s="72">
        <f t="shared" ref="V2552" si="404">+U2552*0</f>
        <v>0</v>
      </c>
      <c r="W2552" s="72">
        <f>+U2552-V2552</f>
        <v>1600</v>
      </c>
      <c r="X2552" s="72">
        <v>0</v>
      </c>
      <c r="Y2552" s="14">
        <f t="shared" si="402"/>
        <v>0</v>
      </c>
      <c r="Z2552" s="11" t="s">
        <v>26</v>
      </c>
      <c r="AA2552" s="12" t="s">
        <v>31</v>
      </c>
    </row>
    <row r="2553" spans="1:27" x14ac:dyDescent="0.25">
      <c r="A2553" s="10">
        <v>45694</v>
      </c>
      <c r="B2553" s="71">
        <v>1.8634259259259323E-2</v>
      </c>
      <c r="C2553" s="11" t="s">
        <v>4943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2">
        <f>L2553*O2553</f>
        <v>595.5</v>
      </c>
      <c r="S2553" s="72">
        <v>0</v>
      </c>
      <c r="T2553" s="72">
        <f>L2553*S2553</f>
        <v>0</v>
      </c>
      <c r="U2553" s="72">
        <f>R2553-T2553</f>
        <v>595.5</v>
      </c>
      <c r="V2553" s="72">
        <f>U2553*0</f>
        <v>0</v>
      </c>
      <c r="W2553" s="72">
        <f>U2553-V2553</f>
        <v>595.5</v>
      </c>
      <c r="X2553" s="72">
        <v>0</v>
      </c>
      <c r="Y2553" s="14">
        <f t="shared" si="402"/>
        <v>0</v>
      </c>
      <c r="Z2553" s="11" t="s">
        <v>26</v>
      </c>
      <c r="AA2553" s="12" t="s">
        <v>31</v>
      </c>
    </row>
    <row r="2554" spans="1:27" x14ac:dyDescent="0.25">
      <c r="A2554" s="10">
        <v>45694</v>
      </c>
      <c r="B2554" s="71">
        <v>1.4745370370370381E-2</v>
      </c>
      <c r="C2554" s="11" t="s">
        <v>4944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2">
        <f>+L2554*O2554</f>
        <v>1700.8000000000002</v>
      </c>
      <c r="S2554" s="72">
        <v>0</v>
      </c>
      <c r="T2554" s="72">
        <f>+L2554*S2554</f>
        <v>0</v>
      </c>
      <c r="U2554" s="72">
        <f>+R2554-T2554</f>
        <v>1700.8000000000002</v>
      </c>
      <c r="V2554" s="72">
        <f t="shared" ref="V2554" si="405">+U2554*0</f>
        <v>0</v>
      </c>
      <c r="W2554" s="72">
        <f>+U2554-V2554</f>
        <v>1700.8000000000002</v>
      </c>
      <c r="X2554" s="72">
        <v>0</v>
      </c>
      <c r="Y2554" s="14">
        <f t="shared" si="402"/>
        <v>0</v>
      </c>
      <c r="Z2554" s="11" t="s">
        <v>26</v>
      </c>
      <c r="AA2554" s="12" t="s">
        <v>31</v>
      </c>
    </row>
    <row r="2555" spans="1:27" x14ac:dyDescent="0.25">
      <c r="A2555" s="10">
        <v>45694</v>
      </c>
      <c r="B2555" s="71">
        <v>2.2164351851851949E-2</v>
      </c>
      <c r="C2555" s="11" t="s">
        <v>4945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4463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2">
        <f t="shared" ref="R2555" si="406">+L2555*O2555</f>
        <v>1603.56</v>
      </c>
      <c r="S2555" s="72">
        <v>0</v>
      </c>
      <c r="T2555" s="72">
        <f>+L2555*S2555</f>
        <v>0</v>
      </c>
      <c r="U2555" s="72">
        <f t="shared" ref="U2555:U2556" si="407">+R2555-T2555</f>
        <v>1603.56</v>
      </c>
      <c r="V2555" s="72">
        <f>+U2555*1</f>
        <v>1603.56</v>
      </c>
      <c r="W2555" s="72">
        <f t="shared" ref="W2555:W2556" si="408">+U2555-V2555</f>
        <v>0</v>
      </c>
      <c r="X2555" s="72">
        <v>0</v>
      </c>
      <c r="Y2555" s="14">
        <f t="shared" si="402"/>
        <v>0</v>
      </c>
      <c r="Z2555" s="11" t="s">
        <v>26</v>
      </c>
      <c r="AA2555" s="12" t="s">
        <v>31</v>
      </c>
    </row>
    <row r="2556" spans="1:27" x14ac:dyDescent="0.25">
      <c r="A2556" s="10">
        <v>45694</v>
      </c>
      <c r="B2556" s="71">
        <v>1.5127314814814885E-2</v>
      </c>
      <c r="C2556" s="11" t="s">
        <v>4946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4440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2">
        <f>+L2556*O2556</f>
        <v>1643.4</v>
      </c>
      <c r="S2556" s="72">
        <v>0</v>
      </c>
      <c r="T2556" s="72">
        <f>+L2556*S2556</f>
        <v>0</v>
      </c>
      <c r="U2556" s="72">
        <f t="shared" si="407"/>
        <v>1643.4</v>
      </c>
      <c r="V2556" s="72">
        <f>+U2556*1</f>
        <v>1643.4</v>
      </c>
      <c r="W2556" s="72">
        <f t="shared" si="408"/>
        <v>0</v>
      </c>
      <c r="X2556" s="72">
        <v>0</v>
      </c>
      <c r="Y2556" s="14">
        <f t="shared" si="402"/>
        <v>0</v>
      </c>
      <c r="Z2556" s="11" t="s">
        <v>26</v>
      </c>
      <c r="AA2556" s="12" t="s">
        <v>31</v>
      </c>
    </row>
    <row r="2557" spans="1:27" x14ac:dyDescent="0.25">
      <c r="A2557" s="10">
        <v>45694</v>
      </c>
      <c r="B2557" s="71">
        <v>1.0914351851851745E-2</v>
      </c>
      <c r="C2557" s="11" t="s">
        <v>4947</v>
      </c>
      <c r="D2557" s="11">
        <v>17093</v>
      </c>
      <c r="E2557" s="11" t="s">
        <v>4834</v>
      </c>
      <c r="F2557" s="11" t="s">
        <v>26</v>
      </c>
      <c r="G2557" s="11">
        <v>72354</v>
      </c>
      <c r="H2557" s="12" t="s">
        <v>4465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2">
        <f>+L2557*O2557</f>
        <v>1792.65</v>
      </c>
      <c r="S2557" s="72">
        <v>0</v>
      </c>
      <c r="T2557" s="72">
        <f>+L2557*S2557</f>
        <v>0</v>
      </c>
      <c r="U2557" s="72">
        <f>+R2557-T2557</f>
        <v>1792.65</v>
      </c>
      <c r="V2557" s="72">
        <f>+U2557*0.75</f>
        <v>1344.4875000000002</v>
      </c>
      <c r="W2557" s="72">
        <f>+U2557-V2557</f>
        <v>448.16249999999991</v>
      </c>
      <c r="X2557" s="72">
        <v>0</v>
      </c>
      <c r="Y2557" s="14">
        <f t="shared" si="402"/>
        <v>0</v>
      </c>
      <c r="Z2557" s="11" t="s">
        <v>26</v>
      </c>
      <c r="AA2557" s="12" t="s">
        <v>31</v>
      </c>
    </row>
    <row r="2558" spans="1:27" x14ac:dyDescent="0.25">
      <c r="A2558" s="10">
        <v>45694</v>
      </c>
      <c r="B2558" s="71">
        <v>5.4247685185185246E-2</v>
      </c>
      <c r="C2558" s="11" t="s">
        <v>4948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2">
        <f>+L2558*O2558</f>
        <v>1673.6000000000001</v>
      </c>
      <c r="S2558" s="72">
        <v>0</v>
      </c>
      <c r="T2558" s="72">
        <f>+L2558*S2558</f>
        <v>0</v>
      </c>
      <c r="U2558" s="72">
        <f>+R2558-T2558</f>
        <v>1673.6000000000001</v>
      </c>
      <c r="V2558" s="72">
        <f t="shared" ref="V2558" si="409">+U2558*0</f>
        <v>0</v>
      </c>
      <c r="W2558" s="72">
        <f>+U2558-V2558</f>
        <v>1673.6000000000001</v>
      </c>
      <c r="X2558" s="72">
        <v>0</v>
      </c>
      <c r="Y2558" s="14">
        <f t="shared" si="402"/>
        <v>0</v>
      </c>
      <c r="Z2558" s="11" t="s">
        <v>26</v>
      </c>
      <c r="AA2558" s="12" t="s">
        <v>31</v>
      </c>
    </row>
    <row r="2559" spans="1:27" x14ac:dyDescent="0.25">
      <c r="A2559" s="10">
        <v>45694</v>
      </c>
      <c r="B2559" s="71">
        <v>3.4351851851851967E-2</v>
      </c>
      <c r="C2559" s="11" t="s">
        <v>4949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2">
        <f>L2559*O2559</f>
        <v>569.69999999999993</v>
      </c>
      <c r="S2559" s="72">
        <v>0</v>
      </c>
      <c r="T2559" s="72">
        <f>L2559*S2559</f>
        <v>0</v>
      </c>
      <c r="U2559" s="72">
        <f>R2559-T2559</f>
        <v>569.69999999999993</v>
      </c>
      <c r="V2559" s="72">
        <f>U2559*0</f>
        <v>0</v>
      </c>
      <c r="W2559" s="72">
        <f>U2559-V2559</f>
        <v>569.69999999999993</v>
      </c>
      <c r="X2559" s="72">
        <v>0</v>
      </c>
      <c r="Y2559" s="14">
        <f t="shared" si="402"/>
        <v>0</v>
      </c>
      <c r="Z2559" s="11" t="s">
        <v>26</v>
      </c>
      <c r="AA2559" s="12" t="s">
        <v>31</v>
      </c>
    </row>
    <row r="2560" spans="1:27" x14ac:dyDescent="0.25">
      <c r="A2560" s="10">
        <v>45694</v>
      </c>
      <c r="B2560" s="71">
        <v>6.2372685185185239E-2</v>
      </c>
      <c r="C2560" s="11" t="s">
        <v>4950</v>
      </c>
      <c r="D2560" s="11">
        <v>17096</v>
      </c>
      <c r="E2560" s="11" t="s">
        <v>1217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2">
        <f>M2560*P2560</f>
        <v>1500</v>
      </c>
      <c r="S2560" s="72">
        <v>0</v>
      </c>
      <c r="T2560" s="72">
        <f>M2560*S2560</f>
        <v>0</v>
      </c>
      <c r="U2560" s="72">
        <f>R2560-T2560</f>
        <v>1500</v>
      </c>
      <c r="V2560" s="72">
        <f>U2560*0</f>
        <v>0</v>
      </c>
      <c r="W2560" s="72">
        <f>U2560-V2560</f>
        <v>1500</v>
      </c>
      <c r="X2560" s="72">
        <v>0</v>
      </c>
      <c r="Y2560" s="14">
        <f t="shared" si="402"/>
        <v>0</v>
      </c>
      <c r="Z2560" s="11" t="s">
        <v>26</v>
      </c>
      <c r="AA2560" s="12" t="s">
        <v>31</v>
      </c>
    </row>
    <row r="2561" spans="1:27" x14ac:dyDescent="0.25">
      <c r="A2561" s="10">
        <v>45694</v>
      </c>
      <c r="B2561" s="71">
        <v>9.2592592592593004E-3</v>
      </c>
      <c r="C2561" s="11" t="s">
        <v>4951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2">
        <f>+M2561*P2561</f>
        <v>480</v>
      </c>
      <c r="S2561" s="72">
        <v>0</v>
      </c>
      <c r="T2561" s="72">
        <f>+M2561*S2561</f>
        <v>0</v>
      </c>
      <c r="U2561" s="72">
        <f t="shared" ref="U2561" si="410">+R2561-T2561</f>
        <v>480</v>
      </c>
      <c r="V2561" s="72">
        <f>+U2561*0</f>
        <v>0</v>
      </c>
      <c r="W2561" s="72">
        <f t="shared" ref="W2561" si="411">+U2561-V2561</f>
        <v>480</v>
      </c>
      <c r="X2561" s="72">
        <v>0</v>
      </c>
      <c r="Y2561" s="14">
        <f t="shared" si="402"/>
        <v>0</v>
      </c>
      <c r="Z2561" s="11" t="s">
        <v>26</v>
      </c>
      <c r="AA2561" s="12" t="s">
        <v>31</v>
      </c>
    </row>
    <row r="2562" spans="1:27" x14ac:dyDescent="0.25">
      <c r="A2562" s="10">
        <v>45694</v>
      </c>
      <c r="B2562" s="71">
        <v>0.16099537037037043</v>
      </c>
      <c r="C2562" s="11" t="s">
        <v>4952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35</v>
      </c>
      <c r="P2562" s="13"/>
      <c r="Q2562" s="13">
        <v>0</v>
      </c>
      <c r="R2562" s="72">
        <f>+L2562*O2562</f>
        <v>1515.5</v>
      </c>
      <c r="S2562" s="72">
        <v>0</v>
      </c>
      <c r="T2562" s="72">
        <f>+L2562*S2562</f>
        <v>0</v>
      </c>
      <c r="U2562" s="72">
        <f>+R2562-T2562</f>
        <v>1515.5</v>
      </c>
      <c r="V2562" s="72">
        <f t="shared" ref="V2562" si="412">+U2562*0</f>
        <v>0</v>
      </c>
      <c r="W2562" s="72">
        <f>+U2562-V2562</f>
        <v>1515.5</v>
      </c>
      <c r="X2562" s="72">
        <v>0</v>
      </c>
      <c r="Y2562" s="14">
        <f t="shared" si="402"/>
        <v>0</v>
      </c>
      <c r="Z2562" s="11" t="s">
        <v>26</v>
      </c>
      <c r="AA2562" s="12" t="s">
        <v>31</v>
      </c>
    </row>
    <row r="2563" spans="1:27" x14ac:dyDescent="0.25">
      <c r="A2563" s="10">
        <v>45694</v>
      </c>
      <c r="B2563" s="71">
        <v>8.5648148148147474E-3</v>
      </c>
      <c r="C2563" s="11" t="s">
        <v>4953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2">
        <f>+M2563*P2563</f>
        <v>552</v>
      </c>
      <c r="S2563" s="72">
        <v>0</v>
      </c>
      <c r="T2563" s="72">
        <f>+M2563*S2563</f>
        <v>0</v>
      </c>
      <c r="U2563" s="72">
        <f t="shared" ref="U2563:U2564" si="413">+R2563-T2563</f>
        <v>552</v>
      </c>
      <c r="V2563" s="72">
        <f>+U2563*0</f>
        <v>0</v>
      </c>
      <c r="W2563" s="72">
        <f t="shared" ref="W2563:W2564" si="414">+U2563-V2563</f>
        <v>552</v>
      </c>
      <c r="X2563" s="72">
        <v>0</v>
      </c>
      <c r="Y2563" s="14">
        <f t="shared" si="402"/>
        <v>0</v>
      </c>
      <c r="Z2563" s="11" t="s">
        <v>26</v>
      </c>
      <c r="AA2563" s="12" t="s">
        <v>31</v>
      </c>
    </row>
    <row r="2564" spans="1:27" x14ac:dyDescent="0.25">
      <c r="A2564" s="10">
        <v>45694</v>
      </c>
      <c r="B2564" s="71">
        <v>2.762731481481473E-2</v>
      </c>
      <c r="C2564" s="11" t="s">
        <v>4954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2">
        <f>+M2564*P2564</f>
        <v>552</v>
      </c>
      <c r="S2564" s="72">
        <v>0</v>
      </c>
      <c r="T2564" s="72">
        <f>+M2564*S2564</f>
        <v>0</v>
      </c>
      <c r="U2564" s="72">
        <f t="shared" si="413"/>
        <v>552</v>
      </c>
      <c r="V2564" s="72">
        <f>+U2564*0</f>
        <v>0</v>
      </c>
      <c r="W2564" s="72">
        <f t="shared" si="414"/>
        <v>552</v>
      </c>
      <c r="X2564" s="72">
        <v>0</v>
      </c>
      <c r="Y2564" s="14">
        <f t="shared" si="402"/>
        <v>0</v>
      </c>
      <c r="Z2564" s="11" t="s">
        <v>26</v>
      </c>
      <c r="AA2564" s="12" t="s">
        <v>31</v>
      </c>
    </row>
    <row r="2565" spans="1:27" x14ac:dyDescent="0.25">
      <c r="A2565" s="10">
        <v>45694</v>
      </c>
      <c r="B2565" s="71">
        <v>9.8148148148147207E-3</v>
      </c>
      <c r="C2565" s="11" t="s">
        <v>4955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2">
        <f>M2565*P2565</f>
        <v>1450</v>
      </c>
      <c r="S2565" s="72">
        <v>0</v>
      </c>
      <c r="T2565" s="72">
        <f>M2565*S2565</f>
        <v>0</v>
      </c>
      <c r="U2565" s="72">
        <f>R2565-T2565</f>
        <v>1450</v>
      </c>
      <c r="V2565" s="72">
        <f>U2565*0</f>
        <v>0</v>
      </c>
      <c r="W2565" s="72">
        <f>U2565-V2565</f>
        <v>1450</v>
      </c>
      <c r="X2565" s="72">
        <v>0</v>
      </c>
      <c r="Y2565" s="14">
        <f t="shared" si="402"/>
        <v>0</v>
      </c>
      <c r="Z2565" s="11" t="s">
        <v>26</v>
      </c>
      <c r="AA2565" s="12" t="s">
        <v>31</v>
      </c>
    </row>
    <row r="2566" spans="1:27" x14ac:dyDescent="0.25">
      <c r="A2566" s="10">
        <v>45694</v>
      </c>
      <c r="B2566" s="71">
        <v>8.0439814814815547E-3</v>
      </c>
      <c r="C2566" s="11" t="s">
        <v>4956</v>
      </c>
      <c r="D2566" s="11">
        <v>17102</v>
      </c>
      <c r="E2566" s="11" t="s">
        <v>659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2">
        <f>L2566*O2566</f>
        <v>581.4</v>
      </c>
      <c r="S2566" s="72">
        <v>0</v>
      </c>
      <c r="T2566" s="72">
        <f>L2566*S2566</f>
        <v>0</v>
      </c>
      <c r="U2566" s="72">
        <f>R2566-T2566</f>
        <v>581.4</v>
      </c>
      <c r="V2566" s="72">
        <f>U2566*0</f>
        <v>0</v>
      </c>
      <c r="W2566" s="72">
        <f>U2566-V2566</f>
        <v>581.4</v>
      </c>
      <c r="X2566" s="72">
        <v>0</v>
      </c>
      <c r="Y2566" s="14">
        <f t="shared" si="402"/>
        <v>0</v>
      </c>
      <c r="Z2566" s="11" t="s">
        <v>26</v>
      </c>
      <c r="AA2566" s="12" t="s">
        <v>31</v>
      </c>
    </row>
    <row r="2567" spans="1:27" x14ac:dyDescent="0.25">
      <c r="A2567" s="10">
        <v>45694</v>
      </c>
      <c r="B2567" s="71">
        <v>1.3194444444444398E-2</v>
      </c>
      <c r="C2567" s="11" t="s">
        <v>4957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2">
        <f>L2567*O2567</f>
        <v>591.30000000000007</v>
      </c>
      <c r="S2567" s="72">
        <v>0</v>
      </c>
      <c r="T2567" s="72">
        <f>L2567*S2567</f>
        <v>0</v>
      </c>
      <c r="U2567" s="72">
        <f>R2567-T2567</f>
        <v>591.30000000000007</v>
      </c>
      <c r="V2567" s="72">
        <f>U2567*0</f>
        <v>0</v>
      </c>
      <c r="W2567" s="72">
        <f>U2567-V2567</f>
        <v>591.30000000000007</v>
      </c>
      <c r="X2567" s="72">
        <v>0</v>
      </c>
      <c r="Y2567" s="14">
        <f t="shared" si="402"/>
        <v>0</v>
      </c>
      <c r="Z2567" s="11" t="s">
        <v>26</v>
      </c>
      <c r="AA2567" s="12" t="s">
        <v>31</v>
      </c>
    </row>
    <row r="2568" spans="1:27" x14ac:dyDescent="0.25">
      <c r="A2568" s="10">
        <v>45694</v>
      </c>
      <c r="B2568" s="71">
        <v>2.0416666666666639E-2</v>
      </c>
      <c r="C2568" s="11" t="s">
        <v>4958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4440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2">
        <f>+L2568*O2568</f>
        <v>1576.8</v>
      </c>
      <c r="S2568" s="72">
        <v>0</v>
      </c>
      <c r="T2568" s="72">
        <f>+L2568*S2568</f>
        <v>0</v>
      </c>
      <c r="U2568" s="72">
        <f t="shared" ref="U2568" si="415">+R2568-T2568</f>
        <v>1576.8</v>
      </c>
      <c r="V2568" s="72">
        <f>+U2568*1</f>
        <v>1576.8</v>
      </c>
      <c r="W2568" s="72">
        <f t="shared" ref="W2568" si="416">+U2568-V2568</f>
        <v>0</v>
      </c>
      <c r="X2568" s="72">
        <v>0</v>
      </c>
      <c r="Y2568" s="14">
        <f t="shared" si="402"/>
        <v>0</v>
      </c>
      <c r="Z2568" s="11" t="s">
        <v>26</v>
      </c>
      <c r="AA2568" s="12" t="s">
        <v>31</v>
      </c>
    </row>
    <row r="2569" spans="1:27" x14ac:dyDescent="0.25">
      <c r="A2569" s="10">
        <v>45694</v>
      </c>
      <c r="B2569" s="71">
        <v>0.14862268518518523</v>
      </c>
      <c r="C2569" s="11" t="s">
        <v>4959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2">
        <f>L2569*O2569</f>
        <v>543.29999999999995</v>
      </c>
      <c r="S2569" s="72">
        <v>0</v>
      </c>
      <c r="T2569" s="72">
        <f>L2569*S2569</f>
        <v>0</v>
      </c>
      <c r="U2569" s="72">
        <f>R2569-T2569</f>
        <v>543.29999999999995</v>
      </c>
      <c r="V2569" s="72">
        <f>U2569*0</f>
        <v>0</v>
      </c>
      <c r="W2569" s="72">
        <f>U2569-V2569</f>
        <v>543.29999999999995</v>
      </c>
      <c r="X2569" s="72">
        <v>0</v>
      </c>
      <c r="Y2569" s="14">
        <f t="shared" si="402"/>
        <v>0</v>
      </c>
      <c r="Z2569" s="11" t="s">
        <v>26</v>
      </c>
      <c r="AA2569" s="12" t="s">
        <v>31</v>
      </c>
    </row>
    <row r="2570" spans="1:27" x14ac:dyDescent="0.25">
      <c r="A2570" s="10">
        <v>45694</v>
      </c>
      <c r="B2570" s="71">
        <v>2.2303240740740637E-2</v>
      </c>
      <c r="C2570" s="11" t="s">
        <v>4960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35</v>
      </c>
      <c r="P2570" s="13"/>
      <c r="Q2570" s="13">
        <v>0</v>
      </c>
      <c r="R2570" s="72">
        <f>+L2570*O2570</f>
        <v>1534.4</v>
      </c>
      <c r="S2570" s="72">
        <v>0</v>
      </c>
      <c r="T2570" s="72">
        <f>+L2570*S2570</f>
        <v>0</v>
      </c>
      <c r="U2570" s="72">
        <f>+R2570-T2570</f>
        <v>1534.4</v>
      </c>
      <c r="V2570" s="72">
        <f t="shared" ref="V2570" si="417">+U2570*0</f>
        <v>0</v>
      </c>
      <c r="W2570" s="72">
        <f>+U2570-V2570</f>
        <v>1534.4</v>
      </c>
      <c r="X2570" s="72">
        <v>0</v>
      </c>
      <c r="Y2570" s="14">
        <f t="shared" si="402"/>
        <v>0</v>
      </c>
      <c r="Z2570" s="11" t="s">
        <v>26</v>
      </c>
      <c r="AA2570" s="12" t="s">
        <v>31</v>
      </c>
    </row>
    <row r="2571" spans="1:27" x14ac:dyDescent="0.25">
      <c r="A2571" s="10">
        <v>45694</v>
      </c>
      <c r="B2571" s="71">
        <v>1.8090277777777719E-2</v>
      </c>
      <c r="C2571" s="11" t="s">
        <v>4961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2">
        <f>L2571*O2571</f>
        <v>557.1</v>
      </c>
      <c r="S2571" s="72">
        <v>0</v>
      </c>
      <c r="T2571" s="72">
        <f>L2571*S2571</f>
        <v>0</v>
      </c>
      <c r="U2571" s="72">
        <f>R2571-T2571</f>
        <v>557.1</v>
      </c>
      <c r="V2571" s="72">
        <f>U2571*0</f>
        <v>0</v>
      </c>
      <c r="W2571" s="72">
        <f>U2571-V2571</f>
        <v>557.1</v>
      </c>
      <c r="X2571" s="72">
        <v>0</v>
      </c>
      <c r="Y2571" s="14">
        <f t="shared" si="402"/>
        <v>0</v>
      </c>
      <c r="Z2571" s="11" t="s">
        <v>26</v>
      </c>
      <c r="AA2571" s="12" t="s">
        <v>31</v>
      </c>
    </row>
    <row r="2572" spans="1:27" x14ac:dyDescent="0.25">
      <c r="A2572" s="10">
        <v>45694</v>
      </c>
      <c r="B2572" s="71">
        <v>5.859953703703713E-2</v>
      </c>
      <c r="C2572" s="11" t="s">
        <v>4962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2">
        <f>+M2572*P2572</f>
        <v>576</v>
      </c>
      <c r="S2572" s="72">
        <v>0</v>
      </c>
      <c r="T2572" s="72">
        <f>+M2572*S2572</f>
        <v>0</v>
      </c>
      <c r="U2572" s="72">
        <f t="shared" ref="U2572" si="418">+R2572-T2572</f>
        <v>576</v>
      </c>
      <c r="V2572" s="72">
        <f>+U2572*0</f>
        <v>0</v>
      </c>
      <c r="W2572" s="72">
        <f t="shared" ref="W2572" si="419">+U2572-V2572</f>
        <v>576</v>
      </c>
      <c r="X2572" s="72">
        <v>0</v>
      </c>
      <c r="Y2572" s="14">
        <f t="shared" si="402"/>
        <v>0</v>
      </c>
      <c r="Z2572" s="11" t="s">
        <v>26</v>
      </c>
      <c r="AA2572" s="12" t="s">
        <v>31</v>
      </c>
    </row>
    <row r="2573" spans="1:27" x14ac:dyDescent="0.25">
      <c r="A2573" s="10">
        <v>45694</v>
      </c>
      <c r="B2573" s="71">
        <v>1.0115740740740731E-2</v>
      </c>
      <c r="C2573" s="11" t="s">
        <v>4963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2">
        <f>M2573*P2573</f>
        <v>1600</v>
      </c>
      <c r="S2573" s="72">
        <v>0</v>
      </c>
      <c r="T2573" s="72">
        <f>M2573*S2573</f>
        <v>0</v>
      </c>
      <c r="U2573" s="72">
        <f>+R2573-T2573</f>
        <v>1600</v>
      </c>
      <c r="V2573" s="72">
        <f t="shared" ref="V2573" si="420">+U2573*0</f>
        <v>0</v>
      </c>
      <c r="W2573" s="72">
        <f>+U2573-V2573</f>
        <v>1600</v>
      </c>
      <c r="X2573" s="72">
        <v>0</v>
      </c>
      <c r="Y2573" s="14">
        <f t="shared" si="402"/>
        <v>0</v>
      </c>
      <c r="Z2573" s="11" t="s">
        <v>26</v>
      </c>
      <c r="AA2573" s="12" t="s">
        <v>31</v>
      </c>
    </row>
    <row r="2574" spans="1:27" x14ac:dyDescent="0.25">
      <c r="A2574" s="10">
        <v>45694</v>
      </c>
      <c r="B2574" s="71">
        <v>1.2604166666666639E-2</v>
      </c>
      <c r="C2574" s="11" t="s">
        <v>4964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2">
        <f>L2574*O2574</f>
        <v>575.70000000000005</v>
      </c>
      <c r="S2574" s="72">
        <v>0</v>
      </c>
      <c r="T2574" s="72">
        <f>L2574*S2574</f>
        <v>0</v>
      </c>
      <c r="U2574" s="72">
        <f>R2574-T2574</f>
        <v>575.70000000000005</v>
      </c>
      <c r="V2574" s="72">
        <f>U2574*0</f>
        <v>0</v>
      </c>
      <c r="W2574" s="72">
        <f>U2574-V2574</f>
        <v>575.70000000000005</v>
      </c>
      <c r="X2574" s="72">
        <v>0</v>
      </c>
      <c r="Y2574" s="14">
        <f t="shared" si="402"/>
        <v>0</v>
      </c>
      <c r="Z2574" s="11" t="s">
        <v>26</v>
      </c>
      <c r="AA2574" s="12" t="s">
        <v>31</v>
      </c>
    </row>
    <row r="2575" spans="1:27" x14ac:dyDescent="0.25">
      <c r="A2575" s="10">
        <v>45694</v>
      </c>
      <c r="B2575" s="71">
        <v>1.5810185185185066E-2</v>
      </c>
      <c r="C2575" s="11" t="s">
        <v>4965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35</v>
      </c>
      <c r="P2575" s="13"/>
      <c r="Q2575" s="13">
        <v>0</v>
      </c>
      <c r="R2575" s="72">
        <f>+L2575*O2575</f>
        <v>1437.8</v>
      </c>
      <c r="S2575" s="72">
        <v>0</v>
      </c>
      <c r="T2575" s="72">
        <f>+L2575*S2575</f>
        <v>0</v>
      </c>
      <c r="U2575" s="72">
        <f>+R2575-T2575</f>
        <v>1437.8</v>
      </c>
      <c r="V2575" s="72">
        <f t="shared" ref="V2575" si="421">+U2575*0</f>
        <v>0</v>
      </c>
      <c r="W2575" s="72">
        <f>+U2575-V2575</f>
        <v>1437.8</v>
      </c>
      <c r="X2575" s="72">
        <v>0</v>
      </c>
      <c r="Y2575" s="14">
        <f t="shared" si="402"/>
        <v>0</v>
      </c>
      <c r="Z2575" s="11" t="s">
        <v>26</v>
      </c>
      <c r="AA2575" s="12" t="s">
        <v>31</v>
      </c>
    </row>
    <row r="2576" spans="1:27" x14ac:dyDescent="0.25">
      <c r="A2576" s="10">
        <v>45694</v>
      </c>
      <c r="B2576" s="71">
        <v>2.1562499999999929E-2</v>
      </c>
      <c r="C2576" s="11" t="s">
        <v>4966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2">
        <f>L2576*O2576</f>
        <v>551.1</v>
      </c>
      <c r="S2576" s="72">
        <v>0</v>
      </c>
      <c r="T2576" s="72">
        <f>L2576*S2576</f>
        <v>0</v>
      </c>
      <c r="U2576" s="72">
        <f>R2576-T2576</f>
        <v>551.1</v>
      </c>
      <c r="V2576" s="72">
        <f>U2576*0</f>
        <v>0</v>
      </c>
      <c r="W2576" s="72">
        <f>U2576-V2576</f>
        <v>551.1</v>
      </c>
      <c r="X2576" s="72">
        <v>0</v>
      </c>
      <c r="Y2576" s="14">
        <f t="shared" si="402"/>
        <v>0</v>
      </c>
      <c r="Z2576" s="11" t="s">
        <v>26</v>
      </c>
      <c r="AA2576" s="12" t="s">
        <v>31</v>
      </c>
    </row>
    <row r="2577" spans="1:27" x14ac:dyDescent="0.25">
      <c r="A2577" s="10">
        <v>45694</v>
      </c>
      <c r="B2577" s="71">
        <v>1.3333333333333419E-2</v>
      </c>
      <c r="C2577" s="11" t="s">
        <v>4967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4463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2">
        <f t="shared" ref="R2577" si="422">+L2577*O2577</f>
        <v>1561.56</v>
      </c>
      <c r="S2577" s="72">
        <v>0</v>
      </c>
      <c r="T2577" s="72">
        <f>+L2577*S2577</f>
        <v>0</v>
      </c>
      <c r="U2577" s="72">
        <f t="shared" ref="U2577:U2578" si="423">+R2577-T2577</f>
        <v>1561.56</v>
      </c>
      <c r="V2577" s="72">
        <f>+U2577*1</f>
        <v>1561.56</v>
      </c>
      <c r="W2577" s="72">
        <f t="shared" ref="W2577:W2578" si="424">+U2577-V2577</f>
        <v>0</v>
      </c>
      <c r="X2577" s="72">
        <v>0</v>
      </c>
      <c r="Y2577" s="14">
        <f t="shared" si="402"/>
        <v>0</v>
      </c>
      <c r="Z2577" s="11" t="s">
        <v>26</v>
      </c>
      <c r="AA2577" s="12" t="s">
        <v>31</v>
      </c>
    </row>
    <row r="2578" spans="1:27" x14ac:dyDescent="0.25">
      <c r="A2578" s="10">
        <v>45694</v>
      </c>
      <c r="B2578" s="71">
        <v>2.6111111111111085E-2</v>
      </c>
      <c r="C2578" s="11" t="s">
        <v>4968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2">
        <f>+M2578*P2578</f>
        <v>552</v>
      </c>
      <c r="S2578" s="72">
        <v>0</v>
      </c>
      <c r="T2578" s="72">
        <f>+M2578*S2578</f>
        <v>0</v>
      </c>
      <c r="U2578" s="72">
        <f t="shared" si="423"/>
        <v>552</v>
      </c>
      <c r="V2578" s="72">
        <f>+U2578*0</f>
        <v>0</v>
      </c>
      <c r="W2578" s="72">
        <f t="shared" si="424"/>
        <v>552</v>
      </c>
      <c r="X2578" s="72">
        <v>0</v>
      </c>
      <c r="Y2578" s="14">
        <f t="shared" si="402"/>
        <v>0</v>
      </c>
      <c r="Z2578" s="11" t="s">
        <v>26</v>
      </c>
      <c r="AA2578" s="12" t="s">
        <v>31</v>
      </c>
    </row>
    <row r="2579" spans="1:27" x14ac:dyDescent="0.25">
      <c r="A2579" s="10">
        <v>45694</v>
      </c>
      <c r="B2579" s="71">
        <v>3.1782407407407343E-2</v>
      </c>
      <c r="C2579" s="11" t="s">
        <v>4969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4465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2">
        <f>+L2579*O2579</f>
        <v>571.19999999999993</v>
      </c>
      <c r="S2579" s="72">
        <v>0</v>
      </c>
      <c r="T2579" s="72">
        <f>+L2579*S2579</f>
        <v>0</v>
      </c>
      <c r="U2579" s="72">
        <f>+R2579-T2579</f>
        <v>571.19999999999993</v>
      </c>
      <c r="V2579" s="72">
        <f>+U2579*0.75</f>
        <v>428.4</v>
      </c>
      <c r="W2579" s="72">
        <f>+U2579-V2579</f>
        <v>142.79999999999995</v>
      </c>
      <c r="X2579" s="72">
        <v>0</v>
      </c>
      <c r="Y2579" s="14">
        <f t="shared" si="402"/>
        <v>0</v>
      </c>
      <c r="Z2579" s="11" t="s">
        <v>26</v>
      </c>
      <c r="AA2579" s="12" t="s">
        <v>31</v>
      </c>
    </row>
    <row r="2580" spans="1:27" x14ac:dyDescent="0.25">
      <c r="A2580" s="10">
        <v>45694</v>
      </c>
      <c r="B2580" s="71">
        <v>1.5092592592592546E-2</v>
      </c>
      <c r="C2580" s="11" t="s">
        <v>4970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4439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2">
        <f>L2580*O2580</f>
        <v>3560.04</v>
      </c>
      <c r="S2580" s="72">
        <v>38</v>
      </c>
      <c r="T2580" s="72">
        <f>L2580*S2580</f>
        <v>1554.96</v>
      </c>
      <c r="U2580" s="72">
        <f>R2580-T2580</f>
        <v>2005.08</v>
      </c>
      <c r="V2580" s="72">
        <f>U2580*1</f>
        <v>2005.08</v>
      </c>
      <c r="W2580" s="72">
        <f>U2580-V2580</f>
        <v>0</v>
      </c>
      <c r="X2580" s="72">
        <f>L2580*36</f>
        <v>1473.1200000000001</v>
      </c>
      <c r="Y2580" s="73">
        <f>+T2580-X2580</f>
        <v>81.839999999999918</v>
      </c>
      <c r="Z2580" s="12" t="s">
        <v>70</v>
      </c>
      <c r="AA2580" s="12" t="s">
        <v>78</v>
      </c>
    </row>
    <row r="2581" spans="1:27" x14ac:dyDescent="0.25">
      <c r="A2581" s="10">
        <v>45694</v>
      </c>
      <c r="B2581" s="71">
        <v>2.560185185185182E-2</v>
      </c>
      <c r="C2581" s="11" t="s">
        <v>4971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2">
        <f>L2581*O2581</f>
        <v>556.79999999999995</v>
      </c>
      <c r="S2581" s="72">
        <v>0</v>
      </c>
      <c r="T2581" s="72">
        <f>L2581*S2581</f>
        <v>0</v>
      </c>
      <c r="U2581" s="72">
        <f>R2581-T2581</f>
        <v>556.79999999999995</v>
      </c>
      <c r="V2581" s="72">
        <f>U2581*0</f>
        <v>0</v>
      </c>
      <c r="W2581" s="72">
        <f>U2581-V2581</f>
        <v>556.79999999999995</v>
      </c>
      <c r="X2581" s="72">
        <v>0</v>
      </c>
      <c r="Y2581" s="14">
        <f t="shared" ref="Y2581:Y2608" si="425">T2581-X2581</f>
        <v>0</v>
      </c>
      <c r="Z2581" s="11" t="s">
        <v>26</v>
      </c>
      <c r="AA2581" s="12" t="s">
        <v>31</v>
      </c>
    </row>
    <row r="2582" spans="1:27" x14ac:dyDescent="0.25">
      <c r="A2582" s="10">
        <v>45694</v>
      </c>
      <c r="B2582" s="71">
        <v>1.9039351851851904E-2</v>
      </c>
      <c r="C2582" s="11" t="s">
        <v>4972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4440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2">
        <f>+L2582*O2582</f>
        <v>1495.8000000000002</v>
      </c>
      <c r="S2582" s="72">
        <v>0</v>
      </c>
      <c r="T2582" s="72">
        <f>+L2582*S2582</f>
        <v>0</v>
      </c>
      <c r="U2582" s="72">
        <f t="shared" ref="U2582" si="426">+R2582-T2582</f>
        <v>1495.8000000000002</v>
      </c>
      <c r="V2582" s="72">
        <f>+U2582*1</f>
        <v>1495.8000000000002</v>
      </c>
      <c r="W2582" s="72">
        <f t="shared" ref="W2582" si="427">+U2582-V2582</f>
        <v>0</v>
      </c>
      <c r="X2582" s="72">
        <v>0</v>
      </c>
      <c r="Y2582" s="14">
        <f t="shared" si="425"/>
        <v>0</v>
      </c>
      <c r="Z2582" s="11" t="s">
        <v>26</v>
      </c>
      <c r="AA2582" s="12" t="s">
        <v>31</v>
      </c>
    </row>
    <row r="2583" spans="1:27" x14ac:dyDescent="0.25">
      <c r="A2583" s="10">
        <v>45694</v>
      </c>
      <c r="B2583" s="71">
        <v>1.8043981481481453E-2</v>
      </c>
      <c r="C2583" s="11" t="s">
        <v>4973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2">
        <f>L2583*O2583</f>
        <v>567.9</v>
      </c>
      <c r="S2583" s="72">
        <v>0</v>
      </c>
      <c r="T2583" s="72">
        <f>L2583*S2583</f>
        <v>0</v>
      </c>
      <c r="U2583" s="72">
        <f>R2583-T2583</f>
        <v>567.9</v>
      </c>
      <c r="V2583" s="72">
        <f>U2583*0</f>
        <v>0</v>
      </c>
      <c r="W2583" s="72">
        <f>U2583-V2583</f>
        <v>567.9</v>
      </c>
      <c r="X2583" s="72">
        <v>0</v>
      </c>
      <c r="Y2583" s="14">
        <f t="shared" si="425"/>
        <v>0</v>
      </c>
      <c r="Z2583" s="11" t="s">
        <v>26</v>
      </c>
      <c r="AA2583" s="12" t="s">
        <v>31</v>
      </c>
    </row>
    <row r="2584" spans="1:27" x14ac:dyDescent="0.25">
      <c r="A2584" s="10">
        <v>45694</v>
      </c>
      <c r="B2584" s="71">
        <v>8.6469907407407454E-2</v>
      </c>
      <c r="C2584" s="11" t="s">
        <v>4974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2">
        <f>L2584*O2584</f>
        <v>576.30000000000007</v>
      </c>
      <c r="S2584" s="72">
        <v>0</v>
      </c>
      <c r="T2584" s="72">
        <f>L2584*S2584</f>
        <v>0</v>
      </c>
      <c r="U2584" s="72">
        <f>R2584-T2584</f>
        <v>576.30000000000007</v>
      </c>
      <c r="V2584" s="72">
        <f>U2584*0</f>
        <v>0</v>
      </c>
      <c r="W2584" s="72">
        <f>U2584-V2584</f>
        <v>576.30000000000007</v>
      </c>
      <c r="X2584" s="72">
        <v>0</v>
      </c>
      <c r="Y2584" s="14">
        <f t="shared" si="425"/>
        <v>0</v>
      </c>
      <c r="Z2584" s="11" t="s">
        <v>26</v>
      </c>
      <c r="AA2584" s="12" t="s">
        <v>31</v>
      </c>
    </row>
    <row r="2585" spans="1:27" x14ac:dyDescent="0.25">
      <c r="A2585" s="10">
        <v>45694</v>
      </c>
      <c r="B2585" s="71">
        <v>1.9305555555555576E-2</v>
      </c>
      <c r="C2585" s="11" t="s">
        <v>4975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2">
        <f>+M2585*P2585</f>
        <v>576</v>
      </c>
      <c r="S2585" s="72">
        <v>0</v>
      </c>
      <c r="T2585" s="72">
        <f>+M2585*S2585</f>
        <v>0</v>
      </c>
      <c r="U2585" s="72">
        <f t="shared" ref="U2585" si="428">+R2585-T2585</f>
        <v>576</v>
      </c>
      <c r="V2585" s="72">
        <f>+U2585*0</f>
        <v>0</v>
      </c>
      <c r="W2585" s="72">
        <f t="shared" ref="W2585" si="429">+U2585-V2585</f>
        <v>576</v>
      </c>
      <c r="X2585" s="72">
        <v>0</v>
      </c>
      <c r="Y2585" s="14">
        <f t="shared" si="425"/>
        <v>0</v>
      </c>
      <c r="Z2585" s="11" t="s">
        <v>26</v>
      </c>
      <c r="AA2585" s="12" t="s">
        <v>31</v>
      </c>
    </row>
    <row r="2586" spans="1:27" x14ac:dyDescent="0.25">
      <c r="A2586" s="10">
        <v>45694</v>
      </c>
      <c r="B2586" s="71">
        <v>7.3587962962962883E-2</v>
      </c>
      <c r="C2586" s="11" t="s">
        <v>4976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2">
        <f>L2586*O2586</f>
        <v>579</v>
      </c>
      <c r="S2586" s="72">
        <v>0</v>
      </c>
      <c r="T2586" s="72">
        <f>L2586*S2586</f>
        <v>0</v>
      </c>
      <c r="U2586" s="72">
        <f>R2586-T2586</f>
        <v>579</v>
      </c>
      <c r="V2586" s="72">
        <f>U2586*0</f>
        <v>0</v>
      </c>
      <c r="W2586" s="72">
        <f>U2586-V2586</f>
        <v>579</v>
      </c>
      <c r="X2586" s="72">
        <v>0</v>
      </c>
      <c r="Y2586" s="14">
        <f t="shared" si="425"/>
        <v>0</v>
      </c>
      <c r="Z2586" s="11" t="s">
        <v>26</v>
      </c>
      <c r="AA2586" s="12" t="s">
        <v>31</v>
      </c>
    </row>
    <row r="2587" spans="1:27" x14ac:dyDescent="0.25">
      <c r="A2587" s="10">
        <v>45694</v>
      </c>
      <c r="B2587" s="71">
        <v>1.88194444444445E-2</v>
      </c>
      <c r="C2587" s="11" t="s">
        <v>4977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2">
        <f>L2587*O2587</f>
        <v>586.79999999999995</v>
      </c>
      <c r="S2587" s="72">
        <v>0</v>
      </c>
      <c r="T2587" s="72">
        <f>L2587*S2587</f>
        <v>0</v>
      </c>
      <c r="U2587" s="72">
        <f>R2587-T2587</f>
        <v>586.79999999999995</v>
      </c>
      <c r="V2587" s="72">
        <f>U2587*0</f>
        <v>0</v>
      </c>
      <c r="W2587" s="72">
        <f>U2587-V2587</f>
        <v>586.79999999999995</v>
      </c>
      <c r="X2587" s="72">
        <v>0</v>
      </c>
      <c r="Y2587" s="14">
        <f t="shared" si="425"/>
        <v>0</v>
      </c>
      <c r="Z2587" s="11" t="s">
        <v>26</v>
      </c>
      <c r="AA2587" s="12" t="s">
        <v>31</v>
      </c>
    </row>
    <row r="2588" spans="1:27" x14ac:dyDescent="0.25">
      <c r="A2588" s="10">
        <v>45694</v>
      </c>
      <c r="B2588" s="71">
        <v>2.0671296296296382E-2</v>
      </c>
      <c r="C2588" s="11" t="s">
        <v>4978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2">
        <f>L2588*O2588</f>
        <v>615.30000000000007</v>
      </c>
      <c r="S2588" s="72">
        <v>0</v>
      </c>
      <c r="T2588" s="72">
        <f>L2588*S2588</f>
        <v>0</v>
      </c>
      <c r="U2588" s="72">
        <f>R2588-T2588</f>
        <v>615.30000000000007</v>
      </c>
      <c r="V2588" s="72">
        <f>U2588*0</f>
        <v>0</v>
      </c>
      <c r="W2588" s="72">
        <f>U2588-V2588</f>
        <v>615.30000000000007</v>
      </c>
      <c r="X2588" s="72">
        <v>0</v>
      </c>
      <c r="Y2588" s="14">
        <f t="shared" si="425"/>
        <v>0</v>
      </c>
      <c r="Z2588" s="11" t="s">
        <v>26</v>
      </c>
      <c r="AA2588" s="12" t="s">
        <v>31</v>
      </c>
    </row>
    <row r="2589" spans="1:27" x14ac:dyDescent="0.25">
      <c r="A2589" s="10">
        <v>45694</v>
      </c>
      <c r="B2589" s="71">
        <v>2.6099537037036935E-2</v>
      </c>
      <c r="C2589" s="11" t="s">
        <v>4979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2">
        <f>L2589*O2589</f>
        <v>555.90000000000009</v>
      </c>
      <c r="S2589" s="72">
        <v>0</v>
      </c>
      <c r="T2589" s="72">
        <f>L2589*S2589</f>
        <v>0</v>
      </c>
      <c r="U2589" s="72">
        <f>R2589-T2589</f>
        <v>555.90000000000009</v>
      </c>
      <c r="V2589" s="72">
        <f>U2589*0</f>
        <v>0</v>
      </c>
      <c r="W2589" s="72">
        <f>U2589-V2589</f>
        <v>555.90000000000009</v>
      </c>
      <c r="X2589" s="72">
        <v>0</v>
      </c>
      <c r="Y2589" s="14">
        <f t="shared" si="425"/>
        <v>0</v>
      </c>
      <c r="Z2589" s="11" t="s">
        <v>26</v>
      </c>
      <c r="AA2589" s="12" t="s">
        <v>31</v>
      </c>
    </row>
    <row r="2590" spans="1:27" x14ac:dyDescent="0.25">
      <c r="A2590" s="10">
        <v>45694</v>
      </c>
      <c r="B2590" s="71">
        <v>2.9247685185185168E-2</v>
      </c>
      <c r="C2590" s="11" t="s">
        <v>4980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4440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2">
        <f>+L2590*O2590</f>
        <v>1594.8</v>
      </c>
      <c r="S2590" s="72">
        <v>0</v>
      </c>
      <c r="T2590" s="72">
        <f>+L2590*S2590</f>
        <v>0</v>
      </c>
      <c r="U2590" s="72">
        <f t="shared" ref="U2590" si="430">+R2590-T2590</f>
        <v>1594.8</v>
      </c>
      <c r="V2590" s="72">
        <f>+U2590*1</f>
        <v>1594.8</v>
      </c>
      <c r="W2590" s="72">
        <f t="shared" ref="W2590" si="431">+U2590-V2590</f>
        <v>0</v>
      </c>
      <c r="X2590" s="72">
        <v>0</v>
      </c>
      <c r="Y2590" s="14">
        <f t="shared" si="425"/>
        <v>0</v>
      </c>
      <c r="Z2590" s="11" t="s">
        <v>26</v>
      </c>
      <c r="AA2590" s="12" t="s">
        <v>31</v>
      </c>
    </row>
    <row r="2591" spans="1:27" x14ac:dyDescent="0.25">
      <c r="A2591" s="10">
        <v>45694</v>
      </c>
      <c r="B2591" s="71">
        <v>1.2094907407407485E-2</v>
      </c>
      <c r="C2591" s="11" t="s">
        <v>4981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35</v>
      </c>
      <c r="P2591" s="13"/>
      <c r="Q2591" s="13">
        <v>0</v>
      </c>
      <c r="R2591" s="72">
        <f>+L2591*O2591</f>
        <v>1558.2</v>
      </c>
      <c r="S2591" s="72">
        <v>0</v>
      </c>
      <c r="T2591" s="72">
        <f>+L2591*S2591</f>
        <v>0</v>
      </c>
      <c r="U2591" s="72">
        <f>+R2591-T2591</f>
        <v>1558.2</v>
      </c>
      <c r="V2591" s="72">
        <f t="shared" ref="V2591:V2592" si="432">+U2591*0</f>
        <v>0</v>
      </c>
      <c r="W2591" s="72">
        <f>+U2591-V2591</f>
        <v>1558.2</v>
      </c>
      <c r="X2591" s="72">
        <v>0</v>
      </c>
      <c r="Y2591" s="14">
        <f t="shared" si="425"/>
        <v>0</v>
      </c>
      <c r="Z2591" s="11" t="s">
        <v>26</v>
      </c>
      <c r="AA2591" s="12" t="s">
        <v>31</v>
      </c>
    </row>
    <row r="2592" spans="1:27" x14ac:dyDescent="0.25">
      <c r="A2592" s="10">
        <v>45694</v>
      </c>
      <c r="B2592" s="71">
        <v>9.6643518518518601E-2</v>
      </c>
      <c r="C2592" s="11" t="s">
        <v>4982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2">
        <f>(L2592*O2592)-Q2592</f>
        <v>444.00000000000006</v>
      </c>
      <c r="S2592" s="72">
        <v>0</v>
      </c>
      <c r="T2592" s="72">
        <f t="shared" ref="T2592" si="433">+L2592*S2592</f>
        <v>0</v>
      </c>
      <c r="U2592" s="72">
        <f t="shared" ref="U2592" si="434">+R2592-T2592</f>
        <v>444.00000000000006</v>
      </c>
      <c r="V2592" s="72">
        <f t="shared" si="432"/>
        <v>0</v>
      </c>
      <c r="W2592" s="72">
        <f t="shared" ref="W2592" si="435">+U2592-V2592</f>
        <v>444.00000000000006</v>
      </c>
      <c r="X2592" s="72">
        <v>0</v>
      </c>
      <c r="Y2592" s="14">
        <f t="shared" si="425"/>
        <v>0</v>
      </c>
      <c r="Z2592" s="11" t="s">
        <v>26</v>
      </c>
      <c r="AA2592" s="12" t="s">
        <v>31</v>
      </c>
    </row>
    <row r="2593" spans="1:27" x14ac:dyDescent="0.25">
      <c r="A2593" s="10">
        <v>45694</v>
      </c>
      <c r="B2593" s="71">
        <v>9.4444444444444775E-3</v>
      </c>
      <c r="C2593" s="11" t="s">
        <v>4983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2">
        <f>L2593*O2593</f>
        <v>547.5</v>
      </c>
      <c r="S2593" s="72">
        <v>0</v>
      </c>
      <c r="T2593" s="72">
        <f>L2593*S2593</f>
        <v>0</v>
      </c>
      <c r="U2593" s="72">
        <f>R2593-T2593</f>
        <v>547.5</v>
      </c>
      <c r="V2593" s="72">
        <f>U2593*0</f>
        <v>0</v>
      </c>
      <c r="W2593" s="72">
        <f>U2593-V2593</f>
        <v>547.5</v>
      </c>
      <c r="X2593" s="72">
        <v>0</v>
      </c>
      <c r="Y2593" s="14">
        <f t="shared" si="425"/>
        <v>0</v>
      </c>
      <c r="Z2593" s="11" t="s">
        <v>26</v>
      </c>
      <c r="AA2593" s="12" t="s">
        <v>31</v>
      </c>
    </row>
    <row r="2594" spans="1:27" x14ac:dyDescent="0.25">
      <c r="A2594" s="10">
        <v>45694</v>
      </c>
      <c r="B2594" s="71">
        <v>0.12152777777777768</v>
      </c>
      <c r="C2594" s="11" t="s">
        <v>4984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2">
        <f>M2594*P2594</f>
        <v>1450</v>
      </c>
      <c r="S2594" s="72">
        <v>0</v>
      </c>
      <c r="T2594" s="72">
        <f>M2594*S2594</f>
        <v>0</v>
      </c>
      <c r="U2594" s="72">
        <f>R2594-T2594</f>
        <v>1450</v>
      </c>
      <c r="V2594" s="72">
        <f>U2594*0</f>
        <v>0</v>
      </c>
      <c r="W2594" s="72">
        <f>U2594-V2594</f>
        <v>1450</v>
      </c>
      <c r="X2594" s="72">
        <v>0</v>
      </c>
      <c r="Y2594" s="14">
        <f t="shared" si="425"/>
        <v>0</v>
      </c>
      <c r="Z2594" s="11" t="s">
        <v>26</v>
      </c>
      <c r="AA2594" s="12" t="s">
        <v>31</v>
      </c>
    </row>
    <row r="2595" spans="1:27" x14ac:dyDescent="0.25">
      <c r="A2595" s="10">
        <v>45695</v>
      </c>
      <c r="B2595" s="71">
        <v>1.150462962962967E-2</v>
      </c>
      <c r="C2595" s="11" t="s">
        <v>4985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4465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2">
        <f>+L2595*O2595</f>
        <v>1806.6751999999999</v>
      </c>
      <c r="S2595" s="72">
        <v>0</v>
      </c>
      <c r="T2595" s="72">
        <f>+L2595*S2595</f>
        <v>0</v>
      </c>
      <c r="U2595" s="72">
        <f>+R2595-T2595</f>
        <v>1806.6751999999999</v>
      </c>
      <c r="V2595" s="72">
        <f>+U2595*0.75</f>
        <v>1355.0064</v>
      </c>
      <c r="W2595" s="72">
        <f>+U2595-V2595</f>
        <v>451.66879999999992</v>
      </c>
      <c r="X2595" s="72">
        <v>0</v>
      </c>
      <c r="Y2595" s="14">
        <f t="shared" si="425"/>
        <v>0</v>
      </c>
      <c r="Z2595" s="11" t="s">
        <v>26</v>
      </c>
      <c r="AA2595" s="12" t="s">
        <v>31</v>
      </c>
    </row>
    <row r="2596" spans="1:27" x14ac:dyDescent="0.25">
      <c r="A2596" s="10">
        <v>45695</v>
      </c>
      <c r="B2596" s="71">
        <v>1.3425925925925952E-2</v>
      </c>
      <c r="C2596" s="11" t="s">
        <v>4986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4465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2">
        <f>+L2596*O2596</f>
        <v>567.6</v>
      </c>
      <c r="S2596" s="72">
        <v>0</v>
      </c>
      <c r="T2596" s="72">
        <f>+L2596*S2596</f>
        <v>0</v>
      </c>
      <c r="U2596" s="72">
        <f>+R2596-T2596</f>
        <v>567.6</v>
      </c>
      <c r="V2596" s="72">
        <f>+U2596*0.75</f>
        <v>425.70000000000005</v>
      </c>
      <c r="W2596" s="72">
        <f>+U2596-V2596</f>
        <v>141.89999999999998</v>
      </c>
      <c r="X2596" s="72">
        <v>0</v>
      </c>
      <c r="Y2596" s="14">
        <f t="shared" si="425"/>
        <v>0</v>
      </c>
      <c r="Z2596" s="11" t="s">
        <v>26</v>
      </c>
      <c r="AA2596" s="12" t="s">
        <v>31</v>
      </c>
    </row>
    <row r="2597" spans="1:27" x14ac:dyDescent="0.25">
      <c r="A2597" s="10">
        <v>45695</v>
      </c>
      <c r="B2597" s="71">
        <v>1.6099537037037037E-2</v>
      </c>
      <c r="C2597" s="11" t="s">
        <v>4987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4465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2">
        <f>+L2597*O2597</f>
        <v>1818.15</v>
      </c>
      <c r="S2597" s="72">
        <v>0</v>
      </c>
      <c r="T2597" s="72">
        <f>+L2597*S2597</f>
        <v>0</v>
      </c>
      <c r="U2597" s="72">
        <f>+R2597-T2597</f>
        <v>1818.15</v>
      </c>
      <c r="V2597" s="72">
        <f>+U2597*0.75</f>
        <v>1363.6125000000002</v>
      </c>
      <c r="W2597" s="72">
        <f>+U2597-V2597</f>
        <v>454.53749999999991</v>
      </c>
      <c r="X2597" s="72">
        <v>0</v>
      </c>
      <c r="Y2597" s="14">
        <f t="shared" si="425"/>
        <v>0</v>
      </c>
      <c r="Z2597" s="11" t="s">
        <v>26</v>
      </c>
      <c r="AA2597" s="12" t="s">
        <v>31</v>
      </c>
    </row>
    <row r="2598" spans="1:27" x14ac:dyDescent="0.25">
      <c r="A2598" s="10">
        <v>45695</v>
      </c>
      <c r="B2598" s="71">
        <v>1.8668981481481495E-2</v>
      </c>
      <c r="C2598" s="11" t="s">
        <v>4988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2">
        <f>L2598*O2598</f>
        <v>581.1</v>
      </c>
      <c r="S2598" s="72">
        <v>0</v>
      </c>
      <c r="T2598" s="72">
        <f>L2598*S2598</f>
        <v>0</v>
      </c>
      <c r="U2598" s="72">
        <f>R2598-T2598</f>
        <v>581.1</v>
      </c>
      <c r="V2598" s="72">
        <f>U2598*0</f>
        <v>0</v>
      </c>
      <c r="W2598" s="72">
        <f>U2598-V2598</f>
        <v>581.1</v>
      </c>
      <c r="X2598" s="72">
        <v>0</v>
      </c>
      <c r="Y2598" s="14">
        <f t="shared" si="425"/>
        <v>0</v>
      </c>
      <c r="Z2598" s="11" t="s">
        <v>26</v>
      </c>
      <c r="AA2598" s="12" t="s">
        <v>31</v>
      </c>
    </row>
    <row r="2599" spans="1:27" x14ac:dyDescent="0.25">
      <c r="A2599" s="10">
        <v>45695</v>
      </c>
      <c r="B2599" s="71">
        <v>1.7858796296296331E-2</v>
      </c>
      <c r="C2599" s="11" t="s">
        <v>4989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4465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2">
        <f>+L2599*O2599</f>
        <v>555.6</v>
      </c>
      <c r="S2599" s="72">
        <v>0</v>
      </c>
      <c r="T2599" s="72">
        <f>+L2599*S2599</f>
        <v>0</v>
      </c>
      <c r="U2599" s="72">
        <f>+R2599-T2599</f>
        <v>555.6</v>
      </c>
      <c r="V2599" s="72">
        <f>+U2599*0.75</f>
        <v>416.70000000000005</v>
      </c>
      <c r="W2599" s="72">
        <f>+U2599-V2599</f>
        <v>138.89999999999998</v>
      </c>
      <c r="X2599" s="72">
        <v>0</v>
      </c>
      <c r="Y2599" s="14">
        <f t="shared" si="425"/>
        <v>0</v>
      </c>
      <c r="Z2599" s="11" t="s">
        <v>26</v>
      </c>
      <c r="AA2599" s="12" t="s">
        <v>31</v>
      </c>
    </row>
    <row r="2600" spans="1:27" x14ac:dyDescent="0.25">
      <c r="A2600" s="10">
        <v>45695</v>
      </c>
      <c r="B2600" s="71">
        <v>2.2083333333333344E-2</v>
      </c>
      <c r="C2600" s="11" t="s">
        <v>4990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2">
        <f>+L2600*O2600</f>
        <v>1645.6</v>
      </c>
      <c r="S2600" s="72">
        <v>0</v>
      </c>
      <c r="T2600" s="72">
        <f>+L2600*S2600</f>
        <v>0</v>
      </c>
      <c r="U2600" s="72">
        <f>+R2600-T2600</f>
        <v>1645.6</v>
      </c>
      <c r="V2600" s="72">
        <f t="shared" ref="V2600" si="437">+U2600*0</f>
        <v>0</v>
      </c>
      <c r="W2600" s="72">
        <f>+U2600-V2600</f>
        <v>1645.6</v>
      </c>
      <c r="X2600" s="72">
        <v>0</v>
      </c>
      <c r="Y2600" s="14">
        <f t="shared" si="425"/>
        <v>0</v>
      </c>
      <c r="Z2600" s="11" t="s">
        <v>26</v>
      </c>
      <c r="AA2600" s="12" t="s">
        <v>31</v>
      </c>
    </row>
    <row r="2601" spans="1:27" x14ac:dyDescent="0.25">
      <c r="A2601" s="10">
        <v>45695</v>
      </c>
      <c r="B2601" s="71">
        <v>2.3541666666666683E-2</v>
      </c>
      <c r="C2601" s="11" t="s">
        <v>4991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4465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2">
        <f>+L2601*O2601</f>
        <v>561.59999999999991</v>
      </c>
      <c r="S2601" s="72">
        <v>0</v>
      </c>
      <c r="T2601" s="72">
        <f>+L2601*S2601</f>
        <v>0</v>
      </c>
      <c r="U2601" s="72">
        <f>+R2601-T2601</f>
        <v>561.59999999999991</v>
      </c>
      <c r="V2601" s="72">
        <f>+U2601*0.75</f>
        <v>421.19999999999993</v>
      </c>
      <c r="W2601" s="72">
        <f>+U2601-V2601</f>
        <v>140.39999999999998</v>
      </c>
      <c r="X2601" s="72">
        <v>0</v>
      </c>
      <c r="Y2601" s="14">
        <f t="shared" si="425"/>
        <v>0</v>
      </c>
      <c r="Z2601" s="11" t="s">
        <v>26</v>
      </c>
      <c r="AA2601" s="12" t="s">
        <v>31</v>
      </c>
    </row>
    <row r="2602" spans="1:27" x14ac:dyDescent="0.25">
      <c r="A2602" s="10">
        <v>45695</v>
      </c>
      <c r="B2602" s="71">
        <v>2.4421296296296247E-2</v>
      </c>
      <c r="C2602" s="11" t="s">
        <v>4992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2">
        <f>L2602*O2602</f>
        <v>563.1</v>
      </c>
      <c r="S2602" s="72">
        <v>0</v>
      </c>
      <c r="T2602" s="72">
        <f>L2602*S2602</f>
        <v>0</v>
      </c>
      <c r="U2602" s="72">
        <f>R2602-T2602</f>
        <v>563.1</v>
      </c>
      <c r="V2602" s="72">
        <f>U2602*0</f>
        <v>0</v>
      </c>
      <c r="W2602" s="72">
        <f>U2602-V2602</f>
        <v>563.1</v>
      </c>
      <c r="X2602" s="72">
        <v>0</v>
      </c>
      <c r="Y2602" s="14">
        <f t="shared" si="425"/>
        <v>0</v>
      </c>
      <c r="Z2602" s="11" t="s">
        <v>26</v>
      </c>
      <c r="AA2602" s="12" t="s">
        <v>31</v>
      </c>
    </row>
    <row r="2603" spans="1:27" x14ac:dyDescent="0.25">
      <c r="A2603" s="10">
        <v>45695</v>
      </c>
      <c r="B2603" s="71">
        <v>3.0277777777777792E-2</v>
      </c>
      <c r="C2603" s="11" t="s">
        <v>4993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2">
        <f>L2603*O2603</f>
        <v>540</v>
      </c>
      <c r="S2603" s="72">
        <v>0</v>
      </c>
      <c r="T2603" s="72">
        <f>L2603*S2603</f>
        <v>0</v>
      </c>
      <c r="U2603" s="72">
        <f>R2603-T2603</f>
        <v>540</v>
      </c>
      <c r="V2603" s="72">
        <f>U2603*0</f>
        <v>0</v>
      </c>
      <c r="W2603" s="72">
        <f>U2603-V2603</f>
        <v>540</v>
      </c>
      <c r="X2603" s="72">
        <v>0</v>
      </c>
      <c r="Y2603" s="14">
        <f t="shared" si="425"/>
        <v>0</v>
      </c>
      <c r="Z2603" s="11" t="s">
        <v>26</v>
      </c>
      <c r="AA2603" s="12" t="s">
        <v>31</v>
      </c>
    </row>
    <row r="2604" spans="1:27" x14ac:dyDescent="0.25">
      <c r="A2604" s="10">
        <v>45695</v>
      </c>
      <c r="B2604" s="71">
        <v>3.1666666666666676E-2</v>
      </c>
      <c r="C2604" s="11" t="s">
        <v>4994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4463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2">
        <f t="shared" ref="R2604" si="438">+L2604*O2604</f>
        <v>1539.12</v>
      </c>
      <c r="S2604" s="72">
        <v>0</v>
      </c>
      <c r="T2604" s="72">
        <f>+L2604*S2604</f>
        <v>0</v>
      </c>
      <c r="U2604" s="72">
        <f>+R2604-T2604</f>
        <v>1539.12</v>
      </c>
      <c r="V2604" s="72">
        <f>+U2604*1</f>
        <v>1539.12</v>
      </c>
      <c r="W2604" s="72">
        <f>+U2604-V2604</f>
        <v>0</v>
      </c>
      <c r="X2604" s="72">
        <v>0</v>
      </c>
      <c r="Y2604" s="14">
        <f t="shared" si="425"/>
        <v>0</v>
      </c>
      <c r="Z2604" s="11" t="s">
        <v>26</v>
      </c>
      <c r="AA2604" s="12" t="s">
        <v>31</v>
      </c>
    </row>
    <row r="2605" spans="1:27" x14ac:dyDescent="0.25">
      <c r="A2605" s="10">
        <v>45695</v>
      </c>
      <c r="B2605" s="71">
        <v>3.3622685185185186E-2</v>
      </c>
      <c r="C2605" s="11" t="s">
        <v>4995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2">
        <f>M2605*P2605</f>
        <v>1440</v>
      </c>
      <c r="S2605" s="72">
        <v>0</v>
      </c>
      <c r="T2605" s="72">
        <f>M2605*S2605</f>
        <v>0</v>
      </c>
      <c r="U2605" s="72">
        <f t="shared" ref="U2605:U2606" si="439">+R2605-T2605</f>
        <v>1440</v>
      </c>
      <c r="V2605" s="72">
        <f>+U2605*0</f>
        <v>0</v>
      </c>
      <c r="W2605" s="72">
        <f t="shared" ref="W2605:W2606" si="440">+U2605-V2605</f>
        <v>1440</v>
      </c>
      <c r="X2605" s="72">
        <v>0</v>
      </c>
      <c r="Y2605" s="14">
        <f t="shared" si="425"/>
        <v>0</v>
      </c>
      <c r="Z2605" s="11" t="s">
        <v>26</v>
      </c>
      <c r="AA2605" s="12" t="s">
        <v>31</v>
      </c>
    </row>
    <row r="2606" spans="1:27" x14ac:dyDescent="0.25">
      <c r="A2606" s="10">
        <v>45695</v>
      </c>
      <c r="B2606" s="71">
        <v>3.4085648148148129E-2</v>
      </c>
      <c r="C2606" s="11" t="s">
        <v>4996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4440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2">
        <f>+L2606*O2606</f>
        <v>1588.4999999999998</v>
      </c>
      <c r="S2606" s="72">
        <v>0</v>
      </c>
      <c r="T2606" s="72">
        <f>+L2606*S2606</f>
        <v>0</v>
      </c>
      <c r="U2606" s="72">
        <f t="shared" si="439"/>
        <v>1588.4999999999998</v>
      </c>
      <c r="V2606" s="72">
        <f>+U2606*1</f>
        <v>1588.4999999999998</v>
      </c>
      <c r="W2606" s="72">
        <f t="shared" si="440"/>
        <v>0</v>
      </c>
      <c r="X2606" s="72">
        <v>0</v>
      </c>
      <c r="Y2606" s="14">
        <f t="shared" si="425"/>
        <v>0</v>
      </c>
      <c r="Z2606" s="11" t="s">
        <v>26</v>
      </c>
      <c r="AA2606" s="12" t="s">
        <v>31</v>
      </c>
    </row>
    <row r="2607" spans="1:27" x14ac:dyDescent="0.25">
      <c r="A2607" s="10">
        <v>45695</v>
      </c>
      <c r="B2607" s="71">
        <v>3.5914351851851822E-2</v>
      </c>
      <c r="C2607" s="11" t="s">
        <v>4997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4465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2">
        <f>+L2607*O2607</f>
        <v>1870</v>
      </c>
      <c r="S2607" s="72">
        <v>0</v>
      </c>
      <c r="T2607" s="72">
        <f>+L2607*S2607</f>
        <v>0</v>
      </c>
      <c r="U2607" s="72">
        <f>+R2607-T2607</f>
        <v>1870</v>
      </c>
      <c r="V2607" s="72">
        <f>+U2607*0.75</f>
        <v>1402.5</v>
      </c>
      <c r="W2607" s="72">
        <f>+U2607-V2607</f>
        <v>467.5</v>
      </c>
      <c r="X2607" s="72">
        <v>0</v>
      </c>
      <c r="Y2607" s="14">
        <f t="shared" si="425"/>
        <v>0</v>
      </c>
      <c r="Z2607" s="11" t="s">
        <v>26</v>
      </c>
      <c r="AA2607" s="12" t="s">
        <v>31</v>
      </c>
    </row>
    <row r="2608" spans="1:27" x14ac:dyDescent="0.25">
      <c r="A2608" s="10">
        <v>45695</v>
      </c>
      <c r="B2608" s="71">
        <v>3.6666666666666625E-2</v>
      </c>
      <c r="C2608" s="11" t="s">
        <v>4998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4440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2">
        <f>+L2608*O2608</f>
        <v>1666.8</v>
      </c>
      <c r="S2608" s="72">
        <v>0</v>
      </c>
      <c r="T2608" s="72">
        <f>+L2608*S2608</f>
        <v>0</v>
      </c>
      <c r="U2608" s="72">
        <f t="shared" ref="U2608" si="441">+R2608-T2608</f>
        <v>1666.8</v>
      </c>
      <c r="V2608" s="72">
        <f>+U2608*1</f>
        <v>1666.8</v>
      </c>
      <c r="W2608" s="72">
        <f t="shared" ref="W2608" si="442">+U2608-V2608</f>
        <v>0</v>
      </c>
      <c r="X2608" s="72">
        <v>0</v>
      </c>
      <c r="Y2608" s="14">
        <f t="shared" si="425"/>
        <v>0</v>
      </c>
      <c r="Z2608" s="11" t="s">
        <v>26</v>
      </c>
      <c r="AA2608" s="12" t="s">
        <v>31</v>
      </c>
    </row>
    <row r="2609" spans="1:27" x14ac:dyDescent="0.25">
      <c r="A2609" s="10">
        <v>45695</v>
      </c>
      <c r="B2609" s="71">
        <v>3.5844907407407423E-2</v>
      </c>
      <c r="C2609" s="11" t="s">
        <v>4999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2">
        <f>+L2609*O2609</f>
        <v>4084.0800000000004</v>
      </c>
      <c r="S2609" s="72">
        <v>40</v>
      </c>
      <c r="T2609" s="72">
        <f>L2609*S2609</f>
        <v>1795.2</v>
      </c>
      <c r="U2609" s="72">
        <f t="shared" ref="U2609" si="443">R2609-T2609</f>
        <v>2288.88</v>
      </c>
      <c r="V2609" s="72">
        <f>U2609*1</f>
        <v>2288.88</v>
      </c>
      <c r="W2609" s="72">
        <f t="shared" ref="W2609" si="444">U2609-V2609</f>
        <v>0</v>
      </c>
      <c r="X2609" s="72">
        <f>L2609*37</f>
        <v>1660.5600000000002</v>
      </c>
      <c r="Y2609" s="73">
        <f>+T2609-X2609</f>
        <v>134.63999999999987</v>
      </c>
      <c r="Z2609" s="12" t="s">
        <v>41</v>
      </c>
      <c r="AA2609" s="12" t="s">
        <v>79</v>
      </c>
    </row>
    <row r="2610" spans="1:27" x14ac:dyDescent="0.25">
      <c r="A2610" s="10">
        <v>45695</v>
      </c>
      <c r="B2610" s="71">
        <v>3.4594907407407449E-2</v>
      </c>
      <c r="C2610" s="11" t="s">
        <v>5000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4439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2">
        <f>L2610*O2610</f>
        <v>3686.86</v>
      </c>
      <c r="S2610" s="72">
        <v>38</v>
      </c>
      <c r="T2610" s="72">
        <f>L2610*S2610</f>
        <v>1687.96</v>
      </c>
      <c r="U2610" s="72">
        <f>R2610-T2610</f>
        <v>1998.9</v>
      </c>
      <c r="V2610" s="72">
        <f>U2610*1</f>
        <v>1998.9</v>
      </c>
      <c r="W2610" s="72">
        <f>U2610-V2610</f>
        <v>0</v>
      </c>
      <c r="X2610" s="72">
        <f>L2610*37</f>
        <v>1643.54</v>
      </c>
      <c r="Y2610" s="73">
        <f>+T2610-X2610</f>
        <v>44.420000000000073</v>
      </c>
      <c r="Z2610" s="12" t="s">
        <v>41</v>
      </c>
      <c r="AA2610" s="12" t="s">
        <v>78</v>
      </c>
    </row>
    <row r="2611" spans="1:27" x14ac:dyDescent="0.25">
      <c r="A2611" s="10">
        <v>45695</v>
      </c>
      <c r="B2611" s="71">
        <v>3.313657407407411E-2</v>
      </c>
      <c r="C2611" s="11" t="s">
        <v>5001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2">
        <f>M2611*P2611</f>
        <v>1550</v>
      </c>
      <c r="S2611" s="72">
        <v>0</v>
      </c>
      <c r="T2611" s="72">
        <f>M2611*S2611</f>
        <v>0</v>
      </c>
      <c r="U2611" s="72">
        <f>R2611-T2611</f>
        <v>1550</v>
      </c>
      <c r="V2611" s="72">
        <f>U2611*0</f>
        <v>0</v>
      </c>
      <c r="W2611" s="72">
        <f>U2611-V2611</f>
        <v>1550</v>
      </c>
      <c r="X2611" s="72">
        <v>0</v>
      </c>
      <c r="Y2611" s="14">
        <f t="shared" ref="Y2611:Y2613" si="445">T2611-X2611</f>
        <v>0</v>
      </c>
      <c r="Z2611" s="11" t="s">
        <v>26</v>
      </c>
      <c r="AA2611" s="12" t="s">
        <v>31</v>
      </c>
    </row>
    <row r="2612" spans="1:27" x14ac:dyDescent="0.25">
      <c r="A2612" s="10">
        <v>45695</v>
      </c>
      <c r="B2612" s="71">
        <v>3.5844907407407367E-2</v>
      </c>
      <c r="C2612" s="11" t="s">
        <v>5002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2">
        <f>M2612*P2612</f>
        <v>1000</v>
      </c>
      <c r="S2612" s="72">
        <v>0</v>
      </c>
      <c r="T2612" s="72">
        <f>M2612*S2612</f>
        <v>0</v>
      </c>
      <c r="U2612" s="72">
        <f>R2612-T2612</f>
        <v>1000</v>
      </c>
      <c r="V2612" s="72">
        <f>U2612*0</f>
        <v>0</v>
      </c>
      <c r="W2612" s="72">
        <f>U2612-V2612</f>
        <v>1000</v>
      </c>
      <c r="X2612" s="72">
        <v>0</v>
      </c>
      <c r="Y2612" s="14">
        <f t="shared" si="445"/>
        <v>0</v>
      </c>
      <c r="Z2612" s="11" t="s">
        <v>26</v>
      </c>
      <c r="AA2612" s="12" t="s">
        <v>31</v>
      </c>
    </row>
    <row r="2613" spans="1:27" x14ac:dyDescent="0.25">
      <c r="A2613" s="10">
        <v>45695</v>
      </c>
      <c r="B2613" s="71">
        <v>3.6793981481481441E-2</v>
      </c>
      <c r="C2613" s="11" t="s">
        <v>5003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2">
        <f>M2613*P2613</f>
        <v>1600</v>
      </c>
      <c r="S2613" s="72">
        <v>0</v>
      </c>
      <c r="T2613" s="72">
        <f>M2613*S2613</f>
        <v>0</v>
      </c>
      <c r="U2613" s="72">
        <f>+R2613-T2613</f>
        <v>1600</v>
      </c>
      <c r="V2613" s="72">
        <f t="shared" ref="V2613" si="446">+U2613*0</f>
        <v>0</v>
      </c>
      <c r="W2613" s="72">
        <f>+U2613-V2613</f>
        <v>1600</v>
      </c>
      <c r="X2613" s="72">
        <v>0</v>
      </c>
      <c r="Y2613" s="14">
        <f t="shared" si="445"/>
        <v>0</v>
      </c>
      <c r="Z2613" s="11" t="s">
        <v>26</v>
      </c>
      <c r="AA2613" s="12" t="s">
        <v>31</v>
      </c>
    </row>
    <row r="2614" spans="1:27" x14ac:dyDescent="0.25">
      <c r="A2614" s="10">
        <v>45695</v>
      </c>
      <c r="B2614" s="71">
        <v>2.2326388888888882E-2</v>
      </c>
      <c r="C2614" s="11" t="s">
        <v>5004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4439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2">
        <f>L2614*O2614</f>
        <v>3695.7999999999997</v>
      </c>
      <c r="S2614" s="72">
        <v>38</v>
      </c>
      <c r="T2614" s="72">
        <f>L2614*S2614</f>
        <v>1652.2399999999998</v>
      </c>
      <c r="U2614" s="72">
        <f>R2614-T2614</f>
        <v>2043.56</v>
      </c>
      <c r="V2614" s="72">
        <f>U2614*1</f>
        <v>2043.56</v>
      </c>
      <c r="W2614" s="72">
        <f>U2614-V2614</f>
        <v>0</v>
      </c>
      <c r="X2614" s="72">
        <f t="shared" ref="X2614:X2615" si="447">L2614*36</f>
        <v>1565.28</v>
      </c>
      <c r="Y2614" s="73">
        <f>+T2614-X2614</f>
        <v>86.959999999999809</v>
      </c>
      <c r="Z2614" s="12" t="s">
        <v>140</v>
      </c>
      <c r="AA2614" s="12" t="s">
        <v>78</v>
      </c>
    </row>
    <row r="2615" spans="1:27" x14ac:dyDescent="0.25">
      <c r="A2615" s="10">
        <v>45695</v>
      </c>
      <c r="B2615" s="71">
        <v>4.1851851851851807E-2</v>
      </c>
      <c r="C2615" s="11" t="s">
        <v>5005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4439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2">
        <f>L2615*O2615</f>
        <v>3652</v>
      </c>
      <c r="S2615" s="72">
        <v>38</v>
      </c>
      <c r="T2615" s="72">
        <f>L2615*S2615</f>
        <v>1672</v>
      </c>
      <c r="U2615" s="72">
        <f>R2615-T2615</f>
        <v>1980</v>
      </c>
      <c r="V2615" s="72">
        <f>U2615*1</f>
        <v>1980</v>
      </c>
      <c r="W2615" s="72">
        <f>U2615-V2615</f>
        <v>0</v>
      </c>
      <c r="X2615" s="72">
        <f t="shared" si="447"/>
        <v>1584</v>
      </c>
      <c r="Y2615" s="73">
        <f>+T2615-X2615</f>
        <v>88</v>
      </c>
      <c r="Z2615" s="12" t="s">
        <v>140</v>
      </c>
      <c r="AA2615" s="12" t="s">
        <v>78</v>
      </c>
    </row>
    <row r="2616" spans="1:27" x14ac:dyDescent="0.25">
      <c r="A2616" s="10">
        <v>45695</v>
      </c>
      <c r="B2616" s="71">
        <v>4.4606481481481497E-2</v>
      </c>
      <c r="C2616" s="11" t="s">
        <v>5006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2">
        <f>+M2616*P2616</f>
        <v>480</v>
      </c>
      <c r="S2616" s="72">
        <v>0</v>
      </c>
      <c r="T2616" s="72">
        <f>+M2616*S2616</f>
        <v>0</v>
      </c>
      <c r="U2616" s="72">
        <f t="shared" ref="U2616:U2617" si="448">+R2616-T2616</f>
        <v>480</v>
      </c>
      <c r="V2616" s="72">
        <f>+U2616*0</f>
        <v>0</v>
      </c>
      <c r="W2616" s="72">
        <f t="shared" ref="W2616:W2617" si="449">+U2616-V2616</f>
        <v>480</v>
      </c>
      <c r="X2616" s="72">
        <v>0</v>
      </c>
      <c r="Y2616" s="14">
        <f t="shared" ref="Y2616:Y2618" si="450">T2616-X2616</f>
        <v>0</v>
      </c>
      <c r="Z2616" s="11" t="s">
        <v>26</v>
      </c>
      <c r="AA2616" s="12" t="s">
        <v>31</v>
      </c>
    </row>
    <row r="2617" spans="1:27" x14ac:dyDescent="0.25">
      <c r="A2617" s="10">
        <v>45695</v>
      </c>
      <c r="B2617" s="71">
        <v>2.0520833333333321E-2</v>
      </c>
      <c r="C2617" s="11" t="s">
        <v>5007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2">
        <f>(L2617*O2617)-Q2617</f>
        <v>284.8</v>
      </c>
      <c r="S2617" s="72">
        <v>0</v>
      </c>
      <c r="T2617" s="72">
        <f t="shared" ref="T2617" si="451">+L2617*S2617</f>
        <v>0</v>
      </c>
      <c r="U2617" s="72">
        <f t="shared" si="448"/>
        <v>284.8</v>
      </c>
      <c r="V2617" s="72">
        <f t="shared" ref="V2617" si="452">+U2617*0</f>
        <v>0</v>
      </c>
      <c r="W2617" s="72">
        <f t="shared" si="449"/>
        <v>284.8</v>
      </c>
      <c r="X2617" s="72">
        <v>0</v>
      </c>
      <c r="Y2617" s="14">
        <f t="shared" si="450"/>
        <v>0</v>
      </c>
      <c r="Z2617" s="11" t="s">
        <v>26</v>
      </c>
      <c r="AA2617" s="12" t="s">
        <v>31</v>
      </c>
    </row>
    <row r="2618" spans="1:27" x14ac:dyDescent="0.25">
      <c r="A2618" s="10">
        <v>45695</v>
      </c>
      <c r="B2618" s="71">
        <v>1.3842592592592573E-2</v>
      </c>
      <c r="C2618" s="11" t="s">
        <v>5008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4465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2">
        <f>+L2618*O2618</f>
        <v>590.70000000000005</v>
      </c>
      <c r="S2618" s="72">
        <v>0</v>
      </c>
      <c r="T2618" s="72">
        <f>+L2618*S2618</f>
        <v>0</v>
      </c>
      <c r="U2618" s="72">
        <f>+R2618-T2618</f>
        <v>590.70000000000005</v>
      </c>
      <c r="V2618" s="72">
        <f>+U2618*0.75</f>
        <v>443.02500000000003</v>
      </c>
      <c r="W2618" s="72">
        <f>+U2618-V2618</f>
        <v>147.67500000000001</v>
      </c>
      <c r="X2618" s="72">
        <v>0</v>
      </c>
      <c r="Y2618" s="14">
        <f t="shared" si="450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71">
        <v>2.7407407407407436E-2</v>
      </c>
      <c r="C2619" s="11" t="s">
        <v>5009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2">
        <f>+L2619*O2619</f>
        <v>3947.5800000000004</v>
      </c>
      <c r="S2619" s="72">
        <v>40</v>
      </c>
      <c r="T2619" s="72">
        <f>L2619*S2619</f>
        <v>1735.2</v>
      </c>
      <c r="U2619" s="72">
        <f t="shared" ref="U2619" si="453">R2619-T2619</f>
        <v>2212.38</v>
      </c>
      <c r="V2619" s="72">
        <f>U2619*1</f>
        <v>2212.38</v>
      </c>
      <c r="W2619" s="72">
        <f t="shared" ref="W2619" si="454">U2619-V2619</f>
        <v>0</v>
      </c>
      <c r="X2619" s="72">
        <f>L2619*37</f>
        <v>1605.0600000000002</v>
      </c>
      <c r="Y2619" s="73">
        <f>+T2619-X2619</f>
        <v>130.13999999999987</v>
      </c>
      <c r="Z2619" s="12" t="s">
        <v>41</v>
      </c>
      <c r="AA2619" s="12" t="s">
        <v>79</v>
      </c>
    </row>
    <row r="2620" spans="1:27" x14ac:dyDescent="0.25">
      <c r="A2620" s="10">
        <v>45695</v>
      </c>
      <c r="B2620" s="71">
        <v>8.3449074074073981E-3</v>
      </c>
      <c r="C2620" s="11" t="s">
        <v>5010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4465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2">
        <f>+L2620*O2620</f>
        <v>1930.3500000000001</v>
      </c>
      <c r="S2620" s="72">
        <v>0</v>
      </c>
      <c r="T2620" s="72">
        <f>+L2620*S2620</f>
        <v>0</v>
      </c>
      <c r="U2620" s="72">
        <f>+R2620-T2620</f>
        <v>1930.3500000000001</v>
      </c>
      <c r="V2620" s="72">
        <f>+U2620*0.75</f>
        <v>1447.7625</v>
      </c>
      <c r="W2620" s="72">
        <f>+U2620-V2620</f>
        <v>482.58750000000009</v>
      </c>
      <c r="X2620" s="72">
        <v>0</v>
      </c>
      <c r="Y2620" s="14">
        <f t="shared" ref="Y2620" si="455">T2620-X2620</f>
        <v>0</v>
      </c>
      <c r="Z2620" s="11" t="s">
        <v>26</v>
      </c>
      <c r="AA2620" s="12" t="s">
        <v>31</v>
      </c>
    </row>
    <row r="2621" spans="1:27" x14ac:dyDescent="0.25">
      <c r="A2621" s="10">
        <v>45695</v>
      </c>
      <c r="B2621" s="71">
        <v>1.5289351851851818E-2</v>
      </c>
      <c r="C2621" s="11" t="s">
        <v>5011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4439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2">
        <f>L2621*O2621</f>
        <v>3649.8999999999996</v>
      </c>
      <c r="S2621" s="72">
        <v>38</v>
      </c>
      <c r="T2621" s="72">
        <f>L2621*S2621</f>
        <v>1631.7199999999998</v>
      </c>
      <c r="U2621" s="72">
        <f>R2621-T2621</f>
        <v>2018.1799999999998</v>
      </c>
      <c r="V2621" s="72">
        <f>U2621*1</f>
        <v>2018.1799999999998</v>
      </c>
      <c r="W2621" s="72">
        <f>U2621-V2621</f>
        <v>0</v>
      </c>
      <c r="X2621" s="72">
        <f>L2621*36</f>
        <v>1545.84</v>
      </c>
      <c r="Y2621" s="73">
        <f>+T2621-X2621</f>
        <v>85.879999999999882</v>
      </c>
      <c r="Z2621" s="12" t="s">
        <v>140</v>
      </c>
      <c r="AA2621" s="12" t="s">
        <v>78</v>
      </c>
    </row>
    <row r="2622" spans="1:27" x14ac:dyDescent="0.25">
      <c r="A2622" s="10">
        <v>45695</v>
      </c>
      <c r="B2622" s="71">
        <v>0.1040740740740741</v>
      </c>
      <c r="C2622" s="11" t="s">
        <v>5012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4463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2">
        <f t="shared" ref="R2622" si="456">+L2622*O2622</f>
        <v>1543.52</v>
      </c>
      <c r="S2622" s="72">
        <v>0</v>
      </c>
      <c r="T2622" s="72">
        <f>+L2622*S2622</f>
        <v>0</v>
      </c>
      <c r="U2622" s="72">
        <f>+R2622-T2622</f>
        <v>1543.52</v>
      </c>
      <c r="V2622" s="72">
        <f>+U2622*1</f>
        <v>1543.52</v>
      </c>
      <c r="W2622" s="72">
        <f>+U2622-V2622</f>
        <v>0</v>
      </c>
      <c r="X2622" s="72">
        <v>0</v>
      </c>
      <c r="Y2622" s="14">
        <f t="shared" ref="Y2622" si="457">T2622-X2622</f>
        <v>0</v>
      </c>
      <c r="Z2622" s="11" t="s">
        <v>26</v>
      </c>
      <c r="AA2622" s="12" t="s">
        <v>31</v>
      </c>
    </row>
    <row r="2623" spans="1:27" x14ac:dyDescent="0.25">
      <c r="A2623" s="10">
        <v>45695</v>
      </c>
      <c r="B2623" s="71">
        <v>7.4108796296296298E-2</v>
      </c>
      <c r="C2623" s="11" t="s">
        <v>5013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4441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2">
        <f>L2623*O2623</f>
        <v>2577.6</v>
      </c>
      <c r="S2623" s="72">
        <v>41</v>
      </c>
      <c r="T2623" s="72">
        <f>+L2623*S2623</f>
        <v>1174.24</v>
      </c>
      <c r="U2623" s="72">
        <f t="shared" ref="U2623" si="458">R2623-T2623</f>
        <v>1403.36</v>
      </c>
      <c r="V2623" s="72">
        <f>U2623*1</f>
        <v>1403.36</v>
      </c>
      <c r="W2623" s="72">
        <f t="shared" ref="W2623" si="459">U2623-V2623</f>
        <v>0</v>
      </c>
      <c r="X2623" s="16">
        <f>L2623*40</f>
        <v>1145.5999999999999</v>
      </c>
      <c r="Y2623" s="73">
        <f t="shared" ref="Y2623" si="460">+T2623-X2623</f>
        <v>28.6400000000001</v>
      </c>
      <c r="Z2623" s="12" t="s">
        <v>6345</v>
      </c>
      <c r="AA2623" s="12" t="s">
        <v>747</v>
      </c>
    </row>
    <row r="2624" spans="1:27" x14ac:dyDescent="0.25">
      <c r="A2624" s="10">
        <v>45695</v>
      </c>
      <c r="B2624" s="71">
        <v>2.9050925925925952E-2</v>
      </c>
      <c r="C2624" s="11" t="s">
        <v>5014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2">
        <f>M2624*P2624</f>
        <v>1600</v>
      </c>
      <c r="S2624" s="72">
        <v>0</v>
      </c>
      <c r="T2624" s="72">
        <f>M2624*S2624</f>
        <v>0</v>
      </c>
      <c r="U2624" s="72">
        <f>R2624-T2624</f>
        <v>1600</v>
      </c>
      <c r="V2624" s="72">
        <f>U2624*0</f>
        <v>0</v>
      </c>
      <c r="W2624" s="72">
        <f>+U2624-V2624</f>
        <v>1600</v>
      </c>
      <c r="X2624" s="72">
        <v>0</v>
      </c>
      <c r="Y2624" s="14">
        <f t="shared" ref="Y2624:Y2628" si="461">T2624-X2624</f>
        <v>0</v>
      </c>
      <c r="Z2624" s="11" t="s">
        <v>26</v>
      </c>
      <c r="AA2624" s="12" t="s">
        <v>31</v>
      </c>
    </row>
    <row r="2625" spans="1:27" x14ac:dyDescent="0.25">
      <c r="A2625" s="10">
        <v>45695</v>
      </c>
      <c r="B2625" s="71">
        <v>0.10149305555555549</v>
      </c>
      <c r="C2625" s="11" t="s">
        <v>5015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4440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2">
        <f>+L2625*O2625</f>
        <v>1542.6000000000001</v>
      </c>
      <c r="S2625" s="72">
        <v>0</v>
      </c>
      <c r="T2625" s="72">
        <f>+L2625*S2625</f>
        <v>0</v>
      </c>
      <c r="U2625" s="72">
        <f t="shared" ref="U2625:U2626" si="462">+R2625-T2625</f>
        <v>1542.6000000000001</v>
      </c>
      <c r="V2625" s="72">
        <f>+U2625*1</f>
        <v>1542.6000000000001</v>
      </c>
      <c r="W2625" s="72">
        <f t="shared" ref="W2625:W2626" si="463">+U2625-V2625</f>
        <v>0</v>
      </c>
      <c r="X2625" s="72">
        <v>0</v>
      </c>
      <c r="Y2625" s="14">
        <f t="shared" si="461"/>
        <v>0</v>
      </c>
      <c r="Z2625" s="11" t="s">
        <v>26</v>
      </c>
      <c r="AA2625" s="12" t="s">
        <v>31</v>
      </c>
    </row>
    <row r="2626" spans="1:27" x14ac:dyDescent="0.25">
      <c r="A2626" s="10">
        <v>45695</v>
      </c>
      <c r="B2626" s="71">
        <v>1.5787037037037044E-2</v>
      </c>
      <c r="C2626" s="11" t="s">
        <v>5016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4463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2">
        <f t="shared" ref="R2626" si="464">+L2626*O2626</f>
        <v>1696.8</v>
      </c>
      <c r="S2626" s="72">
        <v>0</v>
      </c>
      <c r="T2626" s="72">
        <f>+L2626*S2626</f>
        <v>0</v>
      </c>
      <c r="U2626" s="72">
        <f t="shared" si="462"/>
        <v>1696.8</v>
      </c>
      <c r="V2626" s="72">
        <f>+U2626*1</f>
        <v>1696.8</v>
      </c>
      <c r="W2626" s="72">
        <f t="shared" si="463"/>
        <v>0</v>
      </c>
      <c r="X2626" s="72">
        <v>0</v>
      </c>
      <c r="Y2626" s="14">
        <f t="shared" si="461"/>
        <v>0</v>
      </c>
      <c r="Z2626" s="11" t="s">
        <v>26</v>
      </c>
      <c r="AA2626" s="12" t="s">
        <v>31</v>
      </c>
    </row>
    <row r="2627" spans="1:27" x14ac:dyDescent="0.25">
      <c r="A2627" s="10">
        <v>45695</v>
      </c>
      <c r="B2627" s="71">
        <v>9.4641203703703769E-2</v>
      </c>
      <c r="C2627" s="11" t="s">
        <v>5017</v>
      </c>
      <c r="D2627" s="11">
        <v>17163</v>
      </c>
      <c r="E2627" s="11" t="s">
        <v>1217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2">
        <f>M2627*P2627</f>
        <v>1500</v>
      </c>
      <c r="S2627" s="72">
        <v>0</v>
      </c>
      <c r="T2627" s="72">
        <f>M2627*S2627</f>
        <v>0</v>
      </c>
      <c r="U2627" s="72">
        <f>R2627-T2627</f>
        <v>1500</v>
      </c>
      <c r="V2627" s="72">
        <f>U2627*0</f>
        <v>0</v>
      </c>
      <c r="W2627" s="72">
        <f>U2627-V2627</f>
        <v>1500</v>
      </c>
      <c r="X2627" s="72">
        <v>0</v>
      </c>
      <c r="Y2627" s="14">
        <f t="shared" si="461"/>
        <v>0</v>
      </c>
      <c r="Z2627" s="11" t="s">
        <v>26</v>
      </c>
      <c r="AA2627" s="12" t="s">
        <v>31</v>
      </c>
    </row>
    <row r="2628" spans="1:27" x14ac:dyDescent="0.25">
      <c r="A2628" s="10">
        <v>45695</v>
      </c>
      <c r="B2628" s="71">
        <v>1.2777777777777777E-2</v>
      </c>
      <c r="C2628" s="11" t="s">
        <v>5018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2">
        <f>L2628*O2628</f>
        <v>1115.9199999999998</v>
      </c>
      <c r="S2628" s="72">
        <v>0</v>
      </c>
      <c r="T2628" s="72">
        <f>L2628*S2628</f>
        <v>0</v>
      </c>
      <c r="U2628" s="72">
        <f>R2628-T2628</f>
        <v>1115.9199999999998</v>
      </c>
      <c r="V2628" s="72">
        <f>U2628*0</f>
        <v>0</v>
      </c>
      <c r="W2628" s="72">
        <f>U2628-V2628</f>
        <v>1115.9199999999998</v>
      </c>
      <c r="X2628" s="72">
        <v>0</v>
      </c>
      <c r="Y2628" s="14">
        <f t="shared" si="461"/>
        <v>0</v>
      </c>
      <c r="Z2628" s="11" t="s">
        <v>26</v>
      </c>
      <c r="AA2628" s="12" t="s">
        <v>31</v>
      </c>
    </row>
    <row r="2629" spans="1:27" x14ac:dyDescent="0.25">
      <c r="A2629" s="10">
        <v>45695</v>
      </c>
      <c r="B2629" s="71">
        <v>1.354166666666673E-2</v>
      </c>
      <c r="C2629" s="11" t="s">
        <v>5019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4439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2">
        <f>L2629*O2629</f>
        <v>3753.2599999999998</v>
      </c>
      <c r="S2629" s="72">
        <v>38</v>
      </c>
      <c r="T2629" s="72">
        <f>L2629*S2629</f>
        <v>1718.36</v>
      </c>
      <c r="U2629" s="72">
        <f>R2629-T2629</f>
        <v>2034.8999999999999</v>
      </c>
      <c r="V2629" s="72">
        <f>U2629*1</f>
        <v>2034.8999999999999</v>
      </c>
      <c r="W2629" s="72">
        <f>U2629-V2629</f>
        <v>0</v>
      </c>
      <c r="X2629" s="72">
        <f>L2629*37</f>
        <v>1673.1399999999999</v>
      </c>
      <c r="Y2629" s="73">
        <f>+T2629-X2629</f>
        <v>45.220000000000027</v>
      </c>
      <c r="Z2629" s="12" t="s">
        <v>41</v>
      </c>
      <c r="AA2629" s="12" t="s">
        <v>78</v>
      </c>
    </row>
    <row r="2630" spans="1:27" x14ac:dyDescent="0.25">
      <c r="A2630" s="10">
        <v>45695</v>
      </c>
      <c r="B2630" s="71">
        <v>7.3935185185185215E-2</v>
      </c>
      <c r="C2630" s="11" t="s">
        <v>5020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4463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2">
        <f t="shared" ref="R2630" si="465">+L2630*O2630</f>
        <v>1598.08</v>
      </c>
      <c r="S2630" s="72">
        <v>0</v>
      </c>
      <c r="T2630" s="72">
        <f>+L2630*S2630</f>
        <v>0</v>
      </c>
      <c r="U2630" s="72">
        <f>+R2630-T2630</f>
        <v>1598.08</v>
      </c>
      <c r="V2630" s="72">
        <f>+U2630*1</f>
        <v>1598.08</v>
      </c>
      <c r="W2630" s="72">
        <f>+U2630-V2630</f>
        <v>0</v>
      </c>
      <c r="X2630" s="72">
        <v>0</v>
      </c>
      <c r="Y2630" s="14">
        <f t="shared" ref="Y2630:Y2633" si="466">T2630-X2630</f>
        <v>0</v>
      </c>
      <c r="Z2630" s="11" t="s">
        <v>26</v>
      </c>
      <c r="AA2630" s="12" t="s">
        <v>31</v>
      </c>
    </row>
    <row r="2631" spans="1:27" x14ac:dyDescent="0.25">
      <c r="A2631" s="10">
        <v>45695</v>
      </c>
      <c r="B2631" s="71">
        <v>8.9120370370370239E-3</v>
      </c>
      <c r="C2631" s="11" t="s">
        <v>5021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35</v>
      </c>
      <c r="P2631" s="13"/>
      <c r="Q2631" s="13">
        <v>0</v>
      </c>
      <c r="R2631" s="72">
        <f>+L2631*O2631</f>
        <v>1515.5</v>
      </c>
      <c r="S2631" s="72">
        <v>0</v>
      </c>
      <c r="T2631" s="72">
        <f>+L2631*S2631</f>
        <v>0</v>
      </c>
      <c r="U2631" s="72">
        <f>+R2631-T2631</f>
        <v>1515.5</v>
      </c>
      <c r="V2631" s="72">
        <f t="shared" ref="V2631:V2632" si="467">+U2631*0</f>
        <v>0</v>
      </c>
      <c r="W2631" s="72">
        <f>+U2631-V2631</f>
        <v>1515.5</v>
      </c>
      <c r="X2631" s="72">
        <v>0</v>
      </c>
      <c r="Y2631" s="14">
        <f t="shared" si="466"/>
        <v>0</v>
      </c>
      <c r="Z2631" s="11" t="s">
        <v>26</v>
      </c>
      <c r="AA2631" s="12" t="s">
        <v>31</v>
      </c>
    </row>
    <row r="2632" spans="1:27" x14ac:dyDescent="0.25">
      <c r="A2632" s="10">
        <v>45695</v>
      </c>
      <c r="B2632" s="71">
        <v>1.0856481481481495E-2</v>
      </c>
      <c r="C2632" s="11" t="s">
        <v>5022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35</v>
      </c>
      <c r="P2632" s="13"/>
      <c r="Q2632" s="13">
        <v>0</v>
      </c>
      <c r="R2632" s="72">
        <f>+L2632*O2632</f>
        <v>1484</v>
      </c>
      <c r="S2632" s="72">
        <v>0</v>
      </c>
      <c r="T2632" s="72">
        <f>+L2632*S2632</f>
        <v>0</v>
      </c>
      <c r="U2632" s="72">
        <f>+R2632-T2632</f>
        <v>1484</v>
      </c>
      <c r="V2632" s="72">
        <f t="shared" si="467"/>
        <v>0</v>
      </c>
      <c r="W2632" s="72">
        <f>+U2632-V2632</f>
        <v>1484</v>
      </c>
      <c r="X2632" s="72">
        <v>0</v>
      </c>
      <c r="Y2632" s="14">
        <f t="shared" si="466"/>
        <v>0</v>
      </c>
      <c r="Z2632" s="11" t="s">
        <v>26</v>
      </c>
      <c r="AA2632" s="12" t="s">
        <v>31</v>
      </c>
    </row>
    <row r="2633" spans="1:27" x14ac:dyDescent="0.25">
      <c r="A2633" s="10">
        <v>45695</v>
      </c>
      <c r="B2633" s="71">
        <v>1.663194444444438E-2</v>
      </c>
      <c r="C2633" s="11" t="s">
        <v>5023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2">
        <f>L2633*O2633</f>
        <v>1157.68</v>
      </c>
      <c r="S2633" s="72">
        <v>0</v>
      </c>
      <c r="T2633" s="72">
        <f>L2633*S2633</f>
        <v>0</v>
      </c>
      <c r="U2633" s="72">
        <f>R2633-T2633</f>
        <v>1157.68</v>
      </c>
      <c r="V2633" s="72">
        <f>U2633*0</f>
        <v>0</v>
      </c>
      <c r="W2633" s="72">
        <f>U2633-V2633</f>
        <v>1157.68</v>
      </c>
      <c r="X2633" s="72">
        <v>0</v>
      </c>
      <c r="Y2633" s="14">
        <f t="shared" si="466"/>
        <v>0</v>
      </c>
      <c r="Z2633" s="11" t="s">
        <v>26</v>
      </c>
      <c r="AA2633" s="12" t="s">
        <v>31</v>
      </c>
    </row>
    <row r="2634" spans="1:27" x14ac:dyDescent="0.25">
      <c r="A2634" s="10">
        <v>45695</v>
      </c>
      <c r="B2634" s="71">
        <v>4.5543981481481477E-2</v>
      </c>
      <c r="C2634" s="11" t="s">
        <v>5024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4439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2">
        <f>L2634*O2634</f>
        <v>3726.4</v>
      </c>
      <c r="S2634" s="72">
        <v>38</v>
      </c>
      <c r="T2634" s="72">
        <f>L2634*S2634</f>
        <v>1665.92</v>
      </c>
      <c r="U2634" s="72">
        <f>R2634-T2634</f>
        <v>2060.48</v>
      </c>
      <c r="V2634" s="72">
        <f>U2634*1</f>
        <v>2060.48</v>
      </c>
      <c r="W2634" s="72">
        <f>U2634-V2634</f>
        <v>0</v>
      </c>
      <c r="X2634" s="72">
        <f>L2634*37</f>
        <v>1622.0800000000002</v>
      </c>
      <c r="Y2634" s="73">
        <f>+T2634-X2634</f>
        <v>43.839999999999918</v>
      </c>
      <c r="Z2634" s="12" t="s">
        <v>41</v>
      </c>
      <c r="AA2634" s="12" t="s">
        <v>78</v>
      </c>
    </row>
    <row r="2635" spans="1:27" x14ac:dyDescent="0.25">
      <c r="A2635" s="10">
        <v>45695</v>
      </c>
      <c r="B2635" s="71">
        <v>1.7071759259259189E-2</v>
      </c>
      <c r="C2635" s="11" t="s">
        <v>5025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2">
        <f>+M2635*P2635</f>
        <v>576</v>
      </c>
      <c r="S2635" s="72">
        <v>0</v>
      </c>
      <c r="T2635" s="72">
        <f>+M2635*S2635</f>
        <v>0</v>
      </c>
      <c r="U2635" s="72">
        <f t="shared" ref="U2635" si="468">+R2635-T2635</f>
        <v>576</v>
      </c>
      <c r="V2635" s="72">
        <f>+U2635*0</f>
        <v>0</v>
      </c>
      <c r="W2635" s="72">
        <f t="shared" ref="W2635" si="469">+U2635-V2635</f>
        <v>576</v>
      </c>
      <c r="X2635" s="72">
        <v>0</v>
      </c>
      <c r="Y2635" s="14">
        <f t="shared" ref="Y2635" si="470">T2635-X2635</f>
        <v>0</v>
      </c>
      <c r="Z2635" s="11" t="s">
        <v>26</v>
      </c>
      <c r="AA2635" s="12" t="s">
        <v>31</v>
      </c>
    </row>
    <row r="2636" spans="1:27" x14ac:dyDescent="0.25">
      <c r="A2636" s="10">
        <v>45695</v>
      </c>
      <c r="B2636" s="71">
        <v>8.6076388888888855E-2</v>
      </c>
      <c r="C2636" s="11" t="s">
        <v>5026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4439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2">
        <f>L2636*O2636</f>
        <v>3629.64</v>
      </c>
      <c r="S2636" s="72">
        <v>38</v>
      </c>
      <c r="T2636" s="72">
        <f>L2636*S2636</f>
        <v>1585.36</v>
      </c>
      <c r="U2636" s="72">
        <f>R2636-T2636</f>
        <v>2044.28</v>
      </c>
      <c r="V2636" s="72">
        <f>U2636*1</f>
        <v>2044.28</v>
      </c>
      <c r="W2636" s="72">
        <f>U2636-V2636</f>
        <v>0</v>
      </c>
      <c r="X2636" s="72">
        <f>L2636*36</f>
        <v>1501.92</v>
      </c>
      <c r="Y2636" s="73">
        <f>+T2636-X2636</f>
        <v>83.439999999999827</v>
      </c>
      <c r="Z2636" s="12" t="s">
        <v>140</v>
      </c>
      <c r="AA2636" s="12" t="s">
        <v>78</v>
      </c>
    </row>
    <row r="2637" spans="1:27" x14ac:dyDescent="0.25">
      <c r="A2637" s="10">
        <v>45695</v>
      </c>
      <c r="B2637" s="71">
        <v>3.7233796296296306E-2</v>
      </c>
      <c r="C2637" s="11" t="s">
        <v>5027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4439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2">
        <f>L2637*O2637</f>
        <v>3779.8199999999997</v>
      </c>
      <c r="S2637" s="72">
        <v>38</v>
      </c>
      <c r="T2637" s="72">
        <f>L2637*S2637</f>
        <v>1730.52</v>
      </c>
      <c r="U2637" s="72">
        <f>R2637-T2637</f>
        <v>2049.2999999999997</v>
      </c>
      <c r="V2637" s="72">
        <f>U2637*1</f>
        <v>2049.2999999999997</v>
      </c>
      <c r="W2637" s="72">
        <f>U2637-V2637</f>
        <v>0</v>
      </c>
      <c r="X2637" s="72">
        <f>L2637*37</f>
        <v>1684.98</v>
      </c>
      <c r="Y2637" s="73">
        <f>+T2637-X2637</f>
        <v>45.539999999999964</v>
      </c>
      <c r="Z2637" s="12" t="s">
        <v>41</v>
      </c>
      <c r="AA2637" s="12" t="s">
        <v>78</v>
      </c>
    </row>
    <row r="2638" spans="1:27" x14ac:dyDescent="0.25">
      <c r="A2638" s="10">
        <v>45695</v>
      </c>
      <c r="B2638" s="71">
        <v>8.356481481481437E-3</v>
      </c>
      <c r="C2638" s="11" t="s">
        <v>5028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35</v>
      </c>
      <c r="P2638" s="13"/>
      <c r="Q2638" s="13">
        <v>0</v>
      </c>
      <c r="R2638" s="72">
        <f>+L2638*O2638</f>
        <v>1451.8</v>
      </c>
      <c r="S2638" s="72">
        <v>0</v>
      </c>
      <c r="T2638" s="72">
        <f>+L2638*S2638</f>
        <v>0</v>
      </c>
      <c r="U2638" s="72">
        <f>+R2638-T2638</f>
        <v>1451.8</v>
      </c>
      <c r="V2638" s="72">
        <f t="shared" ref="V2638" si="471">+U2638*0</f>
        <v>0</v>
      </c>
      <c r="W2638" s="72">
        <f>+U2638-V2638</f>
        <v>1451.8</v>
      </c>
      <c r="X2638" s="72">
        <v>0</v>
      </c>
      <c r="Y2638" s="14">
        <f t="shared" ref="Y2638" si="472">T2638-X2638</f>
        <v>0</v>
      </c>
      <c r="Z2638" s="11" t="s">
        <v>26</v>
      </c>
      <c r="AA2638" s="12" t="s">
        <v>31</v>
      </c>
    </row>
    <row r="2639" spans="1:27" x14ac:dyDescent="0.25">
      <c r="A2639" s="10">
        <v>45695</v>
      </c>
      <c r="B2639" s="71">
        <v>2.3576388888888911E-2</v>
      </c>
      <c r="C2639" s="11" t="s">
        <v>5029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4439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2">
        <f>L2639*O2639</f>
        <v>3715.08</v>
      </c>
      <c r="S2639" s="72">
        <v>38</v>
      </c>
      <c r="T2639" s="72">
        <f>L2639*S2639</f>
        <v>1700.8799999999999</v>
      </c>
      <c r="U2639" s="72">
        <f>R2639-T2639</f>
        <v>2014.2</v>
      </c>
      <c r="V2639" s="72">
        <f>U2639*1</f>
        <v>2014.2</v>
      </c>
      <c r="W2639" s="72">
        <f>U2639-V2639</f>
        <v>0</v>
      </c>
      <c r="X2639" s="72">
        <f>L2639*37</f>
        <v>1656.12</v>
      </c>
      <c r="Y2639" s="73">
        <f>+T2639-X2639</f>
        <v>44.759999999999991</v>
      </c>
      <c r="Z2639" s="12" t="s">
        <v>41</v>
      </c>
      <c r="AA2639" s="12" t="s">
        <v>78</v>
      </c>
    </row>
    <row r="2640" spans="1:27" x14ac:dyDescent="0.25">
      <c r="A2640" s="10">
        <v>45695</v>
      </c>
      <c r="B2640" s="71">
        <v>5.8414351851851842E-2</v>
      </c>
      <c r="C2640" s="11" t="s">
        <v>5030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4440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2">
        <f>+L2640*O2640</f>
        <v>1475.9999999999998</v>
      </c>
      <c r="S2640" s="72">
        <v>0</v>
      </c>
      <c r="T2640" s="72">
        <f>+L2640*S2640</f>
        <v>0</v>
      </c>
      <c r="U2640" s="72">
        <f t="shared" ref="U2640" si="473">+R2640-T2640</f>
        <v>1475.9999999999998</v>
      </c>
      <c r="V2640" s="72">
        <f>+U2640*1</f>
        <v>1475.9999999999998</v>
      </c>
      <c r="W2640" s="72">
        <f t="shared" ref="W2640" si="474">+U2640-V2640</f>
        <v>0</v>
      </c>
      <c r="X2640" s="72">
        <v>0</v>
      </c>
      <c r="Y2640" s="14">
        <f t="shared" ref="Y2640:Y2646" si="475">T2640-X2640</f>
        <v>0</v>
      </c>
      <c r="Z2640" s="11" t="s">
        <v>26</v>
      </c>
      <c r="AA2640" s="12" t="s">
        <v>31</v>
      </c>
    </row>
    <row r="2641" spans="1:27" x14ac:dyDescent="0.25">
      <c r="A2641" s="10">
        <v>45695</v>
      </c>
      <c r="B2641" s="71">
        <v>3.2986111111111216E-2</v>
      </c>
      <c r="C2641" s="11" t="s">
        <v>5031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2">
        <f>M2641*P2641</f>
        <v>625</v>
      </c>
      <c r="S2641" s="72">
        <v>0</v>
      </c>
      <c r="T2641" s="72">
        <f>M2641*S2641</f>
        <v>0</v>
      </c>
      <c r="U2641" s="72">
        <f>R2641-T2641</f>
        <v>625</v>
      </c>
      <c r="V2641" s="72">
        <f>U2641*0</f>
        <v>0</v>
      </c>
      <c r="W2641" s="72">
        <f>U2641-V2641</f>
        <v>625</v>
      </c>
      <c r="X2641" s="72">
        <v>0</v>
      </c>
      <c r="Y2641" s="14">
        <f t="shared" si="475"/>
        <v>0</v>
      </c>
      <c r="Z2641" s="11" t="s">
        <v>26</v>
      </c>
      <c r="AA2641" s="12" t="s">
        <v>31</v>
      </c>
    </row>
    <row r="2642" spans="1:27" x14ac:dyDescent="0.25">
      <c r="A2642" s="10">
        <v>45695</v>
      </c>
      <c r="B2642" s="71">
        <v>6.87268518518519E-2</v>
      </c>
      <c r="C2642" s="11" t="s">
        <v>5032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4440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2">
        <f>+L2642*O2642</f>
        <v>1611.9</v>
      </c>
      <c r="S2642" s="72">
        <v>0</v>
      </c>
      <c r="T2642" s="72">
        <f>+L2642*S2642</f>
        <v>0</v>
      </c>
      <c r="U2642" s="72">
        <f t="shared" ref="U2642:U2643" si="476">+R2642-T2642</f>
        <v>1611.9</v>
      </c>
      <c r="V2642" s="72">
        <f>+U2642*1</f>
        <v>1611.9</v>
      </c>
      <c r="W2642" s="72">
        <f t="shared" ref="W2642:W2643" si="477">+U2642-V2642</f>
        <v>0</v>
      </c>
      <c r="X2642" s="72">
        <v>0</v>
      </c>
      <c r="Y2642" s="14">
        <f t="shared" si="475"/>
        <v>0</v>
      </c>
      <c r="Z2642" s="11" t="s">
        <v>26</v>
      </c>
      <c r="AA2642" s="12" t="s">
        <v>31</v>
      </c>
    </row>
    <row r="2643" spans="1:27" x14ac:dyDescent="0.25">
      <c r="A2643" s="10">
        <v>45695</v>
      </c>
      <c r="B2643" s="71">
        <v>5.9722222222221566E-3</v>
      </c>
      <c r="C2643" s="11" t="s">
        <v>5033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2">
        <f>(L2643*O2643)-Q2643</f>
        <v>302</v>
      </c>
      <c r="S2643" s="72">
        <v>0</v>
      </c>
      <c r="T2643" s="72">
        <f t="shared" ref="T2643" si="478">+L2643*S2643</f>
        <v>0</v>
      </c>
      <c r="U2643" s="72">
        <f t="shared" si="476"/>
        <v>302</v>
      </c>
      <c r="V2643" s="72">
        <f t="shared" ref="V2643" si="479">+U2643*0</f>
        <v>0</v>
      </c>
      <c r="W2643" s="72">
        <f t="shared" si="477"/>
        <v>302</v>
      </c>
      <c r="X2643" s="72">
        <v>0</v>
      </c>
      <c r="Y2643" s="14">
        <f t="shared" si="475"/>
        <v>0</v>
      </c>
      <c r="Z2643" s="11" t="s">
        <v>26</v>
      </c>
      <c r="AA2643" s="12" t="s">
        <v>31</v>
      </c>
    </row>
    <row r="2644" spans="1:27" x14ac:dyDescent="0.25">
      <c r="A2644" s="10">
        <v>45695</v>
      </c>
      <c r="B2644" s="71">
        <v>3.6655092592592586E-2</v>
      </c>
      <c r="C2644" s="11" t="s">
        <v>5034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2">
        <f>L2644*O2644</f>
        <v>1679.1999999999998</v>
      </c>
      <c r="S2644" s="72">
        <v>0</v>
      </c>
      <c r="T2644" s="72">
        <f>L2644*S2644</f>
        <v>0</v>
      </c>
      <c r="U2644" s="72">
        <f>R2644-T2644</f>
        <v>1679.1999999999998</v>
      </c>
      <c r="V2644" s="72">
        <f>U2644*0</f>
        <v>0</v>
      </c>
      <c r="W2644" s="72">
        <f>U2644-V2644</f>
        <v>1679.1999999999998</v>
      </c>
      <c r="X2644" s="72">
        <v>0</v>
      </c>
      <c r="Y2644" s="14">
        <f t="shared" si="475"/>
        <v>0</v>
      </c>
      <c r="Z2644" s="11" t="s">
        <v>26</v>
      </c>
      <c r="AA2644" s="12" t="s">
        <v>31</v>
      </c>
    </row>
    <row r="2645" spans="1:27" x14ac:dyDescent="0.25">
      <c r="A2645" s="10">
        <v>45695</v>
      </c>
      <c r="B2645" s="71">
        <v>1.244212962962965E-2</v>
      </c>
      <c r="C2645" s="11" t="s">
        <v>5035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1926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2">
        <f>M2645*P2645</f>
        <v>1350</v>
      </c>
      <c r="S2645" s="72">
        <v>0</v>
      </c>
      <c r="T2645" s="72">
        <f>M2645*S2645</f>
        <v>0</v>
      </c>
      <c r="U2645" s="72">
        <f>R2645-T2645</f>
        <v>1350</v>
      </c>
      <c r="V2645" s="72">
        <f>U2645*1</f>
        <v>1350</v>
      </c>
      <c r="W2645" s="72">
        <f>U2645-V2645</f>
        <v>0</v>
      </c>
      <c r="X2645" s="72">
        <v>0</v>
      </c>
      <c r="Y2645" s="14">
        <f t="shared" si="475"/>
        <v>0</v>
      </c>
      <c r="Z2645" s="11" t="s">
        <v>26</v>
      </c>
      <c r="AA2645" s="12" t="s">
        <v>31</v>
      </c>
    </row>
    <row r="2646" spans="1:27" x14ac:dyDescent="0.25">
      <c r="A2646" s="10">
        <v>45695</v>
      </c>
      <c r="B2646" s="71">
        <v>1.1064814814814805E-2</v>
      </c>
      <c r="C2646" s="11" t="s">
        <v>5036</v>
      </c>
      <c r="D2646" s="11">
        <v>17182</v>
      </c>
      <c r="E2646" s="11" t="s">
        <v>1217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2">
        <f>M2646*P2646</f>
        <v>1600</v>
      </c>
      <c r="S2646" s="72">
        <v>0</v>
      </c>
      <c r="T2646" s="72">
        <f>M2646*S2646</f>
        <v>0</v>
      </c>
      <c r="U2646" s="72">
        <f>R2646-T2646</f>
        <v>1600</v>
      </c>
      <c r="V2646" s="72">
        <f>U2646*0</f>
        <v>0</v>
      </c>
      <c r="W2646" s="72">
        <f>U2646-V2646</f>
        <v>1600</v>
      </c>
      <c r="X2646" s="72">
        <v>0</v>
      </c>
      <c r="Y2646" s="14">
        <f t="shared" si="475"/>
        <v>0</v>
      </c>
      <c r="Z2646" s="11" t="s">
        <v>26</v>
      </c>
      <c r="AA2646" s="12" t="s">
        <v>31</v>
      </c>
    </row>
    <row r="2647" spans="1:27" x14ac:dyDescent="0.25">
      <c r="A2647" s="10">
        <v>45695</v>
      </c>
      <c r="B2647" s="71">
        <v>1.7037037037037073E-2</v>
      </c>
      <c r="C2647" s="11" t="s">
        <v>5037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4441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2">
        <f>L2647*O2647</f>
        <v>2610</v>
      </c>
      <c r="S2647" s="72">
        <v>41</v>
      </c>
      <c r="T2647" s="72">
        <f>+L2647*S2647</f>
        <v>1189</v>
      </c>
      <c r="U2647" s="72">
        <f t="shared" ref="U2647" si="480">R2647-T2647</f>
        <v>1421</v>
      </c>
      <c r="V2647" s="72">
        <f>U2647*1</f>
        <v>1421</v>
      </c>
      <c r="W2647" s="72">
        <f t="shared" ref="W2647" si="481">U2647-V2647</f>
        <v>0</v>
      </c>
      <c r="X2647" s="16">
        <f>L2647*40</f>
        <v>1160</v>
      </c>
      <c r="Y2647" s="73">
        <f t="shared" ref="Y2647" si="482">+T2647-X2647</f>
        <v>29</v>
      </c>
      <c r="Z2647" s="12" t="s">
        <v>6345</v>
      </c>
      <c r="AA2647" s="12" t="s">
        <v>747</v>
      </c>
    </row>
    <row r="2648" spans="1:27" x14ac:dyDescent="0.25">
      <c r="A2648" s="10">
        <v>45695</v>
      </c>
      <c r="B2648" s="71">
        <v>1.142361111111112E-2</v>
      </c>
      <c r="C2648" s="11" t="s">
        <v>5038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2">
        <f>M2648*P2648</f>
        <v>1600</v>
      </c>
      <c r="S2648" s="72">
        <v>0</v>
      </c>
      <c r="T2648" s="72">
        <f>M2648*S2648</f>
        <v>0</v>
      </c>
      <c r="U2648" s="72">
        <f>+R2648-T2648</f>
        <v>1600</v>
      </c>
      <c r="V2648" s="72">
        <f t="shared" ref="V2648" si="483">+U2648*0</f>
        <v>0</v>
      </c>
      <c r="W2648" s="72">
        <f>+U2648-V2648</f>
        <v>1600</v>
      </c>
      <c r="X2648" s="72">
        <v>0</v>
      </c>
      <c r="Y2648" s="14">
        <f t="shared" ref="Y2648:Y2672" si="484">T2648-X2648</f>
        <v>0</v>
      </c>
      <c r="Z2648" s="11" t="s">
        <v>26</v>
      </c>
      <c r="AA2648" s="12" t="s">
        <v>31</v>
      </c>
    </row>
    <row r="2649" spans="1:27" x14ac:dyDescent="0.25">
      <c r="A2649" s="10">
        <v>45695</v>
      </c>
      <c r="B2649" s="71">
        <v>1.996527777777779E-2</v>
      </c>
      <c r="C2649" s="11" t="s">
        <v>5039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4463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2">
        <f t="shared" ref="R2649" si="485">+L2649*O2649</f>
        <v>1549.6799999999998</v>
      </c>
      <c r="S2649" s="72">
        <v>0</v>
      </c>
      <c r="T2649" s="72">
        <f>+L2649*S2649</f>
        <v>0</v>
      </c>
      <c r="U2649" s="72">
        <f>+R2649-T2649</f>
        <v>1549.6799999999998</v>
      </c>
      <c r="V2649" s="72">
        <f>+U2649*1</f>
        <v>1549.6799999999998</v>
      </c>
      <c r="W2649" s="72">
        <f>+U2649-V2649</f>
        <v>0</v>
      </c>
      <c r="X2649" s="72">
        <v>0</v>
      </c>
      <c r="Y2649" s="14">
        <f t="shared" si="484"/>
        <v>0</v>
      </c>
      <c r="Z2649" s="11" t="s">
        <v>26</v>
      </c>
      <c r="AA2649" s="12" t="s">
        <v>31</v>
      </c>
    </row>
    <row r="2650" spans="1:27" x14ac:dyDescent="0.25">
      <c r="A2650" s="10">
        <v>45695</v>
      </c>
      <c r="B2650" s="71">
        <v>1.6446759259259314E-2</v>
      </c>
      <c r="C2650" s="11" t="s">
        <v>5040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2">
        <f>+M2650*P2650</f>
        <v>600</v>
      </c>
      <c r="S2650" s="72">
        <v>0</v>
      </c>
      <c r="T2650" s="72">
        <f>+M2650*S2650</f>
        <v>0</v>
      </c>
      <c r="U2650" s="72">
        <f t="shared" ref="U2650:U2661" si="486">+R2650-T2650</f>
        <v>600</v>
      </c>
      <c r="V2650" s="72">
        <f>+U2650*0</f>
        <v>0</v>
      </c>
      <c r="W2650" s="72">
        <f t="shared" ref="W2650:W2661" si="487">+U2650-V2650</f>
        <v>600</v>
      </c>
      <c r="X2650" s="72">
        <v>0</v>
      </c>
      <c r="Y2650" s="14">
        <f t="shared" si="484"/>
        <v>0</v>
      </c>
      <c r="Z2650" s="11" t="s">
        <v>26</v>
      </c>
      <c r="AA2650" s="12" t="s">
        <v>31</v>
      </c>
    </row>
    <row r="2651" spans="1:27" x14ac:dyDescent="0.25">
      <c r="A2651" s="10">
        <v>45695</v>
      </c>
      <c r="B2651" s="71">
        <v>1.3055555555555598E-2</v>
      </c>
      <c r="C2651" s="11" t="s">
        <v>5041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4465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2">
        <f>+L2651*O2651</f>
        <v>558.29999999999995</v>
      </c>
      <c r="S2651" s="72">
        <v>0</v>
      </c>
      <c r="T2651" s="72">
        <f t="shared" ref="T2651:T2658" si="488">+L2651*S2651</f>
        <v>0</v>
      </c>
      <c r="U2651" s="72">
        <f t="shared" si="486"/>
        <v>558.29999999999995</v>
      </c>
      <c r="V2651" s="72">
        <f>+U2651*0.75</f>
        <v>418.72499999999997</v>
      </c>
      <c r="W2651" s="72">
        <f t="shared" si="487"/>
        <v>139.57499999999999</v>
      </c>
      <c r="X2651" s="72">
        <v>0</v>
      </c>
      <c r="Y2651" s="14">
        <f t="shared" si="484"/>
        <v>0</v>
      </c>
      <c r="Z2651" s="11" t="s">
        <v>26</v>
      </c>
      <c r="AA2651" s="12" t="s">
        <v>31</v>
      </c>
    </row>
    <row r="2652" spans="1:27" x14ac:dyDescent="0.25">
      <c r="A2652" s="10">
        <v>45695</v>
      </c>
      <c r="B2652" s="71">
        <v>1.1562500000000031E-2</v>
      </c>
      <c r="C2652" s="11" t="s">
        <v>5042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2">
        <f>+L2652*O2652</f>
        <v>1633.6000000000001</v>
      </c>
      <c r="S2652" s="72">
        <v>0</v>
      </c>
      <c r="T2652" s="72">
        <f t="shared" si="488"/>
        <v>0</v>
      </c>
      <c r="U2652" s="72">
        <f t="shared" si="486"/>
        <v>1633.6000000000001</v>
      </c>
      <c r="V2652" s="72">
        <f t="shared" ref="V2652:V2653" si="489">+U2652*0</f>
        <v>0</v>
      </c>
      <c r="W2652" s="72">
        <f t="shared" si="487"/>
        <v>1633.6000000000001</v>
      </c>
      <c r="X2652" s="72">
        <v>0</v>
      </c>
      <c r="Y2652" s="14">
        <f t="shared" si="484"/>
        <v>0</v>
      </c>
      <c r="Z2652" s="11" t="s">
        <v>26</v>
      </c>
      <c r="AA2652" s="12" t="s">
        <v>31</v>
      </c>
    </row>
    <row r="2653" spans="1:27" x14ac:dyDescent="0.25">
      <c r="A2653" s="10">
        <v>45695</v>
      </c>
      <c r="B2653" s="71">
        <v>1.3356481481481497E-2</v>
      </c>
      <c r="C2653" s="11" t="s">
        <v>5043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35</v>
      </c>
      <c r="P2653" s="13"/>
      <c r="Q2653" s="13">
        <v>0</v>
      </c>
      <c r="R2653" s="72">
        <f>+L2653*O2653</f>
        <v>1414</v>
      </c>
      <c r="S2653" s="72">
        <v>0</v>
      </c>
      <c r="T2653" s="72">
        <f t="shared" si="488"/>
        <v>0</v>
      </c>
      <c r="U2653" s="72">
        <f t="shared" si="486"/>
        <v>1414</v>
      </c>
      <c r="V2653" s="72">
        <f t="shared" si="489"/>
        <v>0</v>
      </c>
      <c r="W2653" s="72">
        <f t="shared" si="487"/>
        <v>1414</v>
      </c>
      <c r="X2653" s="72">
        <v>0</v>
      </c>
      <c r="Y2653" s="14">
        <f t="shared" si="484"/>
        <v>0</v>
      </c>
      <c r="Z2653" s="11" t="s">
        <v>26</v>
      </c>
      <c r="AA2653" s="12" t="s">
        <v>31</v>
      </c>
    </row>
    <row r="2654" spans="1:27" x14ac:dyDescent="0.25">
      <c r="A2654" s="10">
        <v>45695</v>
      </c>
      <c r="B2654" s="71">
        <v>3.2222222222222263E-2</v>
      </c>
      <c r="C2654" s="11" t="s">
        <v>5044</v>
      </c>
      <c r="D2654" s="11">
        <v>17190</v>
      </c>
      <c r="E2654" s="11" t="s">
        <v>2143</v>
      </c>
      <c r="F2654" s="11" t="s">
        <v>26</v>
      </c>
      <c r="G2654" s="11">
        <v>112238</v>
      </c>
      <c r="H2654" s="12" t="s">
        <v>4463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2">
        <f t="shared" ref="R2654" si="490">+L2654*O2654</f>
        <v>1529.4399999999998</v>
      </c>
      <c r="S2654" s="72">
        <v>0</v>
      </c>
      <c r="T2654" s="72">
        <f t="shared" si="488"/>
        <v>0</v>
      </c>
      <c r="U2654" s="72">
        <f t="shared" si="486"/>
        <v>1529.4399999999998</v>
      </c>
      <c r="V2654" s="72">
        <f>+U2654*1</f>
        <v>1529.4399999999998</v>
      </c>
      <c r="W2654" s="72">
        <f t="shared" si="487"/>
        <v>0</v>
      </c>
      <c r="X2654" s="72">
        <v>0</v>
      </c>
      <c r="Y2654" s="14">
        <f t="shared" si="484"/>
        <v>0</v>
      </c>
      <c r="Z2654" s="11" t="s">
        <v>26</v>
      </c>
      <c r="AA2654" s="12" t="s">
        <v>31</v>
      </c>
    </row>
    <row r="2655" spans="1:27" x14ac:dyDescent="0.25">
      <c r="A2655" s="10">
        <v>45695</v>
      </c>
      <c r="B2655" s="71">
        <v>1.2523148148148144E-2</v>
      </c>
      <c r="C2655" s="11" t="s">
        <v>5045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35</v>
      </c>
      <c r="P2655" s="13"/>
      <c r="Q2655" s="13">
        <v>0</v>
      </c>
      <c r="R2655" s="72">
        <f>+L2655*O2655</f>
        <v>1435</v>
      </c>
      <c r="S2655" s="72">
        <v>0</v>
      </c>
      <c r="T2655" s="72">
        <f t="shared" si="488"/>
        <v>0</v>
      </c>
      <c r="U2655" s="72">
        <f t="shared" si="486"/>
        <v>1435</v>
      </c>
      <c r="V2655" s="72">
        <f t="shared" ref="V2655" si="491">+U2655*0</f>
        <v>0</v>
      </c>
      <c r="W2655" s="72">
        <f t="shared" si="487"/>
        <v>1435</v>
      </c>
      <c r="X2655" s="72">
        <v>0</v>
      </c>
      <c r="Y2655" s="14">
        <f t="shared" si="484"/>
        <v>0</v>
      </c>
      <c r="Z2655" s="11" t="s">
        <v>26</v>
      </c>
      <c r="AA2655" s="12" t="s">
        <v>31</v>
      </c>
    </row>
    <row r="2656" spans="1:27" x14ac:dyDescent="0.25">
      <c r="A2656" s="10">
        <v>45695</v>
      </c>
      <c r="B2656" s="71">
        <v>1.9641203703703702E-2</v>
      </c>
      <c r="C2656" s="11" t="s">
        <v>5046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4465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2">
        <f>+L2656*O2656</f>
        <v>1772.2500000000002</v>
      </c>
      <c r="S2656" s="72">
        <v>0</v>
      </c>
      <c r="T2656" s="72">
        <f t="shared" si="488"/>
        <v>0</v>
      </c>
      <c r="U2656" s="72">
        <f t="shared" si="486"/>
        <v>1772.2500000000002</v>
      </c>
      <c r="V2656" s="72">
        <f>+U2656*0.75</f>
        <v>1329.1875000000002</v>
      </c>
      <c r="W2656" s="72">
        <f t="shared" si="487"/>
        <v>443.0625</v>
      </c>
      <c r="X2656" s="72">
        <v>0</v>
      </c>
      <c r="Y2656" s="14">
        <f t="shared" si="484"/>
        <v>0</v>
      </c>
      <c r="Z2656" s="11" t="s">
        <v>26</v>
      </c>
      <c r="AA2656" s="12" t="s">
        <v>31</v>
      </c>
    </row>
    <row r="2657" spans="1:27" x14ac:dyDescent="0.25">
      <c r="A2657" s="10">
        <v>45695</v>
      </c>
      <c r="B2657" s="71">
        <v>5.7037037037037108E-2</v>
      </c>
      <c r="C2657" s="11" t="s">
        <v>5047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4463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2">
        <f t="shared" ref="R2657" si="492">+L2657*O2657</f>
        <v>1501.28</v>
      </c>
      <c r="S2657" s="72">
        <v>0</v>
      </c>
      <c r="T2657" s="72">
        <f t="shared" si="488"/>
        <v>0</v>
      </c>
      <c r="U2657" s="72">
        <f t="shared" si="486"/>
        <v>1501.28</v>
      </c>
      <c r="V2657" s="72">
        <f>+U2657*1</f>
        <v>1501.28</v>
      </c>
      <c r="W2657" s="72">
        <f t="shared" si="487"/>
        <v>0</v>
      </c>
      <c r="X2657" s="72">
        <v>0</v>
      </c>
      <c r="Y2657" s="14">
        <f t="shared" si="484"/>
        <v>0</v>
      </c>
      <c r="Z2657" s="11" t="s">
        <v>26</v>
      </c>
      <c r="AA2657" s="12" t="s">
        <v>31</v>
      </c>
    </row>
    <row r="2658" spans="1:27" x14ac:dyDescent="0.25">
      <c r="A2658" s="10">
        <v>45695</v>
      </c>
      <c r="B2658" s="71">
        <v>2.0034722222222245E-2</v>
      </c>
      <c r="C2658" s="11" t="s">
        <v>5048</v>
      </c>
      <c r="D2658" s="11">
        <v>17194</v>
      </c>
      <c r="E2658" s="11" t="s">
        <v>5049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35</v>
      </c>
      <c r="P2658" s="13"/>
      <c r="Q2658" s="13">
        <v>0</v>
      </c>
      <c r="R2658" s="72">
        <f>+L2658*O2658</f>
        <v>1451.8</v>
      </c>
      <c r="S2658" s="72">
        <v>0</v>
      </c>
      <c r="T2658" s="72">
        <f t="shared" si="488"/>
        <v>0</v>
      </c>
      <c r="U2658" s="72">
        <f t="shared" si="486"/>
        <v>1451.8</v>
      </c>
      <c r="V2658" s="72">
        <f t="shared" ref="V2658:V2659" si="493">+U2658*0</f>
        <v>0</v>
      </c>
      <c r="W2658" s="72">
        <f t="shared" si="487"/>
        <v>1451.8</v>
      </c>
      <c r="X2658" s="72">
        <v>0</v>
      </c>
      <c r="Y2658" s="14">
        <f t="shared" si="484"/>
        <v>0</v>
      </c>
      <c r="Z2658" s="11" t="s">
        <v>26</v>
      </c>
      <c r="AA2658" s="12" t="s">
        <v>31</v>
      </c>
    </row>
    <row r="2659" spans="1:27" x14ac:dyDescent="0.25">
      <c r="A2659" s="10">
        <v>45695</v>
      </c>
      <c r="B2659" s="71">
        <v>0.16993055555555558</v>
      </c>
      <c r="C2659" s="11" t="s">
        <v>5050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2">
        <f>M2659*P2659</f>
        <v>1536</v>
      </c>
      <c r="S2659" s="72">
        <v>0</v>
      </c>
      <c r="T2659" s="72">
        <f>M2659*S2659</f>
        <v>0</v>
      </c>
      <c r="U2659" s="72">
        <f t="shared" si="486"/>
        <v>1536</v>
      </c>
      <c r="V2659" s="72">
        <f t="shared" si="493"/>
        <v>0</v>
      </c>
      <c r="W2659" s="72">
        <f t="shared" si="487"/>
        <v>1536</v>
      </c>
      <c r="X2659" s="72">
        <v>0</v>
      </c>
      <c r="Y2659" s="14">
        <f t="shared" si="484"/>
        <v>0</v>
      </c>
      <c r="Z2659" s="11" t="s">
        <v>26</v>
      </c>
      <c r="AA2659" s="12" t="s">
        <v>31</v>
      </c>
    </row>
    <row r="2660" spans="1:27" x14ac:dyDescent="0.25">
      <c r="A2660" s="10">
        <v>45695</v>
      </c>
      <c r="B2660" s="71">
        <v>7.3564814814814805E-2</v>
      </c>
      <c r="C2660" s="11" t="s">
        <v>5051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4440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2">
        <f t="shared" ref="R2660" si="495">+L2660*O2660</f>
        <v>1600.8</v>
      </c>
      <c r="S2660" s="72">
        <v>0</v>
      </c>
      <c r="T2660" s="72">
        <f t="shared" ref="T2660:T2661" si="496">+L2660*S2660</f>
        <v>0</v>
      </c>
      <c r="U2660" s="72">
        <f t="shared" si="486"/>
        <v>1600.8</v>
      </c>
      <c r="V2660" s="72">
        <f>+U2660*1</f>
        <v>1600.8</v>
      </c>
      <c r="W2660" s="72">
        <f t="shared" si="487"/>
        <v>0</v>
      </c>
      <c r="X2660" s="72">
        <v>0</v>
      </c>
      <c r="Y2660" s="14">
        <f t="shared" si="484"/>
        <v>0</v>
      </c>
      <c r="Z2660" s="11" t="s">
        <v>26</v>
      </c>
      <c r="AA2660" s="12" t="s">
        <v>31</v>
      </c>
    </row>
    <row r="2661" spans="1:27" x14ac:dyDescent="0.25">
      <c r="A2661" s="10">
        <v>45695</v>
      </c>
      <c r="B2661" s="71">
        <v>1.0787037037036984E-2</v>
      </c>
      <c r="C2661" s="11" t="s">
        <v>5052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2">
        <f>(L2661*O2661)-Q2661</f>
        <v>619.6</v>
      </c>
      <c r="S2661" s="72">
        <v>0</v>
      </c>
      <c r="T2661" s="72">
        <f t="shared" si="496"/>
        <v>0</v>
      </c>
      <c r="U2661" s="72">
        <f t="shared" si="486"/>
        <v>619.6</v>
      </c>
      <c r="V2661" s="72">
        <f t="shared" ref="V2661" si="497">+U2661*0</f>
        <v>0</v>
      </c>
      <c r="W2661" s="72">
        <f t="shared" si="487"/>
        <v>619.6</v>
      </c>
      <c r="X2661" s="72">
        <v>0</v>
      </c>
      <c r="Y2661" s="14">
        <f t="shared" si="484"/>
        <v>0</v>
      </c>
      <c r="Z2661" s="11" t="s">
        <v>26</v>
      </c>
      <c r="AA2661" s="12" t="s">
        <v>31</v>
      </c>
    </row>
    <row r="2662" spans="1:27" x14ac:dyDescent="0.25">
      <c r="A2662" s="10">
        <v>45695</v>
      </c>
      <c r="B2662" s="71">
        <v>1.6516203703703769E-2</v>
      </c>
      <c r="C2662" s="11" t="s">
        <v>5053</v>
      </c>
      <c r="D2662" s="11">
        <v>17198</v>
      </c>
      <c r="E2662" s="11" t="s">
        <v>3803</v>
      </c>
      <c r="F2662" s="11" t="s">
        <v>26</v>
      </c>
      <c r="G2662" s="11">
        <v>24337</v>
      </c>
      <c r="H2662" s="12" t="s">
        <v>4465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2">
        <f>+L2662*O2662</f>
        <v>569.4</v>
      </c>
      <c r="S2662" s="72">
        <v>0</v>
      </c>
      <c r="T2662" s="72">
        <f>+L2662*S2662</f>
        <v>0</v>
      </c>
      <c r="U2662" s="72">
        <f>+R2662-T2662</f>
        <v>569.4</v>
      </c>
      <c r="V2662" s="72">
        <f>+U2662*0.75</f>
        <v>427.04999999999995</v>
      </c>
      <c r="W2662" s="72">
        <f>+U2662-V2662</f>
        <v>142.35000000000002</v>
      </c>
      <c r="X2662" s="72">
        <v>0</v>
      </c>
      <c r="Y2662" s="14">
        <f t="shared" si="484"/>
        <v>0</v>
      </c>
      <c r="Z2662" s="11" t="s">
        <v>26</v>
      </c>
      <c r="AA2662" s="12" t="s">
        <v>31</v>
      </c>
    </row>
    <row r="2663" spans="1:27" x14ac:dyDescent="0.25">
      <c r="A2663" s="10">
        <v>45695</v>
      </c>
      <c r="B2663" s="71">
        <v>8.3217592592591538E-3</v>
      </c>
      <c r="C2663" s="11" t="s">
        <v>5054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2">
        <f>(L2663*O2663)-Q2663</f>
        <v>294.40000000000003</v>
      </c>
      <c r="S2663" s="72">
        <v>0</v>
      </c>
      <c r="T2663" s="72">
        <f t="shared" ref="T2663" si="498">+L2663*S2663</f>
        <v>0</v>
      </c>
      <c r="U2663" s="72">
        <f t="shared" ref="U2663:U2665" si="499">+R2663-T2663</f>
        <v>294.40000000000003</v>
      </c>
      <c r="V2663" s="72">
        <f t="shared" ref="V2663" si="500">+U2663*0</f>
        <v>0</v>
      </c>
      <c r="W2663" s="72">
        <f t="shared" ref="W2663:W2665" si="501">+U2663-V2663</f>
        <v>294.40000000000003</v>
      </c>
      <c r="X2663" s="72">
        <v>0</v>
      </c>
      <c r="Y2663" s="14">
        <f t="shared" si="484"/>
        <v>0</v>
      </c>
      <c r="Z2663" s="11" t="s">
        <v>26</v>
      </c>
      <c r="AA2663" s="12" t="s">
        <v>31</v>
      </c>
    </row>
    <row r="2664" spans="1:27" x14ac:dyDescent="0.25">
      <c r="A2664" s="10">
        <v>45695</v>
      </c>
      <c r="B2664" s="71">
        <v>9.2847222222222192E-2</v>
      </c>
      <c r="C2664" s="11" t="s">
        <v>5055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2">
        <f>M2664*P2664</f>
        <v>1440</v>
      </c>
      <c r="S2664" s="72">
        <v>0</v>
      </c>
      <c r="T2664" s="72">
        <f>M2664*S2664</f>
        <v>0</v>
      </c>
      <c r="U2664" s="72">
        <f t="shared" si="499"/>
        <v>1440</v>
      </c>
      <c r="V2664" s="72">
        <f>+U2664*0</f>
        <v>0</v>
      </c>
      <c r="W2664" s="72">
        <f t="shared" si="501"/>
        <v>1440</v>
      </c>
      <c r="X2664" s="72">
        <v>0</v>
      </c>
      <c r="Y2664" s="14">
        <f t="shared" si="484"/>
        <v>0</v>
      </c>
      <c r="Z2664" s="11" t="s">
        <v>26</v>
      </c>
      <c r="AA2664" s="12" t="s">
        <v>31</v>
      </c>
    </row>
    <row r="2665" spans="1:27" x14ac:dyDescent="0.25">
      <c r="A2665" s="10">
        <v>45695</v>
      </c>
      <c r="B2665" s="71">
        <v>6.0428240740740824E-2</v>
      </c>
      <c r="C2665" s="11" t="s">
        <v>5056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2">
        <f>+M2665*P2665</f>
        <v>528</v>
      </c>
      <c r="S2665" s="72">
        <v>0</v>
      </c>
      <c r="T2665" s="72">
        <f>+M2665*S2665</f>
        <v>0</v>
      </c>
      <c r="U2665" s="72">
        <f t="shared" si="499"/>
        <v>528</v>
      </c>
      <c r="V2665" s="72">
        <f>+U2665*0</f>
        <v>0</v>
      </c>
      <c r="W2665" s="72">
        <f t="shared" si="501"/>
        <v>528</v>
      </c>
      <c r="X2665" s="72">
        <v>0</v>
      </c>
      <c r="Y2665" s="14">
        <f t="shared" si="484"/>
        <v>0</v>
      </c>
      <c r="Z2665" s="11" t="s">
        <v>26</v>
      </c>
      <c r="AA2665" s="12" t="s">
        <v>31</v>
      </c>
    </row>
    <row r="2666" spans="1:27" x14ac:dyDescent="0.25">
      <c r="A2666" s="10">
        <v>45695</v>
      </c>
      <c r="B2666" s="71">
        <v>1.7986111111111036E-2</v>
      </c>
      <c r="C2666" s="11" t="s">
        <v>5057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35</v>
      </c>
      <c r="P2666" s="13"/>
      <c r="Q2666" s="13">
        <v>0</v>
      </c>
      <c r="R2666" s="72">
        <f>+L2666*O2666</f>
        <v>1459.5</v>
      </c>
      <c r="S2666" s="72">
        <v>0</v>
      </c>
      <c r="T2666" s="72">
        <f>+L2666*S2666</f>
        <v>0</v>
      </c>
      <c r="U2666" s="72">
        <f>+R2666-T2666</f>
        <v>1459.5</v>
      </c>
      <c r="V2666" s="72">
        <f t="shared" ref="V2666" si="502">+U2666*0</f>
        <v>0</v>
      </c>
      <c r="W2666" s="72">
        <f>+U2666-V2666</f>
        <v>1459.5</v>
      </c>
      <c r="X2666" s="72">
        <v>0</v>
      </c>
      <c r="Y2666" s="14">
        <f t="shared" si="484"/>
        <v>0</v>
      </c>
      <c r="Z2666" s="11" t="s">
        <v>26</v>
      </c>
      <c r="AA2666" s="12" t="s">
        <v>31</v>
      </c>
    </row>
    <row r="2667" spans="1:27" x14ac:dyDescent="0.25">
      <c r="A2667" s="10">
        <v>45695</v>
      </c>
      <c r="B2667" s="71">
        <v>3.4907407407407387E-2</v>
      </c>
      <c r="C2667" s="11" t="s">
        <v>5058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2">
        <f>M2667*P2667</f>
        <v>625</v>
      </c>
      <c r="S2667" s="72">
        <v>0</v>
      </c>
      <c r="T2667" s="72">
        <f>M2667*S2667</f>
        <v>0</v>
      </c>
      <c r="U2667" s="72">
        <f>R2667-T2667</f>
        <v>625</v>
      </c>
      <c r="V2667" s="72">
        <f>U2667*0</f>
        <v>0</v>
      </c>
      <c r="W2667" s="72">
        <f>U2667-V2667</f>
        <v>625</v>
      </c>
      <c r="X2667" s="72">
        <v>0</v>
      </c>
      <c r="Y2667" s="14">
        <f t="shared" si="484"/>
        <v>0</v>
      </c>
      <c r="Z2667" s="11" t="s">
        <v>26</v>
      </c>
      <c r="AA2667" s="12" t="s">
        <v>31</v>
      </c>
    </row>
    <row r="2668" spans="1:27" x14ac:dyDescent="0.25">
      <c r="A2668" s="10">
        <v>45695</v>
      </c>
      <c r="B2668" s="71">
        <v>8.4143518518517979E-3</v>
      </c>
      <c r="C2668" s="11" t="s">
        <v>5059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1926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2">
        <f>M2668*P2668</f>
        <v>1350</v>
      </c>
      <c r="S2668" s="72">
        <v>0</v>
      </c>
      <c r="T2668" s="72">
        <f>M2668*S2668</f>
        <v>0</v>
      </c>
      <c r="U2668" s="72">
        <f>R2668-T2668</f>
        <v>1350</v>
      </c>
      <c r="V2668" s="72">
        <f>U2668*1</f>
        <v>1350</v>
      </c>
      <c r="W2668" s="72">
        <f>U2668-V2668</f>
        <v>0</v>
      </c>
      <c r="X2668" s="72">
        <v>0</v>
      </c>
      <c r="Y2668" s="14">
        <f t="shared" si="484"/>
        <v>0</v>
      </c>
      <c r="Z2668" s="11" t="s">
        <v>26</v>
      </c>
      <c r="AA2668" s="12" t="s">
        <v>31</v>
      </c>
    </row>
    <row r="2669" spans="1:27" x14ac:dyDescent="0.25">
      <c r="A2669" s="10">
        <v>45695</v>
      </c>
      <c r="B2669" s="71">
        <v>0.12233796296296306</v>
      </c>
      <c r="C2669" s="11" t="s">
        <v>5060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2">
        <f>M2669*P2669</f>
        <v>1450</v>
      </c>
      <c r="S2669" s="72">
        <v>0</v>
      </c>
      <c r="T2669" s="72">
        <f>M2669*S2669</f>
        <v>0</v>
      </c>
      <c r="U2669" s="72">
        <f>R2669-T2669</f>
        <v>1450</v>
      </c>
      <c r="V2669" s="72">
        <f>U2669*0</f>
        <v>0</v>
      </c>
      <c r="W2669" s="72">
        <f>U2669-V2669</f>
        <v>1450</v>
      </c>
      <c r="X2669" s="72">
        <v>0</v>
      </c>
      <c r="Y2669" s="14">
        <f t="shared" si="484"/>
        <v>0</v>
      </c>
      <c r="Z2669" s="11" t="s">
        <v>26</v>
      </c>
      <c r="AA2669" s="12" t="s">
        <v>31</v>
      </c>
    </row>
    <row r="2670" spans="1:27" x14ac:dyDescent="0.25">
      <c r="A2670" s="10">
        <v>45695</v>
      </c>
      <c r="B2670" s="71">
        <v>2.8263888888888977E-2</v>
      </c>
      <c r="C2670" s="11" t="s">
        <v>5061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2">
        <f>L2670*O2670</f>
        <v>1696</v>
      </c>
      <c r="S2670" s="72">
        <v>0</v>
      </c>
      <c r="T2670" s="72">
        <f>L2670*S2670</f>
        <v>0</v>
      </c>
      <c r="U2670" s="72">
        <f>R2670-T2670</f>
        <v>1696</v>
      </c>
      <c r="V2670" s="72">
        <f>U2670*0</f>
        <v>0</v>
      </c>
      <c r="W2670" s="72">
        <f>U2670-V2670</f>
        <v>1696</v>
      </c>
      <c r="X2670" s="72">
        <v>0</v>
      </c>
      <c r="Y2670" s="14">
        <f t="shared" si="484"/>
        <v>0</v>
      </c>
      <c r="Z2670" s="11" t="s">
        <v>26</v>
      </c>
      <c r="AA2670" s="12" t="s">
        <v>31</v>
      </c>
    </row>
    <row r="2671" spans="1:27" x14ac:dyDescent="0.25">
      <c r="A2671" s="10">
        <v>45695</v>
      </c>
      <c r="B2671" s="71">
        <v>1.6261574074074137E-2</v>
      </c>
      <c r="C2671" s="11" t="s">
        <v>5062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4465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2">
        <f>+L2671*O2671</f>
        <v>1751.0000000000002</v>
      </c>
      <c r="S2671" s="72">
        <v>0</v>
      </c>
      <c r="T2671" s="72">
        <f>+L2671*S2671</f>
        <v>0</v>
      </c>
      <c r="U2671" s="72">
        <f>+R2671-T2671</f>
        <v>1751.0000000000002</v>
      </c>
      <c r="V2671" s="72">
        <f>+U2671*0.75</f>
        <v>1313.2500000000002</v>
      </c>
      <c r="W2671" s="72">
        <f>+U2671-V2671</f>
        <v>437.75</v>
      </c>
      <c r="X2671" s="72">
        <v>0</v>
      </c>
      <c r="Y2671" s="14">
        <f t="shared" si="484"/>
        <v>0</v>
      </c>
      <c r="Z2671" s="11" t="s">
        <v>26</v>
      </c>
      <c r="AA2671" s="12" t="s">
        <v>31</v>
      </c>
    </row>
    <row r="2672" spans="1:27" x14ac:dyDescent="0.25">
      <c r="A2672" s="10">
        <v>45695</v>
      </c>
      <c r="B2672" s="71">
        <v>0.11878472222222225</v>
      </c>
      <c r="C2672" s="11" t="s">
        <v>5063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4440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2">
        <f t="shared" ref="R2672" si="503">+L2672*O2672</f>
        <v>1514.52</v>
      </c>
      <c r="S2672" s="72">
        <v>0</v>
      </c>
      <c r="T2672" s="72">
        <f t="shared" ref="T2672" si="504">+L2672*S2672</f>
        <v>0</v>
      </c>
      <c r="U2672" s="72">
        <f t="shared" ref="U2672" si="505">+R2672-T2672</f>
        <v>1514.52</v>
      </c>
      <c r="V2672" s="72">
        <f>+U2672*1</f>
        <v>1514.52</v>
      </c>
      <c r="W2672" s="72">
        <f t="shared" ref="W2672" si="506">+U2672-V2672</f>
        <v>0</v>
      </c>
      <c r="X2672" s="72">
        <v>0</v>
      </c>
      <c r="Y2672" s="14">
        <f t="shared" si="484"/>
        <v>0</v>
      </c>
      <c r="Z2672" s="11" t="s">
        <v>26</v>
      </c>
      <c r="AA2672" s="12" t="s">
        <v>31</v>
      </c>
    </row>
    <row r="2673" spans="1:27" x14ac:dyDescent="0.25">
      <c r="A2673" s="10">
        <v>45695</v>
      </c>
      <c r="B2673" s="71">
        <v>4.6226851851851714E-2</v>
      </c>
      <c r="C2673" s="11" t="s">
        <v>5064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4441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2">
        <f>L2673*O2673</f>
        <v>2525.4</v>
      </c>
      <c r="S2673" s="72">
        <v>41</v>
      </c>
      <c r="T2673" s="72">
        <f>+L2673*S2673</f>
        <v>1150.46</v>
      </c>
      <c r="U2673" s="72">
        <f t="shared" ref="U2673" si="507">R2673-T2673</f>
        <v>1374.94</v>
      </c>
      <c r="V2673" s="72">
        <f>U2673*1</f>
        <v>1374.94</v>
      </c>
      <c r="W2673" s="72">
        <f t="shared" ref="W2673" si="508">U2673-V2673</f>
        <v>0</v>
      </c>
      <c r="X2673" s="16">
        <f>L2673*40</f>
        <v>1122.3999999999999</v>
      </c>
      <c r="Y2673" s="73">
        <f t="shared" ref="Y2673" si="509">+T2673-X2673</f>
        <v>28.060000000000173</v>
      </c>
      <c r="Z2673" s="12" t="s">
        <v>6345</v>
      </c>
      <c r="AA2673" s="12" t="s">
        <v>747</v>
      </c>
    </row>
    <row r="2674" spans="1:27" x14ac:dyDescent="0.25">
      <c r="A2674" s="10">
        <v>45695</v>
      </c>
      <c r="B2674" s="71">
        <v>1.7141203703703756E-2</v>
      </c>
      <c r="C2674" s="11" t="s">
        <v>5065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2">
        <f>(L2674*O2674)-Q2674</f>
        <v>638.40000000000009</v>
      </c>
      <c r="S2674" s="72">
        <v>0</v>
      </c>
      <c r="T2674" s="72">
        <f t="shared" ref="T2674" si="510">+L2674*S2674</f>
        <v>0</v>
      </c>
      <c r="U2674" s="72">
        <f t="shared" ref="U2674:U2675" si="511">+R2674-T2674</f>
        <v>638.40000000000009</v>
      </c>
      <c r="V2674" s="72">
        <f t="shared" ref="V2674" si="512">+U2674*0</f>
        <v>0</v>
      </c>
      <c r="W2674" s="72">
        <f t="shared" ref="W2674:W2675" si="513">+U2674-V2674</f>
        <v>638.40000000000009</v>
      </c>
      <c r="X2674" s="72">
        <v>0</v>
      </c>
      <c r="Y2674" s="14">
        <f t="shared" ref="Y2674:Y2676" si="514">T2674-X2674</f>
        <v>0</v>
      </c>
      <c r="Z2674" s="11" t="s">
        <v>26</v>
      </c>
      <c r="AA2674" s="12" t="s">
        <v>31</v>
      </c>
    </row>
    <row r="2675" spans="1:27" x14ac:dyDescent="0.25">
      <c r="A2675" s="10">
        <v>45695</v>
      </c>
      <c r="B2675" s="71">
        <v>0.15423611111111124</v>
      </c>
      <c r="C2675" s="11" t="s">
        <v>5066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2">
        <f>M2675*P2675</f>
        <v>1440</v>
      </c>
      <c r="S2675" s="72">
        <v>0</v>
      </c>
      <c r="T2675" s="72">
        <f>M2675*S2675</f>
        <v>0</v>
      </c>
      <c r="U2675" s="72">
        <f t="shared" si="511"/>
        <v>1440</v>
      </c>
      <c r="V2675" s="72">
        <f>+U2675*0</f>
        <v>0</v>
      </c>
      <c r="W2675" s="72">
        <f t="shared" si="513"/>
        <v>1440</v>
      </c>
      <c r="X2675" s="72">
        <v>0</v>
      </c>
      <c r="Y2675" s="14">
        <f t="shared" si="514"/>
        <v>0</v>
      </c>
      <c r="Z2675" s="11" t="s">
        <v>26</v>
      </c>
      <c r="AA2675" s="12" t="s">
        <v>31</v>
      </c>
    </row>
    <row r="2676" spans="1:27" x14ac:dyDescent="0.25">
      <c r="A2676" s="10">
        <v>45696</v>
      </c>
      <c r="B2676" s="71">
        <v>3.4907407407407387E-2</v>
      </c>
      <c r="C2676" s="11" t="s">
        <v>5067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2">
        <f>M2676*P2676</f>
        <v>1450</v>
      </c>
      <c r="S2676" s="72">
        <v>0</v>
      </c>
      <c r="T2676" s="72">
        <f>M2676*S2676</f>
        <v>0</v>
      </c>
      <c r="U2676" s="72">
        <f>R2676-T2676</f>
        <v>1450</v>
      </c>
      <c r="V2676" s="72">
        <f>U2676*0</f>
        <v>0</v>
      </c>
      <c r="W2676" s="72">
        <f>U2676-V2676</f>
        <v>1450</v>
      </c>
      <c r="X2676" s="72">
        <v>0</v>
      </c>
      <c r="Y2676" s="14">
        <f t="shared" si="514"/>
        <v>0</v>
      </c>
      <c r="Z2676" s="11" t="s">
        <v>26</v>
      </c>
      <c r="AA2676" s="12" t="s">
        <v>31</v>
      </c>
    </row>
    <row r="2677" spans="1:27" x14ac:dyDescent="0.25">
      <c r="A2677" s="10">
        <v>45696</v>
      </c>
      <c r="B2677" s="71">
        <v>1.1030092592592577E-2</v>
      </c>
      <c r="C2677" s="11" t="s">
        <v>5068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4439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2">
        <f>L2677*O2677</f>
        <v>3562.36</v>
      </c>
      <c r="S2677" s="72">
        <v>38</v>
      </c>
      <c r="T2677" s="72">
        <f>L2677*S2677</f>
        <v>1630.96</v>
      </c>
      <c r="U2677" s="72">
        <f>R2677-T2677</f>
        <v>1931.4</v>
      </c>
      <c r="V2677" s="72">
        <f>U2677*1</f>
        <v>1931.4</v>
      </c>
      <c r="W2677" s="72">
        <f>U2677-V2677</f>
        <v>0</v>
      </c>
      <c r="X2677" s="72">
        <f>L2677*36</f>
        <v>1545.1200000000001</v>
      </c>
      <c r="Y2677" s="73">
        <f>+T2677-X2677</f>
        <v>85.839999999999918</v>
      </c>
      <c r="Z2677" s="12" t="s">
        <v>141</v>
      </c>
      <c r="AA2677" s="12" t="s">
        <v>78</v>
      </c>
    </row>
    <row r="2678" spans="1:27" x14ac:dyDescent="0.25">
      <c r="A2678" s="10">
        <v>45696</v>
      </c>
      <c r="B2678" s="71">
        <v>1.8055555555555547E-2</v>
      </c>
      <c r="C2678" s="11" t="s">
        <v>5069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4463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2">
        <f t="shared" ref="R2678" si="515">+L2678*O2678</f>
        <v>1496</v>
      </c>
      <c r="S2678" s="72">
        <v>0</v>
      </c>
      <c r="T2678" s="72">
        <f>+L2678*S2678</f>
        <v>0</v>
      </c>
      <c r="U2678" s="72">
        <f>+R2678-T2678</f>
        <v>1496</v>
      </c>
      <c r="V2678" s="72">
        <f>+U2678*1</f>
        <v>1496</v>
      </c>
      <c r="W2678" s="72">
        <f>+U2678-V2678</f>
        <v>0</v>
      </c>
      <c r="X2678" s="72">
        <v>0</v>
      </c>
      <c r="Y2678" s="14">
        <f t="shared" ref="Y2678" si="516">T2678-X2678</f>
        <v>0</v>
      </c>
      <c r="Z2678" s="11" t="s">
        <v>26</v>
      </c>
      <c r="AA2678" s="12" t="s">
        <v>31</v>
      </c>
    </row>
    <row r="2679" spans="1:27" x14ac:dyDescent="0.25">
      <c r="A2679" s="10">
        <v>45696</v>
      </c>
      <c r="B2679" s="71">
        <v>1.7824074074074103E-2</v>
      </c>
      <c r="C2679" s="11" t="s">
        <v>5070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4439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2">
        <f>L2679*O2679</f>
        <v>3368.64</v>
      </c>
      <c r="S2679" s="72">
        <v>38</v>
      </c>
      <c r="T2679" s="72">
        <f>L2679*S2679</f>
        <v>1471.36</v>
      </c>
      <c r="U2679" s="72">
        <f>R2679-T2679</f>
        <v>1897.28</v>
      </c>
      <c r="V2679" s="72">
        <f>U2679*1</f>
        <v>1897.28</v>
      </c>
      <c r="W2679" s="72">
        <f>U2679-V2679</f>
        <v>0</v>
      </c>
      <c r="X2679" s="72">
        <f>L2679*36</f>
        <v>1393.92</v>
      </c>
      <c r="Y2679" s="73">
        <f>+T2679-X2679</f>
        <v>77.439999999999827</v>
      </c>
      <c r="Z2679" s="12" t="s">
        <v>141</v>
      </c>
      <c r="AA2679" s="12" t="s">
        <v>78</v>
      </c>
    </row>
    <row r="2680" spans="1:27" x14ac:dyDescent="0.25">
      <c r="A2680" s="10">
        <v>45696</v>
      </c>
      <c r="B2680" s="71">
        <v>2.2222222222222254E-2</v>
      </c>
      <c r="C2680" s="11" t="s">
        <v>5071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2">
        <f>L2680*O2680</f>
        <v>1625.6</v>
      </c>
      <c r="S2680" s="72">
        <v>0</v>
      </c>
      <c r="T2680" s="72">
        <f>L2680*S2680</f>
        <v>0</v>
      </c>
      <c r="U2680" s="72">
        <f>R2680-T2680</f>
        <v>1625.6</v>
      </c>
      <c r="V2680" s="72">
        <f>U2680*0</f>
        <v>0</v>
      </c>
      <c r="W2680" s="72">
        <f>U2680-V2680</f>
        <v>1625.6</v>
      </c>
      <c r="X2680" s="72">
        <v>0</v>
      </c>
      <c r="Y2680" s="14">
        <f t="shared" ref="Y2680" si="517">T2680-X2680</f>
        <v>0</v>
      </c>
      <c r="Z2680" s="11" t="s">
        <v>26</v>
      </c>
      <c r="AA2680" s="12" t="s">
        <v>31</v>
      </c>
    </row>
    <row r="2681" spans="1:27" x14ac:dyDescent="0.25">
      <c r="A2681" s="10">
        <v>45696</v>
      </c>
      <c r="B2681" s="71">
        <v>2.7974537037037006E-2</v>
      </c>
      <c r="C2681" s="11" t="s">
        <v>5072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4439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2">
        <f>L2681*O2681</f>
        <v>3345.6</v>
      </c>
      <c r="S2681" s="72">
        <v>38</v>
      </c>
      <c r="T2681" s="72">
        <f>L2681*S2681</f>
        <v>1495.68</v>
      </c>
      <c r="U2681" s="72">
        <f>R2681-T2681</f>
        <v>1849.9199999999998</v>
      </c>
      <c r="V2681" s="72">
        <f>U2681*1</f>
        <v>1849.9199999999998</v>
      </c>
      <c r="W2681" s="72">
        <f>U2681-V2681</f>
        <v>0</v>
      </c>
      <c r="X2681" s="72">
        <f>L2681*36</f>
        <v>1416.96</v>
      </c>
      <c r="Y2681" s="73">
        <f>+T2681-X2681</f>
        <v>78.720000000000027</v>
      </c>
      <c r="Z2681" s="12" t="s">
        <v>140</v>
      </c>
      <c r="AA2681" s="12" t="s">
        <v>78</v>
      </c>
    </row>
    <row r="2682" spans="1:27" x14ac:dyDescent="0.25">
      <c r="A2682" s="10">
        <v>45696</v>
      </c>
      <c r="B2682" s="71">
        <v>2.6319444444444451E-2</v>
      </c>
      <c r="C2682" s="11" t="s">
        <v>5073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4439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2">
        <f>L2682*O2682</f>
        <v>3306.5</v>
      </c>
      <c r="S2682" s="72">
        <v>38</v>
      </c>
      <c r="T2682" s="72">
        <f>L2682*S2682</f>
        <v>1478.2</v>
      </c>
      <c r="U2682" s="72">
        <f>R2682-T2682</f>
        <v>1828.3</v>
      </c>
      <c r="V2682" s="72">
        <f>U2682*1</f>
        <v>1828.3</v>
      </c>
      <c r="W2682" s="72">
        <f>U2682-V2682</f>
        <v>0</v>
      </c>
      <c r="X2682" s="74">
        <f>L2682*36</f>
        <v>1400.3999999999999</v>
      </c>
      <c r="Y2682" s="73">
        <f>+T2682-X2682</f>
        <v>77.800000000000182</v>
      </c>
      <c r="Z2682" s="12" t="s">
        <v>6345</v>
      </c>
      <c r="AA2682" s="12" t="s">
        <v>78</v>
      </c>
    </row>
    <row r="2683" spans="1:27" x14ac:dyDescent="0.25">
      <c r="A2683" s="10">
        <v>45696</v>
      </c>
      <c r="B2683" s="71">
        <v>3.1018518518518501E-2</v>
      </c>
      <c r="C2683" s="11" t="s">
        <v>5074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4465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2">
        <f>+L2683*O2683</f>
        <v>1720.3999999999999</v>
      </c>
      <c r="S2683" s="72">
        <v>0</v>
      </c>
      <c r="T2683" s="72">
        <f>+L2683*S2683</f>
        <v>0</v>
      </c>
      <c r="U2683" s="72">
        <f>+R2683-T2683</f>
        <v>1720.3999999999999</v>
      </c>
      <c r="V2683" s="72">
        <f>+U2683*0.75</f>
        <v>1290.3</v>
      </c>
      <c r="W2683" s="72">
        <f>+U2683-V2683</f>
        <v>430.09999999999991</v>
      </c>
      <c r="X2683" s="72">
        <v>0</v>
      </c>
      <c r="Y2683" s="14">
        <f t="shared" ref="Y2683:Y2684" si="518">T2683-X2683</f>
        <v>0</v>
      </c>
      <c r="Z2683" s="11" t="s">
        <v>26</v>
      </c>
      <c r="AA2683" s="12" t="s">
        <v>31</v>
      </c>
    </row>
    <row r="2684" spans="1:27" x14ac:dyDescent="0.25">
      <c r="A2684" s="10">
        <v>45696</v>
      </c>
      <c r="B2684" s="71">
        <v>3.3310185185185193E-2</v>
      </c>
      <c r="C2684" s="11" t="s">
        <v>5075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4465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2">
        <f>+L2684*O2684</f>
        <v>1641.35</v>
      </c>
      <c r="S2684" s="72">
        <v>0</v>
      </c>
      <c r="T2684" s="72">
        <f>+L2684*S2684</f>
        <v>0</v>
      </c>
      <c r="U2684" s="72">
        <f>+R2684-T2684</f>
        <v>1641.35</v>
      </c>
      <c r="V2684" s="72">
        <f>+U2684*0.75</f>
        <v>1231.0124999999998</v>
      </c>
      <c r="W2684" s="72">
        <f>+U2684-V2684</f>
        <v>410.33750000000009</v>
      </c>
      <c r="X2684" s="72">
        <v>0</v>
      </c>
      <c r="Y2684" s="14">
        <f t="shared" si="518"/>
        <v>0</v>
      </c>
      <c r="Z2684" s="11" t="s">
        <v>26</v>
      </c>
      <c r="AA2684" s="12" t="s">
        <v>31</v>
      </c>
    </row>
    <row r="2685" spans="1:27" x14ac:dyDescent="0.25">
      <c r="A2685" s="10">
        <v>45696</v>
      </c>
      <c r="B2685" s="71">
        <v>3.645833333333337E-2</v>
      </c>
      <c r="C2685" s="11" t="s">
        <v>5076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4439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2">
        <f>L2685*O2685</f>
        <v>3353.2</v>
      </c>
      <c r="S2685" s="72">
        <v>38</v>
      </c>
      <c r="T2685" s="72">
        <f>L2685*S2685</f>
        <v>1535.2</v>
      </c>
      <c r="U2685" s="72">
        <f>R2685-T2685</f>
        <v>1817.9999999999998</v>
      </c>
      <c r="V2685" s="72">
        <f>U2685*1</f>
        <v>1817.9999999999998</v>
      </c>
      <c r="W2685" s="72">
        <f>U2685-V2685</f>
        <v>0</v>
      </c>
      <c r="X2685" s="72">
        <f>L2685*36</f>
        <v>1454.3999999999999</v>
      </c>
      <c r="Y2685" s="73">
        <f>+T2685-X2685</f>
        <v>80.800000000000182</v>
      </c>
      <c r="Z2685" s="12" t="s">
        <v>141</v>
      </c>
      <c r="AA2685" s="12" t="s">
        <v>78</v>
      </c>
    </row>
    <row r="2686" spans="1:27" x14ac:dyDescent="0.25">
      <c r="A2686" s="10">
        <v>45696</v>
      </c>
      <c r="B2686" s="71">
        <v>2.3923611111111076E-2</v>
      </c>
      <c r="C2686" s="11" t="s">
        <v>5077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4465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2">
        <f>+L2686*O2686</f>
        <v>517.80000000000007</v>
      </c>
      <c r="S2686" s="72">
        <v>0</v>
      </c>
      <c r="T2686" s="72">
        <f>+L2686*S2686</f>
        <v>0</v>
      </c>
      <c r="U2686" s="72">
        <f>+R2686-T2686</f>
        <v>517.80000000000007</v>
      </c>
      <c r="V2686" s="72">
        <f>+U2686*0.75</f>
        <v>388.35</v>
      </c>
      <c r="W2686" s="72">
        <f>+U2686-V2686</f>
        <v>129.45000000000005</v>
      </c>
      <c r="X2686" s="72">
        <v>0</v>
      </c>
      <c r="Y2686" s="14">
        <f t="shared" ref="Y2686" si="519">T2686-X2686</f>
        <v>0</v>
      </c>
      <c r="Z2686" s="11" t="s">
        <v>26</v>
      </c>
      <c r="AA2686" s="12" t="s">
        <v>31</v>
      </c>
    </row>
    <row r="2687" spans="1:27" x14ac:dyDescent="0.25">
      <c r="A2687" s="10">
        <v>45696</v>
      </c>
      <c r="B2687" s="71">
        <v>2.2847222222222241E-2</v>
      </c>
      <c r="C2687" s="11" t="s">
        <v>5078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4439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2">
        <f>L2687*O2687</f>
        <v>3321.6600000000003</v>
      </c>
      <c r="S2687" s="72">
        <v>38</v>
      </c>
      <c r="T2687" s="72">
        <f>L2687*S2687</f>
        <v>1520.7600000000002</v>
      </c>
      <c r="U2687" s="72">
        <f>R2687-T2687</f>
        <v>1800.9</v>
      </c>
      <c r="V2687" s="72">
        <f>U2687*1</f>
        <v>1800.9</v>
      </c>
      <c r="W2687" s="72">
        <f>U2687-V2687</f>
        <v>0</v>
      </c>
      <c r="X2687" s="72">
        <f>L2687*36</f>
        <v>1440.72</v>
      </c>
      <c r="Y2687" s="73">
        <f>+T2687-X2687</f>
        <v>80.040000000000191</v>
      </c>
      <c r="Z2687" s="12" t="s">
        <v>141</v>
      </c>
      <c r="AA2687" s="12" t="s">
        <v>78</v>
      </c>
    </row>
    <row r="2688" spans="1:27" x14ac:dyDescent="0.25">
      <c r="A2688" s="10">
        <v>45696</v>
      </c>
      <c r="B2688" s="71">
        <v>2.9143518518518541E-2</v>
      </c>
      <c r="C2688" s="11" t="s">
        <v>5079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2">
        <f>+M2688*P2688</f>
        <v>600</v>
      </c>
      <c r="S2688" s="72">
        <v>0</v>
      </c>
      <c r="T2688" s="72">
        <f>+M2688*S2688</f>
        <v>0</v>
      </c>
      <c r="U2688" s="72">
        <f t="shared" ref="U2688" si="520">+R2688-T2688</f>
        <v>600</v>
      </c>
      <c r="V2688" s="72">
        <f>+U2688*0</f>
        <v>0</v>
      </c>
      <c r="W2688" s="72">
        <f t="shared" ref="W2688" si="521">+U2688-V2688</f>
        <v>600</v>
      </c>
      <c r="X2688" s="72">
        <v>0</v>
      </c>
      <c r="Y2688" s="14">
        <f t="shared" ref="Y2688:Y2690" si="522">T2688-X2688</f>
        <v>0</v>
      </c>
      <c r="Z2688" s="11" t="s">
        <v>26</v>
      </c>
      <c r="AA2688" s="12" t="s">
        <v>31</v>
      </c>
    </row>
    <row r="2689" spans="1:27" x14ac:dyDescent="0.25">
      <c r="A2689" s="10">
        <v>45696</v>
      </c>
      <c r="B2689" s="71">
        <v>2.2094907407407438E-2</v>
      </c>
      <c r="C2689" s="11" t="s">
        <v>5080</v>
      </c>
      <c r="D2689" s="11">
        <v>17225</v>
      </c>
      <c r="E2689" s="11" t="s">
        <v>1217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2">
        <f>M2689*P2689</f>
        <v>1600</v>
      </c>
      <c r="S2689" s="72">
        <v>0</v>
      </c>
      <c r="T2689" s="72">
        <f>M2689*S2689</f>
        <v>0</v>
      </c>
      <c r="U2689" s="72">
        <f>R2689-T2689</f>
        <v>1600</v>
      </c>
      <c r="V2689" s="72">
        <f>U2689*0</f>
        <v>0</v>
      </c>
      <c r="W2689" s="72">
        <f>U2689-V2689</f>
        <v>1600</v>
      </c>
      <c r="X2689" s="72">
        <v>0</v>
      </c>
      <c r="Y2689" s="14">
        <f t="shared" si="522"/>
        <v>0</v>
      </c>
      <c r="Z2689" s="11" t="s">
        <v>26</v>
      </c>
      <c r="AA2689" s="12" t="s">
        <v>31</v>
      </c>
    </row>
    <row r="2690" spans="1:27" x14ac:dyDescent="0.25">
      <c r="A2690" s="10">
        <v>45696</v>
      </c>
      <c r="B2690" s="71">
        <v>2.5127314814814783E-2</v>
      </c>
      <c r="C2690" s="11" t="s">
        <v>5081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4465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2">
        <f>+L2690*O2690</f>
        <v>535.5</v>
      </c>
      <c r="S2690" s="72">
        <v>0</v>
      </c>
      <c r="T2690" s="72">
        <f>+L2690*S2690</f>
        <v>0</v>
      </c>
      <c r="U2690" s="72">
        <f>+R2690-T2690</f>
        <v>535.5</v>
      </c>
      <c r="V2690" s="72">
        <f>+U2690*0.75</f>
        <v>401.625</v>
      </c>
      <c r="W2690" s="72">
        <f>+U2690-V2690</f>
        <v>133.875</v>
      </c>
      <c r="X2690" s="72">
        <v>0</v>
      </c>
      <c r="Y2690" s="14">
        <f t="shared" si="522"/>
        <v>0</v>
      </c>
      <c r="Z2690" s="11" t="s">
        <v>26</v>
      </c>
      <c r="AA2690" s="12" t="s">
        <v>31</v>
      </c>
    </row>
    <row r="2691" spans="1:27" x14ac:dyDescent="0.25">
      <c r="A2691" s="10">
        <v>45696</v>
      </c>
      <c r="B2691" s="71">
        <v>2.3553240740740777E-2</v>
      </c>
      <c r="C2691" s="11" t="s">
        <v>5082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4439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2">
        <f>L2691*O2691</f>
        <v>3437.86</v>
      </c>
      <c r="S2691" s="72">
        <v>38</v>
      </c>
      <c r="T2691" s="72">
        <f>L2691*S2691</f>
        <v>1573.96</v>
      </c>
      <c r="U2691" s="72">
        <f>R2691-T2691</f>
        <v>1863.9</v>
      </c>
      <c r="V2691" s="72">
        <f>U2691*1</f>
        <v>1863.9</v>
      </c>
      <c r="W2691" s="72">
        <f>U2691-V2691</f>
        <v>0</v>
      </c>
      <c r="X2691" s="72">
        <f>L2691*36</f>
        <v>1491.1200000000001</v>
      </c>
      <c r="Y2691" s="73">
        <f>+T2691-X2691</f>
        <v>82.839999999999918</v>
      </c>
      <c r="Z2691" s="12" t="s">
        <v>140</v>
      </c>
      <c r="AA2691" s="12" t="s">
        <v>78</v>
      </c>
    </row>
    <row r="2692" spans="1:27" x14ac:dyDescent="0.25">
      <c r="A2692" s="10">
        <v>45696</v>
      </c>
      <c r="B2692" s="71">
        <v>2.7789351851851885E-2</v>
      </c>
      <c r="C2692" s="11" t="s">
        <v>5083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2">
        <f>+M2692*P2692</f>
        <v>552</v>
      </c>
      <c r="S2692" s="72">
        <v>0</v>
      </c>
      <c r="T2692" s="72">
        <f>+M2692*S2692</f>
        <v>0</v>
      </c>
      <c r="U2692" s="72">
        <f t="shared" ref="U2692" si="523">+R2692-T2692</f>
        <v>552</v>
      </c>
      <c r="V2692" s="72">
        <f>+U2692*0</f>
        <v>0</v>
      </c>
      <c r="W2692" s="72">
        <f t="shared" ref="W2692" si="524">+U2692-V2692</f>
        <v>552</v>
      </c>
      <c r="X2692" s="72">
        <v>0</v>
      </c>
      <c r="Y2692" s="14">
        <f t="shared" ref="Y2692:Y2696" si="525">T2692-X2692</f>
        <v>0</v>
      </c>
      <c r="Z2692" s="11" t="s">
        <v>26</v>
      </c>
      <c r="AA2692" s="12" t="s">
        <v>31</v>
      </c>
    </row>
    <row r="2693" spans="1:27" x14ac:dyDescent="0.25">
      <c r="A2693" s="10">
        <v>45696</v>
      </c>
      <c r="B2693" s="71">
        <v>2.3402777777777772E-2</v>
      </c>
      <c r="C2693" s="11" t="s">
        <v>5084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4465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2">
        <f>+L2693*O2693</f>
        <v>540.6</v>
      </c>
      <c r="S2693" s="72">
        <v>0</v>
      </c>
      <c r="T2693" s="72">
        <f>+L2693*S2693</f>
        <v>0</v>
      </c>
      <c r="U2693" s="72">
        <f>+R2693-T2693</f>
        <v>540.6</v>
      </c>
      <c r="V2693" s="72">
        <f>+U2693*0.75</f>
        <v>405.45000000000005</v>
      </c>
      <c r="W2693" s="72">
        <f>+U2693-V2693</f>
        <v>135.14999999999998</v>
      </c>
      <c r="X2693" s="72">
        <v>0</v>
      </c>
      <c r="Y2693" s="14">
        <f t="shared" si="525"/>
        <v>0</v>
      </c>
      <c r="Z2693" s="11" t="s">
        <v>26</v>
      </c>
      <c r="AA2693" s="12" t="s">
        <v>31</v>
      </c>
    </row>
    <row r="2694" spans="1:27" x14ac:dyDescent="0.25">
      <c r="A2694" s="10">
        <v>45696</v>
      </c>
      <c r="B2694" s="71">
        <v>2.6458333333333361E-2</v>
      </c>
      <c r="C2694" s="11" t="s">
        <v>5085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2">
        <f>M2694*P2694</f>
        <v>1600</v>
      </c>
      <c r="S2694" s="72">
        <v>0</v>
      </c>
      <c r="T2694" s="72">
        <f>M2694*S2694</f>
        <v>0</v>
      </c>
      <c r="U2694" s="72">
        <f>+R2694-T2694</f>
        <v>1600</v>
      </c>
      <c r="V2694" s="72">
        <f t="shared" ref="V2694" si="526">+U2694*0</f>
        <v>0</v>
      </c>
      <c r="W2694" s="72">
        <f>+U2694-V2694</f>
        <v>1600</v>
      </c>
      <c r="X2694" s="72">
        <v>0</v>
      </c>
      <c r="Y2694" s="14">
        <f t="shared" si="525"/>
        <v>0</v>
      </c>
      <c r="Z2694" s="11" t="s">
        <v>26</v>
      </c>
      <c r="AA2694" s="12" t="s">
        <v>31</v>
      </c>
    </row>
    <row r="2695" spans="1:27" x14ac:dyDescent="0.25">
      <c r="A2695" s="10">
        <v>45696</v>
      </c>
      <c r="B2695" s="71">
        <v>3.3009259259259238E-2</v>
      </c>
      <c r="C2695" s="11" t="s">
        <v>5086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4465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2">
        <f>+L2695*O2695</f>
        <v>534.29999999999995</v>
      </c>
      <c r="S2695" s="72">
        <v>0</v>
      </c>
      <c r="T2695" s="72">
        <f>+L2695*S2695</f>
        <v>0</v>
      </c>
      <c r="U2695" s="72">
        <f>+R2695-T2695</f>
        <v>534.29999999999995</v>
      </c>
      <c r="V2695" s="72">
        <f>+U2695*0.75</f>
        <v>400.72499999999997</v>
      </c>
      <c r="W2695" s="72">
        <f>+U2695-V2695</f>
        <v>133.57499999999999</v>
      </c>
      <c r="X2695" s="72">
        <v>0</v>
      </c>
      <c r="Y2695" s="14">
        <f t="shared" si="525"/>
        <v>0</v>
      </c>
      <c r="Z2695" s="11" t="s">
        <v>26</v>
      </c>
      <c r="AA2695" s="12" t="s">
        <v>31</v>
      </c>
    </row>
    <row r="2696" spans="1:27" x14ac:dyDescent="0.25">
      <c r="A2696" s="10">
        <v>45696</v>
      </c>
      <c r="B2696" s="71">
        <v>2.8229166666666639E-2</v>
      </c>
      <c r="C2696" s="11" t="s">
        <v>5087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1926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2">
        <f>M2696*P2696</f>
        <v>1350</v>
      </c>
      <c r="S2696" s="72">
        <v>0</v>
      </c>
      <c r="T2696" s="72">
        <f>M2696*S2696</f>
        <v>0</v>
      </c>
      <c r="U2696" s="72">
        <f>R2696-T2696</f>
        <v>1350</v>
      </c>
      <c r="V2696" s="72">
        <f>U2696*1</f>
        <v>1350</v>
      </c>
      <c r="W2696" s="72">
        <f>U2696-V2696</f>
        <v>0</v>
      </c>
      <c r="X2696" s="72">
        <v>0</v>
      </c>
      <c r="Y2696" s="14">
        <f t="shared" si="525"/>
        <v>0</v>
      </c>
      <c r="Z2696" s="11" t="s">
        <v>26</v>
      </c>
      <c r="AA2696" s="12" t="s">
        <v>31</v>
      </c>
    </row>
    <row r="2697" spans="1:27" x14ac:dyDescent="0.25">
      <c r="A2697" s="10">
        <v>45696</v>
      </c>
      <c r="B2697" s="71">
        <v>6.5509259259258767E-3</v>
      </c>
      <c r="C2697" s="11" t="s">
        <v>5088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2">
        <f>(L2697*O2697)-Q2697</f>
        <v>398.7</v>
      </c>
      <c r="S2697" s="72">
        <v>0</v>
      </c>
      <c r="T2697" s="72">
        <f t="shared" ref="T2697:T2698" si="527">+L2697*S2697</f>
        <v>0</v>
      </c>
      <c r="U2697" s="72">
        <f t="shared" ref="U2697:U2699" si="528">+R2697-T2697</f>
        <v>398.7</v>
      </c>
      <c r="V2697" s="72">
        <f>+U2697*0</f>
        <v>0</v>
      </c>
      <c r="W2697" s="72">
        <f t="shared" ref="W2697:W2699" si="529">+U2697-V2697</f>
        <v>398.7</v>
      </c>
      <c r="X2697" s="72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x14ac:dyDescent="0.25">
      <c r="A2698" s="10">
        <v>45696</v>
      </c>
      <c r="B2698" s="71">
        <v>9.8958333333333259E-3</v>
      </c>
      <c r="C2698" s="11" t="s">
        <v>5089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2">
        <f>(L2698*O2698)-Q2698</f>
        <v>257.39999999999998</v>
      </c>
      <c r="S2698" s="72">
        <v>0</v>
      </c>
      <c r="T2698" s="72">
        <f t="shared" si="527"/>
        <v>0</v>
      </c>
      <c r="U2698" s="72">
        <f t="shared" si="528"/>
        <v>257.39999999999998</v>
      </c>
      <c r="V2698" s="72">
        <f>+U2698*0</f>
        <v>0</v>
      </c>
      <c r="W2698" s="72">
        <f t="shared" si="529"/>
        <v>257.39999999999998</v>
      </c>
      <c r="X2698" s="72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x14ac:dyDescent="0.25">
      <c r="A2699" s="10">
        <v>45696</v>
      </c>
      <c r="B2699" s="71">
        <v>9.2245370370370727E-3</v>
      </c>
      <c r="C2699" s="11" t="s">
        <v>5090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4463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2">
        <f t="shared" ref="R2699" si="530">+L2699*O2699</f>
        <v>1568.2800000000002</v>
      </c>
      <c r="S2699" s="72">
        <v>0</v>
      </c>
      <c r="T2699" s="72">
        <f>+L2699*S2699</f>
        <v>0</v>
      </c>
      <c r="U2699" s="72">
        <f t="shared" si="528"/>
        <v>1568.2800000000002</v>
      </c>
      <c r="V2699" s="72">
        <f>+U2699*1</f>
        <v>1568.2800000000002</v>
      </c>
      <c r="W2699" s="72">
        <f t="shared" si="529"/>
        <v>0</v>
      </c>
      <c r="X2699" s="72">
        <v>0</v>
      </c>
      <c r="Y2699" s="14">
        <f t="shared" ref="Y2699:Y2705" si="531">T2699-X2699</f>
        <v>0</v>
      </c>
      <c r="Z2699" s="11" t="s">
        <v>26</v>
      </c>
      <c r="AA2699" s="12" t="s">
        <v>31</v>
      </c>
    </row>
    <row r="2700" spans="1:27" x14ac:dyDescent="0.25">
      <c r="A2700" s="10">
        <v>45696</v>
      </c>
      <c r="B2700" s="71">
        <v>1.489583333333333E-2</v>
      </c>
      <c r="C2700" s="11" t="s">
        <v>5091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35</v>
      </c>
      <c r="P2700" s="13"/>
      <c r="Q2700" s="13">
        <v>0</v>
      </c>
      <c r="R2700" s="72">
        <f>+L2700*O2700</f>
        <v>1444.8</v>
      </c>
      <c r="S2700" s="72">
        <v>0</v>
      </c>
      <c r="T2700" s="72">
        <f>+L2700*S2700</f>
        <v>0</v>
      </c>
      <c r="U2700" s="72">
        <f>+R2700-T2700</f>
        <v>1444.8</v>
      </c>
      <c r="V2700" s="72">
        <f t="shared" ref="V2700" si="532">+U2700*0</f>
        <v>0</v>
      </c>
      <c r="W2700" s="72">
        <f>+U2700-V2700</f>
        <v>1444.8</v>
      </c>
      <c r="X2700" s="72">
        <v>0</v>
      </c>
      <c r="Y2700" s="14">
        <f t="shared" si="531"/>
        <v>0</v>
      </c>
      <c r="Z2700" s="11" t="s">
        <v>26</v>
      </c>
      <c r="AA2700" s="12" t="s">
        <v>31</v>
      </c>
    </row>
    <row r="2701" spans="1:27" x14ac:dyDescent="0.25">
      <c r="A2701" s="10">
        <v>45696</v>
      </c>
      <c r="B2701" s="71">
        <v>9.1284722222222225E-2</v>
      </c>
      <c r="C2701" s="11" t="s">
        <v>5092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2">
        <f>M2701*P2701</f>
        <v>1600</v>
      </c>
      <c r="S2701" s="72">
        <v>0</v>
      </c>
      <c r="T2701" s="72">
        <f>M2701*S2701</f>
        <v>0</v>
      </c>
      <c r="U2701" s="72">
        <f>R2701-T2701</f>
        <v>1600</v>
      </c>
      <c r="V2701" s="72">
        <f>U2701*0</f>
        <v>0</v>
      </c>
      <c r="W2701" s="72">
        <f>U2701-V2701</f>
        <v>1600</v>
      </c>
      <c r="X2701" s="72">
        <v>0</v>
      </c>
      <c r="Y2701" s="14">
        <f t="shared" si="531"/>
        <v>0</v>
      </c>
      <c r="Z2701" s="11" t="s">
        <v>26</v>
      </c>
      <c r="AA2701" s="12" t="s">
        <v>31</v>
      </c>
    </row>
    <row r="2702" spans="1:27" x14ac:dyDescent="0.25">
      <c r="A2702" s="10">
        <v>45696</v>
      </c>
      <c r="B2702" s="71">
        <v>6.6550925925925597E-3</v>
      </c>
      <c r="C2702" s="11" t="s">
        <v>5093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2">
        <f>M2702*P2702</f>
        <v>1472</v>
      </c>
      <c r="S2702" s="72">
        <v>0</v>
      </c>
      <c r="T2702" s="72">
        <f>M2702*S2702</f>
        <v>0</v>
      </c>
      <c r="U2702" s="72">
        <f>+R2702-T2702</f>
        <v>1472</v>
      </c>
      <c r="V2702" s="72">
        <f t="shared" ref="V2702" si="533">+U2702*0</f>
        <v>0</v>
      </c>
      <c r="W2702" s="72">
        <f>+U2702-V2702</f>
        <v>1472</v>
      </c>
      <c r="X2702" s="72">
        <v>0</v>
      </c>
      <c r="Y2702" s="14">
        <f t="shared" si="531"/>
        <v>0</v>
      </c>
      <c r="Z2702" s="11" t="s">
        <v>26</v>
      </c>
      <c r="AA2702" s="12" t="s">
        <v>31</v>
      </c>
    </row>
    <row r="2703" spans="1:27" x14ac:dyDescent="0.25">
      <c r="A2703" s="10">
        <v>45696</v>
      </c>
      <c r="B2703" s="71">
        <v>7.0486111111110472E-3</v>
      </c>
      <c r="C2703" s="11" t="s">
        <v>5094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4465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2">
        <f>+L2703*O2703</f>
        <v>1705.95</v>
      </c>
      <c r="S2703" s="72">
        <v>0</v>
      </c>
      <c r="T2703" s="72">
        <f>+L2703*S2703</f>
        <v>0</v>
      </c>
      <c r="U2703" s="72">
        <f>+R2703-T2703</f>
        <v>1705.95</v>
      </c>
      <c r="V2703" s="72">
        <f>+U2703*0.75</f>
        <v>1279.4625000000001</v>
      </c>
      <c r="W2703" s="72">
        <f>+U2703-V2703</f>
        <v>426.48749999999995</v>
      </c>
      <c r="X2703" s="72">
        <v>0</v>
      </c>
      <c r="Y2703" s="14">
        <f t="shared" si="531"/>
        <v>0</v>
      </c>
      <c r="Z2703" s="11" t="s">
        <v>26</v>
      </c>
      <c r="AA2703" s="12" t="s">
        <v>31</v>
      </c>
    </row>
    <row r="2704" spans="1:27" x14ac:dyDescent="0.25">
      <c r="A2704" s="10">
        <v>45696</v>
      </c>
      <c r="B2704" s="71">
        <v>6.9907407407407418E-3</v>
      </c>
      <c r="C2704" s="11" t="s">
        <v>5095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4465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2">
        <f>+L2704*O2704</f>
        <v>1780.75</v>
      </c>
      <c r="S2704" s="72">
        <v>0</v>
      </c>
      <c r="T2704" s="72">
        <f>+L2704*S2704</f>
        <v>0</v>
      </c>
      <c r="U2704" s="72">
        <f>+R2704-T2704</f>
        <v>1780.75</v>
      </c>
      <c r="V2704" s="72">
        <f>+U2704*0.75</f>
        <v>1335.5625</v>
      </c>
      <c r="W2704" s="72">
        <f>+U2704-V2704</f>
        <v>445.1875</v>
      </c>
      <c r="X2704" s="72">
        <v>0</v>
      </c>
      <c r="Y2704" s="14">
        <f t="shared" si="531"/>
        <v>0</v>
      </c>
      <c r="Z2704" s="11" t="s">
        <v>26</v>
      </c>
      <c r="AA2704" s="12" t="s">
        <v>31</v>
      </c>
    </row>
    <row r="2705" spans="1:27" x14ac:dyDescent="0.25">
      <c r="A2705" s="10">
        <v>45696</v>
      </c>
      <c r="B2705" s="71">
        <v>0.132662037037037</v>
      </c>
      <c r="C2705" s="11" t="s">
        <v>5096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4463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2">
        <f t="shared" ref="R2705" si="534">+L2705*O2705</f>
        <v>1545.28</v>
      </c>
      <c r="S2705" s="72">
        <v>0</v>
      </c>
      <c r="T2705" s="72">
        <f>+L2705*S2705</f>
        <v>0</v>
      </c>
      <c r="U2705" s="72">
        <f>+R2705-T2705</f>
        <v>1545.28</v>
      </c>
      <c r="V2705" s="72">
        <f>+U2705*1</f>
        <v>1545.28</v>
      </c>
      <c r="W2705" s="72">
        <f>+U2705-V2705</f>
        <v>0</v>
      </c>
      <c r="X2705" s="72">
        <v>0</v>
      </c>
      <c r="Y2705" s="14">
        <f t="shared" si="531"/>
        <v>0</v>
      </c>
      <c r="Z2705" s="11" t="s">
        <v>26</v>
      </c>
      <c r="AA2705" s="12" t="s">
        <v>31</v>
      </c>
    </row>
    <row r="2706" spans="1:27" x14ac:dyDescent="0.25">
      <c r="A2706" s="10">
        <v>45696</v>
      </c>
      <c r="B2706" s="71">
        <v>1.0497685185185179E-2</v>
      </c>
      <c r="C2706" s="11" t="s">
        <v>5097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2">
        <f>(L2706*O2706)-Q2706</f>
        <v>382.5</v>
      </c>
      <c r="S2706" s="72">
        <v>0</v>
      </c>
      <c r="T2706" s="72">
        <f t="shared" ref="T2706" si="535">+L2706*S2706</f>
        <v>0</v>
      </c>
      <c r="U2706" s="72">
        <f t="shared" ref="U2706" si="536">+R2706-T2706</f>
        <v>382.5</v>
      </c>
      <c r="V2706" s="72">
        <f>+U2706*0</f>
        <v>0</v>
      </c>
      <c r="W2706" s="72">
        <f t="shared" ref="W2706" si="537">+U2706-V2706</f>
        <v>382.5</v>
      </c>
      <c r="X2706" s="72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x14ac:dyDescent="0.25">
      <c r="A2707" s="10">
        <v>45696</v>
      </c>
      <c r="B2707" s="71">
        <v>1.5300925925925912E-2</v>
      </c>
      <c r="C2707" s="11" t="s">
        <v>5098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4439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2">
        <f>L2707*O2707</f>
        <v>3441.1800000000003</v>
      </c>
      <c r="S2707" s="72">
        <v>38</v>
      </c>
      <c r="T2707" s="72">
        <f>L2707*S2707</f>
        <v>1575.48</v>
      </c>
      <c r="U2707" s="72">
        <f t="shared" ref="U2707:U2716" si="538">R2707-T2707</f>
        <v>1865.7000000000003</v>
      </c>
      <c r="V2707" s="72">
        <f>U2707*1</f>
        <v>1865.7000000000003</v>
      </c>
      <c r="W2707" s="72">
        <f>U2707-V2707</f>
        <v>0</v>
      </c>
      <c r="X2707" s="74">
        <f>L2707*36</f>
        <v>1492.56</v>
      </c>
      <c r="Y2707" s="73">
        <f>+T2707-X2707</f>
        <v>82.920000000000073</v>
      </c>
      <c r="Z2707" s="12" t="s">
        <v>6345</v>
      </c>
      <c r="AA2707" s="12" t="s">
        <v>78</v>
      </c>
    </row>
    <row r="2708" spans="1:27" x14ac:dyDescent="0.25">
      <c r="A2708" s="10">
        <v>45696</v>
      </c>
      <c r="B2708" s="71">
        <v>1.599537037037041E-2</v>
      </c>
      <c r="C2708" s="11" t="s">
        <v>5099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4439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2">
        <f>L2708*O2708</f>
        <v>3401.7000000000003</v>
      </c>
      <c r="S2708" s="72">
        <v>38</v>
      </c>
      <c r="T2708" s="72">
        <f>L2708*S2708</f>
        <v>1520.7600000000002</v>
      </c>
      <c r="U2708" s="72">
        <f t="shared" si="538"/>
        <v>1880.94</v>
      </c>
      <c r="V2708" s="72">
        <f>U2708*1</f>
        <v>1880.94</v>
      </c>
      <c r="W2708" s="72">
        <f>U2708-V2708</f>
        <v>0</v>
      </c>
      <c r="X2708" s="72">
        <f>L2708*36</f>
        <v>1440.72</v>
      </c>
      <c r="Y2708" s="73">
        <f>+T2708-X2708</f>
        <v>80.040000000000191</v>
      </c>
      <c r="Z2708" s="12" t="s">
        <v>140</v>
      </c>
      <c r="AA2708" s="12" t="s">
        <v>78</v>
      </c>
    </row>
    <row r="2709" spans="1:27" x14ac:dyDescent="0.25">
      <c r="A2709" s="10">
        <v>45696</v>
      </c>
      <c r="B2709" s="71">
        <v>0.12199074074074073</v>
      </c>
      <c r="C2709" s="11" t="s">
        <v>5100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2">
        <f>M2709*P2709</f>
        <v>600</v>
      </c>
      <c r="S2709" s="72">
        <v>0</v>
      </c>
      <c r="T2709" s="72">
        <f>M2709*S2709</f>
        <v>0</v>
      </c>
      <c r="U2709" s="72">
        <f t="shared" si="538"/>
        <v>600</v>
      </c>
      <c r="V2709" s="72">
        <f>U2709*0</f>
        <v>0</v>
      </c>
      <c r="W2709" s="72">
        <f>+U2709-V2709</f>
        <v>600</v>
      </c>
      <c r="X2709" s="72">
        <v>0</v>
      </c>
      <c r="Y2709" s="14">
        <f t="shared" ref="Y2709:Y2715" si="539">T2709-X2709</f>
        <v>0</v>
      </c>
      <c r="Z2709" s="11" t="s">
        <v>26</v>
      </c>
      <c r="AA2709" s="12" t="s">
        <v>31</v>
      </c>
    </row>
    <row r="2710" spans="1:27" x14ac:dyDescent="0.25">
      <c r="A2710" s="10">
        <v>45696</v>
      </c>
      <c r="B2710" s="71">
        <v>0.16954861111111108</v>
      </c>
      <c r="C2710" s="11" t="s">
        <v>5101</v>
      </c>
      <c r="D2710" s="11">
        <v>17246</v>
      </c>
      <c r="E2710" s="11" t="s">
        <v>659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2">
        <f>L2710*O2710</f>
        <v>1021.38</v>
      </c>
      <c r="S2710" s="72">
        <v>0</v>
      </c>
      <c r="T2710" s="72">
        <f>L2710*S2710</f>
        <v>0</v>
      </c>
      <c r="U2710" s="72">
        <f t="shared" si="538"/>
        <v>1021.38</v>
      </c>
      <c r="V2710" s="72">
        <f>U2710*0</f>
        <v>0</v>
      </c>
      <c r="W2710" s="72">
        <f>U2710-V2710</f>
        <v>1021.38</v>
      </c>
      <c r="X2710" s="72">
        <v>0</v>
      </c>
      <c r="Y2710" s="14">
        <f t="shared" si="539"/>
        <v>0</v>
      </c>
      <c r="Z2710" s="11" t="s">
        <v>26</v>
      </c>
      <c r="AA2710" s="12" t="s">
        <v>31</v>
      </c>
    </row>
    <row r="2711" spans="1:27" x14ac:dyDescent="0.25">
      <c r="A2711" s="10">
        <v>45696</v>
      </c>
      <c r="B2711" s="71">
        <v>0.19131944444444443</v>
      </c>
      <c r="C2711" s="11" t="s">
        <v>5102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2">
        <f>L2711*O2711</f>
        <v>1066.04</v>
      </c>
      <c r="S2711" s="72">
        <v>0</v>
      </c>
      <c r="T2711" s="72">
        <f>L2711*S2711</f>
        <v>0</v>
      </c>
      <c r="U2711" s="72">
        <f t="shared" si="538"/>
        <v>1066.04</v>
      </c>
      <c r="V2711" s="72">
        <f>U2711*0</f>
        <v>0</v>
      </c>
      <c r="W2711" s="72">
        <f>U2711-V2711</f>
        <v>1066.04</v>
      </c>
      <c r="X2711" s="72">
        <v>0</v>
      </c>
      <c r="Y2711" s="14">
        <f t="shared" si="539"/>
        <v>0</v>
      </c>
      <c r="Z2711" s="11" t="s">
        <v>26</v>
      </c>
      <c r="AA2711" s="12" t="s">
        <v>31</v>
      </c>
    </row>
    <row r="2712" spans="1:27" x14ac:dyDescent="0.25">
      <c r="A2712" s="10">
        <v>45696</v>
      </c>
      <c r="B2712" s="71">
        <v>6.5069444444444513E-2</v>
      </c>
      <c r="C2712" s="11" t="s">
        <v>5103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2">
        <f>L2712*O2712</f>
        <v>1078.22</v>
      </c>
      <c r="S2712" s="72">
        <v>0</v>
      </c>
      <c r="T2712" s="72">
        <f>L2712*S2712</f>
        <v>0</v>
      </c>
      <c r="U2712" s="72">
        <f t="shared" si="538"/>
        <v>1078.22</v>
      </c>
      <c r="V2712" s="72">
        <f>U2712*0</f>
        <v>0</v>
      </c>
      <c r="W2712" s="72">
        <f>U2712-V2712</f>
        <v>1078.22</v>
      </c>
      <c r="X2712" s="72">
        <v>0</v>
      </c>
      <c r="Y2712" s="14">
        <f t="shared" si="539"/>
        <v>0</v>
      </c>
      <c r="Z2712" s="11" t="s">
        <v>26</v>
      </c>
      <c r="AA2712" s="12" t="s">
        <v>31</v>
      </c>
    </row>
    <row r="2713" spans="1:27" x14ac:dyDescent="0.25">
      <c r="A2713" s="10">
        <v>45696</v>
      </c>
      <c r="B2713" s="71">
        <v>2.8310185185185133E-2</v>
      </c>
      <c r="C2713" s="11" t="s">
        <v>5104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1926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2">
        <f>M2713*P2713</f>
        <v>1350</v>
      </c>
      <c r="S2713" s="72">
        <v>0</v>
      </c>
      <c r="T2713" s="72">
        <f>M2713*S2713</f>
        <v>0</v>
      </c>
      <c r="U2713" s="72">
        <f t="shared" si="538"/>
        <v>1350</v>
      </c>
      <c r="V2713" s="72">
        <f>U2713*1</f>
        <v>1350</v>
      </c>
      <c r="W2713" s="72">
        <f>U2713-V2713</f>
        <v>0</v>
      </c>
      <c r="X2713" s="72">
        <v>0</v>
      </c>
      <c r="Y2713" s="14">
        <f t="shared" si="539"/>
        <v>0</v>
      </c>
      <c r="Z2713" s="11" t="s">
        <v>26</v>
      </c>
      <c r="AA2713" s="12" t="s">
        <v>31</v>
      </c>
    </row>
    <row r="2714" spans="1:27" x14ac:dyDescent="0.25">
      <c r="A2714" s="10">
        <v>45696</v>
      </c>
      <c r="B2714" s="71">
        <v>0.13918981481481479</v>
      </c>
      <c r="C2714" s="11" t="s">
        <v>5105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2">
        <f>M2714*P2714</f>
        <v>1134</v>
      </c>
      <c r="S2714" s="72">
        <v>0</v>
      </c>
      <c r="T2714" s="72">
        <f>M2714*S2714</f>
        <v>0</v>
      </c>
      <c r="U2714" s="72">
        <f t="shared" si="538"/>
        <v>1134</v>
      </c>
      <c r="V2714" s="72">
        <f>U2714*0</f>
        <v>0</v>
      </c>
      <c r="W2714" s="72">
        <f>+U2714-V2714</f>
        <v>1134</v>
      </c>
      <c r="X2714" s="72">
        <v>0</v>
      </c>
      <c r="Y2714" s="14">
        <f t="shared" si="539"/>
        <v>0</v>
      </c>
      <c r="Z2714" s="11" t="s">
        <v>26</v>
      </c>
      <c r="AA2714" s="12" t="s">
        <v>31</v>
      </c>
    </row>
    <row r="2715" spans="1:27" x14ac:dyDescent="0.25">
      <c r="A2715" s="10">
        <v>45696</v>
      </c>
      <c r="B2715" s="71">
        <v>8.3888888888888902E-2</v>
      </c>
      <c r="C2715" s="11" t="s">
        <v>5106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2">
        <f>L2715*O2715</f>
        <v>1715.2</v>
      </c>
      <c r="S2715" s="72">
        <v>0</v>
      </c>
      <c r="T2715" s="72">
        <f>L2715*S2715</f>
        <v>0</v>
      </c>
      <c r="U2715" s="72">
        <f t="shared" si="538"/>
        <v>1715.2</v>
      </c>
      <c r="V2715" s="72">
        <f>U2715*0</f>
        <v>0</v>
      </c>
      <c r="W2715" s="72">
        <f>U2715-V2715</f>
        <v>1715.2</v>
      </c>
      <c r="X2715" s="72">
        <v>0</v>
      </c>
      <c r="Y2715" s="14">
        <f t="shared" si="539"/>
        <v>0</v>
      </c>
      <c r="Z2715" s="11" t="s">
        <v>26</v>
      </c>
      <c r="AA2715" s="12" t="s">
        <v>31</v>
      </c>
    </row>
    <row r="2716" spans="1:27" x14ac:dyDescent="0.25">
      <c r="A2716" s="10">
        <v>45696</v>
      </c>
      <c r="B2716" s="71">
        <v>0.30523148148148155</v>
      </c>
      <c r="C2716" s="11" t="s">
        <v>5107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4439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2">
        <f>L2716*O2716</f>
        <v>3457.38</v>
      </c>
      <c r="S2716" s="72">
        <v>38</v>
      </c>
      <c r="T2716" s="72">
        <f>L2716*S2716</f>
        <v>1510.1200000000001</v>
      </c>
      <c r="U2716" s="72">
        <f t="shared" si="538"/>
        <v>1947.26</v>
      </c>
      <c r="V2716" s="72">
        <f>U2716*1</f>
        <v>1947.26</v>
      </c>
      <c r="W2716" s="72">
        <f>U2716-V2716</f>
        <v>0</v>
      </c>
      <c r="X2716" s="72">
        <f>L2716*36</f>
        <v>1430.64</v>
      </c>
      <c r="Y2716" s="73">
        <f>+T2716-X2716</f>
        <v>79.480000000000018</v>
      </c>
      <c r="Z2716" s="12" t="s">
        <v>140</v>
      </c>
      <c r="AA2716" s="12" t="s">
        <v>78</v>
      </c>
    </row>
    <row r="2717" spans="1:27" x14ac:dyDescent="0.25">
      <c r="A2717" s="10">
        <v>45696</v>
      </c>
      <c r="B2717" s="71">
        <v>0.14068287037037036</v>
      </c>
      <c r="C2717" s="11" t="s">
        <v>5108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2">
        <f>+M2717*P2717</f>
        <v>552</v>
      </c>
      <c r="S2717" s="72">
        <v>0</v>
      </c>
      <c r="T2717" s="72">
        <f>+M2717*S2717</f>
        <v>0</v>
      </c>
      <c r="U2717" s="72">
        <f t="shared" ref="U2717" si="540">+R2717-T2717</f>
        <v>552</v>
      </c>
      <c r="V2717" s="72">
        <f>+U2717*0</f>
        <v>0</v>
      </c>
      <c r="W2717" s="72">
        <f t="shared" ref="W2717" si="541">+U2717-V2717</f>
        <v>552</v>
      </c>
      <c r="X2717" s="72">
        <v>0</v>
      </c>
      <c r="Y2717" s="14">
        <f t="shared" ref="Y2717" si="542">T2717-X2717</f>
        <v>0</v>
      </c>
      <c r="Z2717" s="11" t="s">
        <v>26</v>
      </c>
      <c r="AA2717" s="12" t="s">
        <v>31</v>
      </c>
    </row>
    <row r="2718" spans="1:27" x14ac:dyDescent="0.25">
      <c r="A2718" s="10">
        <v>45696</v>
      </c>
      <c r="B2718" s="71">
        <v>1.4097222222222316E-2</v>
      </c>
      <c r="C2718" s="11" t="s">
        <v>5109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4439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2">
        <f>L2718*O2718</f>
        <v>3509.5800000000004</v>
      </c>
      <c r="S2718" s="72">
        <v>38</v>
      </c>
      <c r="T2718" s="72">
        <f>L2718*S2718</f>
        <v>1532.92</v>
      </c>
      <c r="U2718" s="72">
        <f>R2718-T2718</f>
        <v>1976.6600000000003</v>
      </c>
      <c r="V2718" s="72">
        <f>U2718*1</f>
        <v>1976.6600000000003</v>
      </c>
      <c r="W2718" s="72">
        <f>U2718-V2718</f>
        <v>0</v>
      </c>
      <c r="X2718" s="72">
        <f>L2718*36</f>
        <v>1452.2400000000002</v>
      </c>
      <c r="Y2718" s="73">
        <f>+T2718-X2718</f>
        <v>80.679999999999836</v>
      </c>
      <c r="Z2718" s="12" t="s">
        <v>140</v>
      </c>
      <c r="AA2718" s="12" t="s">
        <v>78</v>
      </c>
    </row>
    <row r="2719" spans="1:27" x14ac:dyDescent="0.25">
      <c r="A2719" s="10">
        <v>45696</v>
      </c>
      <c r="B2719" s="71">
        <v>5.6435185185185199E-2</v>
      </c>
      <c r="C2719" s="11" t="s">
        <v>5110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2">
        <f>+M2719*P2719</f>
        <v>528</v>
      </c>
      <c r="S2719" s="72">
        <v>0</v>
      </c>
      <c r="T2719" s="72">
        <f>+M2719*S2719</f>
        <v>0</v>
      </c>
      <c r="U2719" s="72">
        <f t="shared" ref="U2719:U2721" si="543">+R2719-T2719</f>
        <v>528</v>
      </c>
      <c r="V2719" s="72">
        <f>+U2719*0</f>
        <v>0</v>
      </c>
      <c r="W2719" s="72">
        <f t="shared" ref="W2719:W2721" si="544">+U2719-V2719</f>
        <v>528</v>
      </c>
      <c r="X2719" s="72">
        <v>0</v>
      </c>
      <c r="Y2719" s="14">
        <f t="shared" ref="Y2719:Y2720" si="545">T2719-X2719</f>
        <v>0</v>
      </c>
      <c r="Z2719" s="11" t="s">
        <v>26</v>
      </c>
      <c r="AA2719" s="12" t="s">
        <v>31</v>
      </c>
    </row>
    <row r="2720" spans="1:27" x14ac:dyDescent="0.25">
      <c r="A2720" s="10">
        <v>45696</v>
      </c>
      <c r="B2720" s="71">
        <v>2.3356481481481506E-2</v>
      </c>
      <c r="C2720" s="11" t="s">
        <v>5111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2">
        <f>+M2720*P2720</f>
        <v>1600</v>
      </c>
      <c r="S2720" s="72">
        <v>0</v>
      </c>
      <c r="T2720" s="72">
        <f>+M2720*S2720</f>
        <v>0</v>
      </c>
      <c r="U2720" s="72">
        <f t="shared" si="543"/>
        <v>1600</v>
      </c>
      <c r="V2720" s="72">
        <f t="shared" ref="V2720" si="546">+U2720*0</f>
        <v>0</v>
      </c>
      <c r="W2720" s="72">
        <f t="shared" si="544"/>
        <v>1600</v>
      </c>
      <c r="X2720" s="72">
        <v>0</v>
      </c>
      <c r="Y2720" s="14">
        <f t="shared" si="545"/>
        <v>0</v>
      </c>
      <c r="Z2720" s="11" t="s">
        <v>26</v>
      </c>
      <c r="AA2720" s="12" t="s">
        <v>31</v>
      </c>
    </row>
    <row r="2721" spans="1:27" x14ac:dyDescent="0.25">
      <c r="A2721" s="10">
        <v>45696</v>
      </c>
      <c r="B2721" s="71">
        <v>1.0405092592592591E-2</v>
      </c>
      <c r="C2721" s="11" t="s">
        <v>5112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2">
        <f>(L2721*O2721)-Q2721</f>
        <v>223.2</v>
      </c>
      <c r="S2721" s="72">
        <v>0</v>
      </c>
      <c r="T2721" s="72">
        <f t="shared" ref="T2721" si="547">+L2721*S2721</f>
        <v>0</v>
      </c>
      <c r="U2721" s="72">
        <f t="shared" si="543"/>
        <v>223.2</v>
      </c>
      <c r="V2721" s="72">
        <f>+U2721*0</f>
        <v>0</v>
      </c>
      <c r="W2721" s="72">
        <f t="shared" si="544"/>
        <v>223.2</v>
      </c>
      <c r="X2721" s="72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x14ac:dyDescent="0.25">
      <c r="A2722" s="10">
        <v>45696</v>
      </c>
      <c r="B2722" s="71">
        <v>1.1481481481481426E-2</v>
      </c>
      <c r="C2722" s="11" t="s">
        <v>5113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2">
        <f>L2722*O2722</f>
        <v>1050.3799999999999</v>
      </c>
      <c r="S2722" s="72">
        <v>0</v>
      </c>
      <c r="T2722" s="72">
        <f>L2722*S2722</f>
        <v>0</v>
      </c>
      <c r="U2722" s="72">
        <f>R2722-T2722</f>
        <v>1050.3799999999999</v>
      </c>
      <c r="V2722" s="72">
        <f>U2722*0</f>
        <v>0</v>
      </c>
      <c r="W2722" s="72">
        <f>U2722-V2722</f>
        <v>1050.3799999999999</v>
      </c>
      <c r="X2722" s="72">
        <v>0</v>
      </c>
      <c r="Y2722" s="14">
        <f t="shared" ref="Y2722:Y2742" si="548">T2722-X2722</f>
        <v>0</v>
      </c>
      <c r="Z2722" s="11" t="s">
        <v>26</v>
      </c>
      <c r="AA2722" s="12" t="s">
        <v>31</v>
      </c>
    </row>
    <row r="2723" spans="1:27" x14ac:dyDescent="0.25">
      <c r="A2723" s="10">
        <v>45696</v>
      </c>
      <c r="B2723" s="71">
        <v>9.4328703703703276E-3</v>
      </c>
      <c r="C2723" s="11" t="s">
        <v>5114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2">
        <f>+M2723*P2723</f>
        <v>528</v>
      </c>
      <c r="S2723" s="72">
        <v>0</v>
      </c>
      <c r="T2723" s="72">
        <f>+M2723*S2723</f>
        <v>0</v>
      </c>
      <c r="U2723" s="72">
        <f t="shared" ref="U2723" si="549">+R2723-T2723</f>
        <v>528</v>
      </c>
      <c r="V2723" s="72">
        <f>+U2723*0</f>
        <v>0</v>
      </c>
      <c r="W2723" s="72">
        <f t="shared" ref="W2723" si="550">+U2723-V2723</f>
        <v>528</v>
      </c>
      <c r="X2723" s="72">
        <v>0</v>
      </c>
      <c r="Y2723" s="14">
        <f t="shared" si="548"/>
        <v>0</v>
      </c>
      <c r="Z2723" s="11" t="s">
        <v>26</v>
      </c>
      <c r="AA2723" s="12" t="s">
        <v>31</v>
      </c>
    </row>
    <row r="2724" spans="1:27" x14ac:dyDescent="0.25">
      <c r="A2724" s="10">
        <v>45696</v>
      </c>
      <c r="B2724" s="71">
        <v>0.35491898148148143</v>
      </c>
      <c r="C2724" s="11" t="s">
        <v>5115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2">
        <f>+L2724*O2724</f>
        <v>1585.6</v>
      </c>
      <c r="S2724" s="72">
        <v>0</v>
      </c>
      <c r="T2724" s="72">
        <f>+L2724*S2724</f>
        <v>0</v>
      </c>
      <c r="U2724" s="72">
        <f>+R2724-T2724</f>
        <v>1585.6</v>
      </c>
      <c r="V2724" s="72">
        <f t="shared" ref="V2724:V2725" si="552">+U2724*0</f>
        <v>0</v>
      </c>
      <c r="W2724" s="72">
        <f>+U2724-V2724</f>
        <v>1585.6</v>
      </c>
      <c r="X2724" s="72">
        <v>0</v>
      </c>
      <c r="Y2724" s="14">
        <f t="shared" si="548"/>
        <v>0</v>
      </c>
      <c r="Z2724" s="11" t="s">
        <v>26</v>
      </c>
      <c r="AA2724" s="12" t="s">
        <v>31</v>
      </c>
    </row>
    <row r="2725" spans="1:27" x14ac:dyDescent="0.25">
      <c r="A2725" s="10">
        <v>45696</v>
      </c>
      <c r="B2725" s="71">
        <v>1.3923611111111178E-2</v>
      </c>
      <c r="C2725" s="11" t="s">
        <v>5116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2">
        <f>(L2725*O2725)-Q2725</f>
        <v>236</v>
      </c>
      <c r="S2725" s="72">
        <v>0</v>
      </c>
      <c r="T2725" s="72">
        <f t="shared" ref="T2725:T2726" si="553">+L2725*S2725</f>
        <v>0</v>
      </c>
      <c r="U2725" s="72">
        <f t="shared" ref="U2725:U2726" si="554">+R2725-T2725</f>
        <v>236</v>
      </c>
      <c r="V2725" s="72">
        <f t="shared" si="552"/>
        <v>0</v>
      </c>
      <c r="W2725" s="72">
        <f t="shared" ref="W2725:W2726" si="555">+U2725-V2725</f>
        <v>236</v>
      </c>
      <c r="X2725" s="72">
        <v>0</v>
      </c>
      <c r="Y2725" s="14">
        <f t="shared" si="548"/>
        <v>0</v>
      </c>
      <c r="Z2725" s="11" t="s">
        <v>26</v>
      </c>
      <c r="AA2725" s="12" t="s">
        <v>31</v>
      </c>
    </row>
    <row r="2726" spans="1:27" x14ac:dyDescent="0.25">
      <c r="A2726" s="10">
        <v>45698</v>
      </c>
      <c r="B2726" s="71">
        <v>2.3356481481481506E-2</v>
      </c>
      <c r="C2726" s="11" t="s">
        <v>5117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4440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2">
        <f t="shared" ref="R2726" si="556">+L2726*O2726</f>
        <v>1655.08</v>
      </c>
      <c r="S2726" s="72">
        <v>0</v>
      </c>
      <c r="T2726" s="72">
        <f t="shared" si="553"/>
        <v>0</v>
      </c>
      <c r="U2726" s="72">
        <f t="shared" si="554"/>
        <v>1655.08</v>
      </c>
      <c r="V2726" s="72">
        <f>+U2726*1</f>
        <v>1655.08</v>
      </c>
      <c r="W2726" s="72">
        <f t="shared" si="555"/>
        <v>0</v>
      </c>
      <c r="X2726" s="72">
        <v>0</v>
      </c>
      <c r="Y2726" s="14">
        <f t="shared" si="548"/>
        <v>0</v>
      </c>
      <c r="Z2726" s="11" t="s">
        <v>26</v>
      </c>
      <c r="AA2726" s="12" t="s">
        <v>31</v>
      </c>
    </row>
    <row r="2727" spans="1:27" x14ac:dyDescent="0.25">
      <c r="A2727" s="10">
        <v>45698</v>
      </c>
      <c r="B2727" s="71">
        <v>1.0682870370370356E-2</v>
      </c>
      <c r="C2727" s="11" t="s">
        <v>5118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4465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2">
        <f>+L2727*O2727</f>
        <v>534</v>
      </c>
      <c r="S2727" s="72">
        <v>0</v>
      </c>
      <c r="T2727" s="72">
        <f>+L2727*S2727</f>
        <v>0</v>
      </c>
      <c r="U2727" s="72">
        <f>+R2727-T2727</f>
        <v>534</v>
      </c>
      <c r="V2727" s="72">
        <f>+U2727*0.75</f>
        <v>400.5</v>
      </c>
      <c r="W2727" s="72">
        <f>+U2727-V2727</f>
        <v>133.5</v>
      </c>
      <c r="X2727" s="72">
        <v>0</v>
      </c>
      <c r="Y2727" s="14">
        <f t="shared" si="548"/>
        <v>0</v>
      </c>
      <c r="Z2727" s="11" t="s">
        <v>26</v>
      </c>
      <c r="AA2727" s="12" t="s">
        <v>31</v>
      </c>
    </row>
    <row r="2728" spans="1:27" x14ac:dyDescent="0.25">
      <c r="A2728" s="10">
        <v>45698</v>
      </c>
      <c r="B2728" s="71">
        <v>1.0555555555555596E-2</v>
      </c>
      <c r="C2728" s="11" t="s">
        <v>5119</v>
      </c>
      <c r="D2728" s="11">
        <v>17264</v>
      </c>
      <c r="E2728" s="11" t="s">
        <v>5120</v>
      </c>
      <c r="F2728" s="11" t="s">
        <v>26</v>
      </c>
      <c r="G2728" s="11">
        <v>21952</v>
      </c>
      <c r="H2728" s="12" t="s">
        <v>4465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2">
        <f>+L2728*O2728</f>
        <v>1886.6345999999999</v>
      </c>
      <c r="S2728" s="72">
        <v>0</v>
      </c>
      <c r="T2728" s="72">
        <f>+L2728*S2728</f>
        <v>0</v>
      </c>
      <c r="U2728" s="72">
        <f>+R2728-T2728</f>
        <v>1886.6345999999999</v>
      </c>
      <c r="V2728" s="72">
        <f>+U2728*0.75</f>
        <v>1414.97595</v>
      </c>
      <c r="W2728" s="72">
        <f>+U2728-V2728</f>
        <v>471.65864999999985</v>
      </c>
      <c r="X2728" s="72">
        <v>0</v>
      </c>
      <c r="Y2728" s="14">
        <f t="shared" si="548"/>
        <v>0</v>
      </c>
      <c r="Z2728" s="11" t="s">
        <v>26</v>
      </c>
      <c r="AA2728" s="12" t="s">
        <v>31</v>
      </c>
    </row>
    <row r="2729" spans="1:27" x14ac:dyDescent="0.25">
      <c r="A2729" s="10">
        <v>45698</v>
      </c>
      <c r="B2729" s="71">
        <v>1.4560185185185204E-2</v>
      </c>
      <c r="C2729" s="11" t="s">
        <v>5121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4465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2">
        <f>+L2729*O2729</f>
        <v>561.30000000000007</v>
      </c>
      <c r="S2729" s="72">
        <v>0</v>
      </c>
      <c r="T2729" s="72">
        <f>+L2729*S2729</f>
        <v>0</v>
      </c>
      <c r="U2729" s="72">
        <f>+R2729-T2729</f>
        <v>561.30000000000007</v>
      </c>
      <c r="V2729" s="72">
        <f>+U2729*0.75</f>
        <v>420.97500000000002</v>
      </c>
      <c r="W2729" s="72">
        <f>+U2729-V2729</f>
        <v>140.32500000000005</v>
      </c>
      <c r="X2729" s="72">
        <v>0</v>
      </c>
      <c r="Y2729" s="14">
        <f t="shared" si="548"/>
        <v>0</v>
      </c>
      <c r="Z2729" s="11" t="s">
        <v>26</v>
      </c>
      <c r="AA2729" s="12" t="s">
        <v>31</v>
      </c>
    </row>
    <row r="2730" spans="1:27" x14ac:dyDescent="0.25">
      <c r="A2730" s="10">
        <v>45698</v>
      </c>
      <c r="B2730" s="71">
        <v>1.8055555555555547E-2</v>
      </c>
      <c r="C2730" s="11" t="s">
        <v>5122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4465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2">
        <f>+L2730*O2730</f>
        <v>581.70000000000005</v>
      </c>
      <c r="S2730" s="72">
        <v>0</v>
      </c>
      <c r="T2730" s="72">
        <f>+L2730*S2730</f>
        <v>0</v>
      </c>
      <c r="U2730" s="72">
        <f>+R2730-T2730</f>
        <v>581.70000000000005</v>
      </c>
      <c r="V2730" s="72">
        <f>+U2730*0.75</f>
        <v>436.27500000000003</v>
      </c>
      <c r="W2730" s="72">
        <f>+U2730-V2730</f>
        <v>145.42500000000001</v>
      </c>
      <c r="X2730" s="72">
        <v>0</v>
      </c>
      <c r="Y2730" s="14">
        <f t="shared" si="548"/>
        <v>0</v>
      </c>
      <c r="Z2730" s="11" t="s">
        <v>26</v>
      </c>
      <c r="AA2730" s="12" t="s">
        <v>31</v>
      </c>
    </row>
    <row r="2731" spans="1:27" x14ac:dyDescent="0.25">
      <c r="A2731" s="10">
        <v>45698</v>
      </c>
      <c r="B2731" s="71">
        <v>2.0775462962962954E-2</v>
      </c>
      <c r="C2731" s="11" t="s">
        <v>5123</v>
      </c>
      <c r="D2731" s="11">
        <v>17267</v>
      </c>
      <c r="E2731" s="11" t="s">
        <v>2126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2">
        <f>+L2731*O2731</f>
        <v>1685.6</v>
      </c>
      <c r="S2731" s="72">
        <v>0</v>
      </c>
      <c r="T2731" s="72">
        <f>+L2731*S2731</f>
        <v>0</v>
      </c>
      <c r="U2731" s="72">
        <f>+R2731-T2731</f>
        <v>1685.6</v>
      </c>
      <c r="V2731" s="72">
        <f t="shared" ref="V2731" si="558">+U2731*0</f>
        <v>0</v>
      </c>
      <c r="W2731" s="72">
        <f>+U2731-V2731</f>
        <v>1685.6</v>
      </c>
      <c r="X2731" s="72">
        <v>0</v>
      </c>
      <c r="Y2731" s="14">
        <f t="shared" si="548"/>
        <v>0</v>
      </c>
      <c r="Z2731" s="11" t="s">
        <v>26</v>
      </c>
      <c r="AA2731" s="12" t="s">
        <v>31</v>
      </c>
    </row>
    <row r="2732" spans="1:27" x14ac:dyDescent="0.25">
      <c r="A2732" s="10">
        <v>45698</v>
      </c>
      <c r="B2732" s="71">
        <v>1.7210648148148211E-2</v>
      </c>
      <c r="C2732" s="11" t="s">
        <v>5124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2">
        <f>+M2732*P2732</f>
        <v>600</v>
      </c>
      <c r="S2732" s="72">
        <v>0</v>
      </c>
      <c r="T2732" s="72">
        <f>+M2732*S2732</f>
        <v>0</v>
      </c>
      <c r="U2732" s="72">
        <f t="shared" ref="U2732:U2733" si="559">+R2732-T2732</f>
        <v>600</v>
      </c>
      <c r="V2732" s="72">
        <f>+U2732*0</f>
        <v>0</v>
      </c>
      <c r="W2732" s="72">
        <f t="shared" ref="W2732:W2733" si="560">+U2732-V2732</f>
        <v>600</v>
      </c>
      <c r="X2732" s="72">
        <v>0</v>
      </c>
      <c r="Y2732" s="14">
        <f t="shared" si="548"/>
        <v>0</v>
      </c>
      <c r="Z2732" s="11" t="s">
        <v>26</v>
      </c>
      <c r="AA2732" s="12" t="s">
        <v>31</v>
      </c>
    </row>
    <row r="2733" spans="1:27" x14ac:dyDescent="0.25">
      <c r="A2733" s="10">
        <v>45698</v>
      </c>
      <c r="B2733" s="71">
        <v>2.5775462962962958E-2</v>
      </c>
      <c r="C2733" s="11" t="s">
        <v>5125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2">
        <f>M2733*P2733</f>
        <v>1500</v>
      </c>
      <c r="S2733" s="72">
        <v>0</v>
      </c>
      <c r="T2733" s="72">
        <f>M2733*S2733</f>
        <v>0</v>
      </c>
      <c r="U2733" s="72">
        <f t="shared" si="559"/>
        <v>1500</v>
      </c>
      <c r="V2733" s="72">
        <f>+U2733*0</f>
        <v>0</v>
      </c>
      <c r="W2733" s="72">
        <f t="shared" si="560"/>
        <v>1500</v>
      </c>
      <c r="X2733" s="72">
        <v>0</v>
      </c>
      <c r="Y2733" s="14">
        <f t="shared" si="548"/>
        <v>0</v>
      </c>
      <c r="Z2733" s="11" t="s">
        <v>26</v>
      </c>
      <c r="AA2733" s="12" t="s">
        <v>31</v>
      </c>
    </row>
    <row r="2734" spans="1:27" x14ac:dyDescent="0.25">
      <c r="A2734" s="10">
        <v>45698</v>
      </c>
      <c r="B2734" s="71">
        <v>1.923611111111112E-2</v>
      </c>
      <c r="C2734" s="11" t="s">
        <v>5126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2">
        <f>M2734*P2734</f>
        <v>1600</v>
      </c>
      <c r="S2734" s="72">
        <v>0</v>
      </c>
      <c r="T2734" s="72">
        <f>M2734*S2734</f>
        <v>0</v>
      </c>
      <c r="U2734" s="72">
        <f>+R2734-T2734</f>
        <v>1600</v>
      </c>
      <c r="V2734" s="72">
        <f t="shared" ref="V2734" si="561">+U2734*0</f>
        <v>0</v>
      </c>
      <c r="W2734" s="72">
        <f>+U2734-V2734</f>
        <v>1600</v>
      </c>
      <c r="X2734" s="72">
        <v>0</v>
      </c>
      <c r="Y2734" s="14">
        <f t="shared" si="548"/>
        <v>0</v>
      </c>
      <c r="Z2734" s="11" t="s">
        <v>26</v>
      </c>
      <c r="AA2734" s="12" t="s">
        <v>31</v>
      </c>
    </row>
    <row r="2735" spans="1:27" x14ac:dyDescent="0.25">
      <c r="A2735" s="10">
        <v>45698</v>
      </c>
      <c r="B2735" s="71">
        <v>2.2627314814814836E-2</v>
      </c>
      <c r="C2735" s="11" t="s">
        <v>5127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2">
        <f>M2735*P2735</f>
        <v>1450</v>
      </c>
      <c r="S2735" s="72">
        <v>0</v>
      </c>
      <c r="T2735" s="72">
        <f>M2735*S2735</f>
        <v>0</v>
      </c>
      <c r="U2735" s="72">
        <f>R2735-T2735</f>
        <v>1450</v>
      </c>
      <c r="V2735" s="72">
        <f>U2735*0</f>
        <v>0</v>
      </c>
      <c r="W2735" s="72">
        <f>U2735-V2735</f>
        <v>1450</v>
      </c>
      <c r="X2735" s="72">
        <v>0</v>
      </c>
      <c r="Y2735" s="14">
        <f t="shared" si="548"/>
        <v>0</v>
      </c>
      <c r="Z2735" s="11" t="s">
        <v>26</v>
      </c>
      <c r="AA2735" s="12" t="s">
        <v>31</v>
      </c>
    </row>
    <row r="2736" spans="1:27" x14ac:dyDescent="0.25">
      <c r="A2736" s="10">
        <v>45698</v>
      </c>
      <c r="B2736" s="71">
        <v>1.6481481481481486E-2</v>
      </c>
      <c r="C2736" s="11" t="s">
        <v>5128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2">
        <f>M2736*P2736</f>
        <v>1600</v>
      </c>
      <c r="S2736" s="72">
        <v>0</v>
      </c>
      <c r="T2736" s="72">
        <f>M2736*S2736</f>
        <v>0</v>
      </c>
      <c r="U2736" s="72">
        <f>+R2736-T2736</f>
        <v>1600</v>
      </c>
      <c r="V2736" s="72">
        <f t="shared" ref="V2736" si="562">+U2736*0</f>
        <v>0</v>
      </c>
      <c r="W2736" s="72">
        <f>+U2736-V2736</f>
        <v>1600</v>
      </c>
      <c r="X2736" s="72">
        <v>0</v>
      </c>
      <c r="Y2736" s="14">
        <f t="shared" si="548"/>
        <v>0</v>
      </c>
      <c r="Z2736" s="11" t="s">
        <v>26</v>
      </c>
      <c r="AA2736" s="12" t="s">
        <v>31</v>
      </c>
    </row>
    <row r="2737" spans="1:27" x14ac:dyDescent="0.25">
      <c r="A2737" s="10">
        <v>45698</v>
      </c>
      <c r="B2737" s="71">
        <v>2.5555555555555498E-2</v>
      </c>
      <c r="C2737" s="11" t="s">
        <v>5129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2">
        <f>M2737*P2737</f>
        <v>1450</v>
      </c>
      <c r="S2737" s="72">
        <v>0</v>
      </c>
      <c r="T2737" s="72">
        <f>M2737*S2737</f>
        <v>0</v>
      </c>
      <c r="U2737" s="72">
        <f>R2737-T2737</f>
        <v>1450</v>
      </c>
      <c r="V2737" s="72">
        <f>U2737*0</f>
        <v>0</v>
      </c>
      <c r="W2737" s="72">
        <f>U2737-V2737</f>
        <v>1450</v>
      </c>
      <c r="X2737" s="72">
        <v>0</v>
      </c>
      <c r="Y2737" s="14">
        <f t="shared" si="548"/>
        <v>0</v>
      </c>
      <c r="Z2737" s="11" t="s">
        <v>26</v>
      </c>
      <c r="AA2737" s="12" t="s">
        <v>31</v>
      </c>
    </row>
    <row r="2738" spans="1:27" x14ac:dyDescent="0.25">
      <c r="A2738" s="10">
        <v>45698</v>
      </c>
      <c r="B2738" s="71">
        <v>1.6064814814814865E-2</v>
      </c>
      <c r="C2738" s="11" t="s">
        <v>5130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35</v>
      </c>
      <c r="P2738" s="13"/>
      <c r="Q2738" s="13">
        <v>0</v>
      </c>
      <c r="R2738" s="72">
        <f>+L2738*O2738</f>
        <v>1534.4</v>
      </c>
      <c r="S2738" s="72">
        <v>0</v>
      </c>
      <c r="T2738" s="72">
        <f>+L2738*S2738</f>
        <v>0</v>
      </c>
      <c r="U2738" s="72">
        <f>+R2738-T2738</f>
        <v>1534.4</v>
      </c>
      <c r="V2738" s="72">
        <f t="shared" ref="V2738:V2741" si="563">+U2738*0</f>
        <v>0</v>
      </c>
      <c r="W2738" s="72">
        <f>+U2738-V2738</f>
        <v>1534.4</v>
      </c>
      <c r="X2738" s="72">
        <v>0</v>
      </c>
      <c r="Y2738" s="14">
        <f t="shared" si="548"/>
        <v>0</v>
      </c>
      <c r="Z2738" s="11" t="s">
        <v>26</v>
      </c>
      <c r="AA2738" s="12" t="s">
        <v>31</v>
      </c>
    </row>
    <row r="2739" spans="1:27" x14ac:dyDescent="0.25">
      <c r="A2739" s="10">
        <v>45698</v>
      </c>
      <c r="B2739" s="71">
        <v>1.0023148148148142E-2</v>
      </c>
      <c r="C2739" s="11" t="s">
        <v>5131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35</v>
      </c>
      <c r="P2739" s="13"/>
      <c r="Q2739" s="13">
        <v>0</v>
      </c>
      <c r="R2739" s="72">
        <f>+L2739*O2739</f>
        <v>1516.2</v>
      </c>
      <c r="S2739" s="72">
        <v>0</v>
      </c>
      <c r="T2739" s="72">
        <f>+L2739*S2739</f>
        <v>0</v>
      </c>
      <c r="U2739" s="72">
        <f>+R2739-T2739</f>
        <v>1516.2</v>
      </c>
      <c r="V2739" s="72">
        <f t="shared" si="563"/>
        <v>0</v>
      </c>
      <c r="W2739" s="72">
        <f>+U2739-V2739</f>
        <v>1516.2</v>
      </c>
      <c r="X2739" s="72">
        <v>0</v>
      </c>
      <c r="Y2739" s="14">
        <f t="shared" si="548"/>
        <v>0</v>
      </c>
      <c r="Z2739" s="11" t="s">
        <v>26</v>
      </c>
      <c r="AA2739" s="12" t="s">
        <v>31</v>
      </c>
    </row>
    <row r="2740" spans="1:27" x14ac:dyDescent="0.25">
      <c r="A2740" s="10">
        <v>45698</v>
      </c>
      <c r="B2740" s="71">
        <v>2.1504629629629624E-2</v>
      </c>
      <c r="C2740" s="11" t="s">
        <v>5132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35</v>
      </c>
      <c r="P2740" s="13"/>
      <c r="Q2740" s="13">
        <v>0</v>
      </c>
      <c r="R2740" s="72">
        <f>+L2740*O2740</f>
        <v>1575</v>
      </c>
      <c r="S2740" s="72">
        <v>0</v>
      </c>
      <c r="T2740" s="72">
        <f>+L2740*S2740</f>
        <v>0</v>
      </c>
      <c r="U2740" s="72">
        <f>+R2740-T2740</f>
        <v>1575</v>
      </c>
      <c r="V2740" s="72">
        <f t="shared" si="563"/>
        <v>0</v>
      </c>
      <c r="W2740" s="72">
        <f>+U2740-V2740</f>
        <v>1575</v>
      </c>
      <c r="X2740" s="72">
        <v>0</v>
      </c>
      <c r="Y2740" s="14">
        <f t="shared" si="548"/>
        <v>0</v>
      </c>
      <c r="Z2740" s="11" t="s">
        <v>26</v>
      </c>
      <c r="AA2740" s="12" t="s">
        <v>31</v>
      </c>
    </row>
    <row r="2741" spans="1:27" x14ac:dyDescent="0.25">
      <c r="A2741" s="10">
        <v>45698</v>
      </c>
      <c r="B2741" s="71">
        <v>2.2245370370370332E-2</v>
      </c>
      <c r="C2741" s="11" t="s">
        <v>5133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2">
        <f>M2741*P2741</f>
        <v>1600</v>
      </c>
      <c r="S2741" s="72">
        <v>0</v>
      </c>
      <c r="T2741" s="72">
        <f>M2741*S2741</f>
        <v>0</v>
      </c>
      <c r="U2741" s="72">
        <f>+R2741-T2741</f>
        <v>1600</v>
      </c>
      <c r="V2741" s="72">
        <f t="shared" si="563"/>
        <v>0</v>
      </c>
      <c r="W2741" s="72">
        <f>+U2741-V2741</f>
        <v>1600</v>
      </c>
      <c r="X2741" s="72">
        <v>0</v>
      </c>
      <c r="Y2741" s="14">
        <f t="shared" si="548"/>
        <v>0</v>
      </c>
      <c r="Z2741" s="11" t="s">
        <v>26</v>
      </c>
      <c r="AA2741" s="12" t="s">
        <v>31</v>
      </c>
    </row>
    <row r="2742" spans="1:27" x14ac:dyDescent="0.25">
      <c r="A2742" s="10">
        <v>45698</v>
      </c>
      <c r="B2742" s="71">
        <v>7.5462962962962732E-3</v>
      </c>
      <c r="C2742" s="11" t="s">
        <v>5134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1926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2">
        <f>M2742*P2742</f>
        <v>1350</v>
      </c>
      <c r="S2742" s="72">
        <v>0</v>
      </c>
      <c r="T2742" s="72">
        <f>M2742*S2742</f>
        <v>0</v>
      </c>
      <c r="U2742" s="72">
        <f t="shared" ref="U2742" si="564">R2742-T2742</f>
        <v>1350</v>
      </c>
      <c r="V2742" s="72">
        <f>U2742*1</f>
        <v>1350</v>
      </c>
      <c r="W2742" s="72">
        <f>U2742-V2742</f>
        <v>0</v>
      </c>
      <c r="X2742" s="72">
        <v>0</v>
      </c>
      <c r="Y2742" s="14">
        <f t="shared" si="548"/>
        <v>0</v>
      </c>
      <c r="Z2742" s="11" t="s">
        <v>26</v>
      </c>
      <c r="AA2742" s="12" t="s">
        <v>31</v>
      </c>
    </row>
    <row r="2743" spans="1:27" x14ac:dyDescent="0.25">
      <c r="A2743" s="10">
        <v>45698</v>
      </c>
      <c r="B2743" s="71">
        <v>5.4861111111110805E-3</v>
      </c>
      <c r="C2743" s="11" t="s">
        <v>5135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2">
        <f>(L2743*O2743)-Q2743</f>
        <v>450.9</v>
      </c>
      <c r="S2743" s="72">
        <v>0</v>
      </c>
      <c r="T2743" s="72">
        <f t="shared" ref="T2743" si="565">+L2743*S2743</f>
        <v>0</v>
      </c>
      <c r="U2743" s="72">
        <f t="shared" ref="U2743" si="566">+R2743-T2743</f>
        <v>450.9</v>
      </c>
      <c r="V2743" s="72">
        <f>+U2743*0</f>
        <v>0</v>
      </c>
      <c r="W2743" s="72">
        <f t="shared" ref="W2743" si="567">+U2743-V2743</f>
        <v>450.9</v>
      </c>
      <c r="X2743" s="72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x14ac:dyDescent="0.25">
      <c r="A2744" s="10">
        <v>45698</v>
      </c>
      <c r="B2744" s="71">
        <v>8.9386574074074077E-2</v>
      </c>
      <c r="C2744" s="11" t="s">
        <v>5136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2">
        <f>+L2744*O2744</f>
        <v>1732</v>
      </c>
      <c r="S2744" s="72">
        <v>0</v>
      </c>
      <c r="T2744" s="72">
        <f>+L2744*S2744</f>
        <v>0</v>
      </c>
      <c r="U2744" s="72">
        <f>+R2744-T2744</f>
        <v>1732</v>
      </c>
      <c r="V2744" s="72">
        <f t="shared" ref="V2744" si="568">+U2744*0</f>
        <v>0</v>
      </c>
      <c r="W2744" s="72">
        <f>+U2744-V2744</f>
        <v>1732</v>
      </c>
      <c r="X2744" s="72">
        <v>0</v>
      </c>
      <c r="Y2744" s="14">
        <f t="shared" ref="Y2744:Y2751" si="569">T2744-X2744</f>
        <v>0</v>
      </c>
      <c r="Z2744" s="11" t="s">
        <v>26</v>
      </c>
      <c r="AA2744" s="12" t="s">
        <v>31</v>
      </c>
    </row>
    <row r="2745" spans="1:27" x14ac:dyDescent="0.25">
      <c r="A2745" s="10">
        <v>45698</v>
      </c>
      <c r="B2745" s="71">
        <v>8.8564814814814763E-2</v>
      </c>
      <c r="C2745" s="11" t="s">
        <v>5137</v>
      </c>
      <c r="D2745" s="11">
        <v>17281</v>
      </c>
      <c r="E2745" s="11" t="s">
        <v>1217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2">
        <f>M2745*P2745</f>
        <v>1500</v>
      </c>
      <c r="S2745" s="72">
        <v>0</v>
      </c>
      <c r="T2745" s="72">
        <f>M2745*S2745</f>
        <v>0</v>
      </c>
      <c r="U2745" s="72">
        <f>R2745-T2745</f>
        <v>1500</v>
      </c>
      <c r="V2745" s="72">
        <f>U2745*0</f>
        <v>0</v>
      </c>
      <c r="W2745" s="72">
        <f>U2745-V2745</f>
        <v>1500</v>
      </c>
      <c r="X2745" s="72">
        <v>0</v>
      </c>
      <c r="Y2745" s="14">
        <f t="shared" si="569"/>
        <v>0</v>
      </c>
      <c r="Z2745" s="11" t="s">
        <v>26</v>
      </c>
      <c r="AA2745" s="12" t="s">
        <v>31</v>
      </c>
    </row>
    <row r="2746" spans="1:27" x14ac:dyDescent="0.25">
      <c r="A2746" s="10">
        <v>45698</v>
      </c>
      <c r="B2746" s="71">
        <v>8.1481481481481266E-3</v>
      </c>
      <c r="C2746" s="11" t="s">
        <v>5138</v>
      </c>
      <c r="D2746" s="11">
        <v>17282</v>
      </c>
      <c r="E2746" s="11" t="s">
        <v>5139</v>
      </c>
      <c r="F2746" s="11" t="s">
        <v>26</v>
      </c>
      <c r="G2746" s="11">
        <v>78853</v>
      </c>
      <c r="H2746" s="12" t="s">
        <v>4465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2">
        <f>+L2746*O2746</f>
        <v>1841.95</v>
      </c>
      <c r="S2746" s="72">
        <v>0</v>
      </c>
      <c r="T2746" s="72">
        <f>+L2746*S2746</f>
        <v>0</v>
      </c>
      <c r="U2746" s="72">
        <f>+R2746-T2746</f>
        <v>1841.95</v>
      </c>
      <c r="V2746" s="72">
        <f>+U2746*0.75</f>
        <v>1381.4625000000001</v>
      </c>
      <c r="W2746" s="72">
        <f>+U2746-V2746</f>
        <v>460.48749999999995</v>
      </c>
      <c r="X2746" s="72">
        <v>0</v>
      </c>
      <c r="Y2746" s="14">
        <f t="shared" si="569"/>
        <v>0</v>
      </c>
      <c r="Z2746" s="11" t="s">
        <v>26</v>
      </c>
      <c r="AA2746" s="12" t="s">
        <v>31</v>
      </c>
    </row>
    <row r="2747" spans="1:27" x14ac:dyDescent="0.25">
      <c r="A2747" s="10">
        <v>45698</v>
      </c>
      <c r="B2747" s="71">
        <v>8.2986111111110761E-3</v>
      </c>
      <c r="C2747" s="11" t="s">
        <v>5140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2">
        <f>M2747*P2747</f>
        <v>1740</v>
      </c>
      <c r="S2747" s="72">
        <v>0</v>
      </c>
      <c r="T2747" s="72">
        <f>M2747*S2747</f>
        <v>0</v>
      </c>
      <c r="U2747" s="72">
        <f>R2747-T2747</f>
        <v>1740</v>
      </c>
      <c r="V2747" s="72">
        <f>U2747*0</f>
        <v>0</v>
      </c>
      <c r="W2747" s="72">
        <f>+U2747-V2747</f>
        <v>1740</v>
      </c>
      <c r="X2747" s="72">
        <v>0</v>
      </c>
      <c r="Y2747" s="14">
        <f t="shared" si="569"/>
        <v>0</v>
      </c>
      <c r="Z2747" s="11" t="s">
        <v>26</v>
      </c>
      <c r="AA2747" s="12" t="s">
        <v>31</v>
      </c>
    </row>
    <row r="2748" spans="1:27" x14ac:dyDescent="0.25">
      <c r="A2748" s="10">
        <v>45698</v>
      </c>
      <c r="B2748" s="71">
        <v>6.9097222222221921E-3</v>
      </c>
      <c r="C2748" s="11" t="s">
        <v>5141</v>
      </c>
      <c r="D2748" s="11">
        <v>17284</v>
      </c>
      <c r="E2748" s="11" t="s">
        <v>4793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2">
        <f>(L2748*O2748)-Q2748</f>
        <v>314.8</v>
      </c>
      <c r="S2748" s="72">
        <v>0</v>
      </c>
      <c r="T2748" s="72">
        <f t="shared" ref="T2748" si="570">+L2748*S2748</f>
        <v>0</v>
      </c>
      <c r="U2748" s="72">
        <f t="shared" ref="U2748" si="571">+R2748-T2748</f>
        <v>314.8</v>
      </c>
      <c r="V2748" s="72">
        <f t="shared" ref="V2748" si="572">+U2748*0</f>
        <v>0</v>
      </c>
      <c r="W2748" s="72">
        <f t="shared" ref="W2748" si="573">+U2748-V2748</f>
        <v>314.8</v>
      </c>
      <c r="X2748" s="72">
        <v>0</v>
      </c>
      <c r="Y2748" s="14">
        <f t="shared" si="569"/>
        <v>0</v>
      </c>
      <c r="Z2748" s="11" t="s">
        <v>26</v>
      </c>
      <c r="AA2748" s="12" t="s">
        <v>31</v>
      </c>
    </row>
    <row r="2749" spans="1:27" x14ac:dyDescent="0.25">
      <c r="A2749" s="10">
        <v>45698</v>
      </c>
      <c r="B2749" s="71">
        <v>5.3009259259259256E-2</v>
      </c>
      <c r="C2749" s="11" t="s">
        <v>5142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2">
        <f>M2749*P2749</f>
        <v>1500</v>
      </c>
      <c r="S2749" s="72">
        <v>0</v>
      </c>
      <c r="T2749" s="72">
        <f>M2749*S2749</f>
        <v>0</v>
      </c>
      <c r="U2749" s="72">
        <f>R2749-T2749</f>
        <v>1500</v>
      </c>
      <c r="V2749" s="72">
        <f>U2749*0</f>
        <v>0</v>
      </c>
      <c r="W2749" s="72">
        <f>U2749-V2749</f>
        <v>1500</v>
      </c>
      <c r="X2749" s="72">
        <v>0</v>
      </c>
      <c r="Y2749" s="14">
        <f t="shared" si="569"/>
        <v>0</v>
      </c>
      <c r="Z2749" s="11" t="s">
        <v>26</v>
      </c>
      <c r="AA2749" s="12" t="s">
        <v>31</v>
      </c>
    </row>
    <row r="2750" spans="1:27" x14ac:dyDescent="0.25">
      <c r="A2750" s="10">
        <v>45698</v>
      </c>
      <c r="B2750" s="71">
        <v>1.1828703703703702E-2</v>
      </c>
      <c r="C2750" s="11" t="s">
        <v>5143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4463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2">
        <f t="shared" ref="R2750" si="574">+L2750*O2750</f>
        <v>1562.88</v>
      </c>
      <c r="S2750" s="72">
        <v>0</v>
      </c>
      <c r="T2750" s="72">
        <f>+L2750*S2750</f>
        <v>0</v>
      </c>
      <c r="U2750" s="72">
        <f>+R2750-T2750</f>
        <v>1562.88</v>
      </c>
      <c r="V2750" s="72">
        <f>+U2750*1</f>
        <v>1562.88</v>
      </c>
      <c r="W2750" s="72">
        <f>+U2750-V2750</f>
        <v>0</v>
      </c>
      <c r="X2750" s="72">
        <v>0</v>
      </c>
      <c r="Y2750" s="14">
        <f t="shared" si="569"/>
        <v>0</v>
      </c>
      <c r="Z2750" s="11" t="s">
        <v>26</v>
      </c>
      <c r="AA2750" s="12" t="s">
        <v>31</v>
      </c>
    </row>
    <row r="2751" spans="1:27" x14ac:dyDescent="0.25">
      <c r="A2751" s="10">
        <v>45698</v>
      </c>
      <c r="B2751" s="71">
        <v>7.4768518518518734E-3</v>
      </c>
      <c r="C2751" s="11" t="s">
        <v>5144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4464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2">
        <f>+M2751*P2751</f>
        <v>787.19999999999993</v>
      </c>
      <c r="S2751" s="72">
        <v>0</v>
      </c>
      <c r="T2751" s="72">
        <f>+M2751*S2751</f>
        <v>0</v>
      </c>
      <c r="U2751" s="72">
        <f t="shared" ref="U2751" si="575">+R2751-T2751</f>
        <v>787.19999999999993</v>
      </c>
      <c r="V2751" s="72">
        <f>+U2751*1</f>
        <v>787.19999999999993</v>
      </c>
      <c r="W2751" s="72">
        <f t="shared" ref="W2751" si="576">+U2751-V2751</f>
        <v>0</v>
      </c>
      <c r="X2751" s="72">
        <v>0</v>
      </c>
      <c r="Y2751" s="14">
        <f t="shared" si="569"/>
        <v>0</v>
      </c>
      <c r="Z2751" s="11" t="s">
        <v>26</v>
      </c>
      <c r="AA2751" s="12" t="s">
        <v>31</v>
      </c>
    </row>
    <row r="2752" spans="1:27" x14ac:dyDescent="0.25">
      <c r="A2752" s="10">
        <v>45698</v>
      </c>
      <c r="B2752" s="71">
        <v>1.8379629629629635E-2</v>
      </c>
      <c r="C2752" s="11" t="s">
        <v>5145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2">
        <f>+L2752*O2752</f>
        <v>3945.7599999999998</v>
      </c>
      <c r="S2752" s="72">
        <v>40</v>
      </c>
      <c r="T2752" s="72">
        <f>L2752*S2752</f>
        <v>1734.4</v>
      </c>
      <c r="U2752" s="72">
        <f t="shared" ref="U2752" si="577">R2752-T2752</f>
        <v>2211.3599999999997</v>
      </c>
      <c r="V2752" s="72">
        <f>U2752*1</f>
        <v>2211.3599999999997</v>
      </c>
      <c r="W2752" s="72">
        <f t="shared" ref="W2752" si="578">U2752-V2752</f>
        <v>0</v>
      </c>
      <c r="X2752" s="72">
        <f>L2752*36</f>
        <v>1560.96</v>
      </c>
      <c r="Y2752" s="73">
        <f>+T2752-X2752</f>
        <v>173.44000000000005</v>
      </c>
      <c r="Z2752" s="12" t="s">
        <v>70</v>
      </c>
      <c r="AA2752" s="12" t="s">
        <v>79</v>
      </c>
    </row>
    <row r="2753" spans="1:27" x14ac:dyDescent="0.25">
      <c r="A2753" s="10">
        <v>45698</v>
      </c>
      <c r="B2753" s="71">
        <v>2.2083333333333344E-2</v>
      </c>
      <c r="C2753" s="11" t="s">
        <v>5146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2">
        <f>+L2753*O2753</f>
        <v>1620.8000000000002</v>
      </c>
      <c r="S2753" s="72">
        <v>0</v>
      </c>
      <c r="T2753" s="72">
        <f>+L2753*S2753</f>
        <v>0</v>
      </c>
      <c r="U2753" s="72">
        <f>+R2753-T2753</f>
        <v>1620.8000000000002</v>
      </c>
      <c r="V2753" s="72">
        <f t="shared" ref="V2753" si="579">+U2753*0</f>
        <v>0</v>
      </c>
      <c r="W2753" s="72">
        <f>+U2753-V2753</f>
        <v>1620.8000000000002</v>
      </c>
      <c r="X2753" s="72">
        <v>0</v>
      </c>
      <c r="Y2753" s="14">
        <f t="shared" ref="Y2753" si="580">T2753-X2753</f>
        <v>0</v>
      </c>
      <c r="Z2753" s="11" t="s">
        <v>26</v>
      </c>
      <c r="AA2753" s="12" t="s">
        <v>31</v>
      </c>
    </row>
    <row r="2754" spans="1:27" x14ac:dyDescent="0.25">
      <c r="A2754" s="10">
        <v>45698</v>
      </c>
      <c r="B2754" s="71">
        <v>5.3344907407407383E-2</v>
      </c>
      <c r="C2754" s="11" t="s">
        <v>5147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4441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2">
        <f>L2754*O2754</f>
        <v>2593.8000000000002</v>
      </c>
      <c r="S2754" s="72">
        <v>41</v>
      </c>
      <c r="T2754" s="72">
        <f>+L2754*S2754</f>
        <v>1181.6200000000001</v>
      </c>
      <c r="U2754" s="72">
        <f t="shared" ref="U2754:U2756" si="581">R2754-T2754</f>
        <v>1412.18</v>
      </c>
      <c r="V2754" s="72">
        <f>U2754*1</f>
        <v>1412.18</v>
      </c>
      <c r="W2754" s="72">
        <f t="shared" ref="W2754" si="582">U2754-V2754</f>
        <v>0</v>
      </c>
      <c r="X2754" s="16">
        <f>L2754*40</f>
        <v>1152.8</v>
      </c>
      <c r="Y2754" s="73">
        <f t="shared" ref="Y2754" si="583">+T2754-X2754</f>
        <v>28.820000000000164</v>
      </c>
      <c r="Z2754" s="12" t="s">
        <v>6345</v>
      </c>
      <c r="AA2754" s="12" t="s">
        <v>747</v>
      </c>
    </row>
    <row r="2755" spans="1:27" x14ac:dyDescent="0.25">
      <c r="A2755" s="10">
        <v>45698</v>
      </c>
      <c r="B2755" s="71">
        <v>1.0057870370370314E-2</v>
      </c>
      <c r="C2755" s="11" t="s">
        <v>5148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1926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2">
        <f>M2755*P2755</f>
        <v>1350</v>
      </c>
      <c r="S2755" s="72">
        <v>0</v>
      </c>
      <c r="T2755" s="72">
        <f>M2755*S2755</f>
        <v>0</v>
      </c>
      <c r="U2755" s="72">
        <f t="shared" si="581"/>
        <v>1350</v>
      </c>
      <c r="V2755" s="72">
        <f>U2755*1</f>
        <v>1350</v>
      </c>
      <c r="W2755" s="72">
        <f>U2755-V2755</f>
        <v>0</v>
      </c>
      <c r="X2755" s="72">
        <v>0</v>
      </c>
      <c r="Y2755" s="14">
        <f t="shared" ref="Y2755" si="584">T2755-X2755</f>
        <v>0</v>
      </c>
      <c r="Z2755" s="11" t="s">
        <v>26</v>
      </c>
      <c r="AA2755" s="12" t="s">
        <v>31</v>
      </c>
    </row>
    <row r="2756" spans="1:27" x14ac:dyDescent="0.25">
      <c r="A2756" s="10">
        <v>45698</v>
      </c>
      <c r="B2756" s="71">
        <v>6.4444444444444471E-2</v>
      </c>
      <c r="C2756" s="11" t="s">
        <v>5149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2">
        <f>+L2756*O2756</f>
        <v>3918.46</v>
      </c>
      <c r="S2756" s="72">
        <v>40</v>
      </c>
      <c r="T2756" s="72">
        <f>L2756*S2756</f>
        <v>1722.4</v>
      </c>
      <c r="U2756" s="72">
        <f t="shared" si="581"/>
        <v>2196.06</v>
      </c>
      <c r="V2756" s="72">
        <f>U2756*1</f>
        <v>2196.06</v>
      </c>
      <c r="W2756" s="72">
        <f t="shared" ref="W2756" si="585">U2756-V2756</f>
        <v>0</v>
      </c>
      <c r="X2756" s="72">
        <f>L2756*36</f>
        <v>1550.16</v>
      </c>
      <c r="Y2756" s="73">
        <f>+T2756-X2756</f>
        <v>172.24</v>
      </c>
      <c r="Z2756" s="12" t="s">
        <v>70</v>
      </c>
      <c r="AA2756" s="12" t="s">
        <v>79</v>
      </c>
    </row>
    <row r="2757" spans="1:27" x14ac:dyDescent="0.25">
      <c r="A2757" s="10">
        <v>45698</v>
      </c>
      <c r="B2757" s="71">
        <v>2.4756944444444429E-2</v>
      </c>
      <c r="C2757" s="11" t="s">
        <v>5150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4463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2">
        <f t="shared" ref="R2757:R2758" si="586">+L2757*O2757</f>
        <v>1504.8000000000002</v>
      </c>
      <c r="S2757" s="72">
        <v>0</v>
      </c>
      <c r="T2757" s="72">
        <f>+L2757*S2757</f>
        <v>0</v>
      </c>
      <c r="U2757" s="72">
        <f>+R2757-T2757</f>
        <v>1504.8000000000002</v>
      </c>
      <c r="V2757" s="72">
        <f>+U2757*1</f>
        <v>1504.8000000000002</v>
      </c>
      <c r="W2757" s="72">
        <f>+U2757-V2757</f>
        <v>0</v>
      </c>
      <c r="X2757" s="72">
        <v>0</v>
      </c>
      <c r="Y2757" s="14">
        <f t="shared" ref="Y2757:Y2764" si="587">T2757-X2757</f>
        <v>0</v>
      </c>
      <c r="Z2757" s="11" t="s">
        <v>26</v>
      </c>
      <c r="AA2757" s="12" t="s">
        <v>31</v>
      </c>
    </row>
    <row r="2758" spans="1:27" x14ac:dyDescent="0.25">
      <c r="A2758" s="10">
        <v>45698</v>
      </c>
      <c r="B2758" s="71">
        <v>0.21859953703703705</v>
      </c>
      <c r="C2758" s="11" t="s">
        <v>5151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4463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2">
        <f t="shared" si="586"/>
        <v>1524.16</v>
      </c>
      <c r="S2758" s="72">
        <v>0</v>
      </c>
      <c r="T2758" s="72">
        <f>+L2758*S2758</f>
        <v>0</v>
      </c>
      <c r="U2758" s="72">
        <f>+R2758-T2758</f>
        <v>1524.16</v>
      </c>
      <c r="V2758" s="72">
        <f>+U2758*1</f>
        <v>1524.16</v>
      </c>
      <c r="W2758" s="72">
        <f>+U2758-V2758</f>
        <v>0</v>
      </c>
      <c r="X2758" s="72">
        <v>0</v>
      </c>
      <c r="Y2758" s="14">
        <f t="shared" si="587"/>
        <v>0</v>
      </c>
      <c r="Z2758" s="11" t="s">
        <v>26</v>
      </c>
      <c r="AA2758" s="12" t="s">
        <v>31</v>
      </c>
    </row>
    <row r="2759" spans="1:27" x14ac:dyDescent="0.25">
      <c r="A2759" s="10">
        <v>45698</v>
      </c>
      <c r="B2759" s="71">
        <v>0.25307870370370372</v>
      </c>
      <c r="C2759" s="11" t="s">
        <v>5152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4440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2">
        <f>+L2759*O2759</f>
        <v>1601.1</v>
      </c>
      <c r="S2759" s="72">
        <v>0</v>
      </c>
      <c r="T2759" s="72">
        <f>+L2759*S2759</f>
        <v>0</v>
      </c>
      <c r="U2759" s="72">
        <f t="shared" ref="U2759" si="588">+R2759-T2759</f>
        <v>1601.1</v>
      </c>
      <c r="V2759" s="72">
        <f>+U2759*1</f>
        <v>1601.1</v>
      </c>
      <c r="W2759" s="72">
        <f t="shared" ref="W2759" si="589">+U2759-V2759</f>
        <v>0</v>
      </c>
      <c r="X2759" s="72">
        <v>0</v>
      </c>
      <c r="Y2759" s="14">
        <f t="shared" si="587"/>
        <v>0</v>
      </c>
      <c r="Z2759" s="11" t="s">
        <v>26</v>
      </c>
      <c r="AA2759" s="12" t="s">
        <v>31</v>
      </c>
    </row>
    <row r="2760" spans="1:27" x14ac:dyDescent="0.25">
      <c r="A2760" s="10">
        <v>45698</v>
      </c>
      <c r="B2760" s="71">
        <v>1.4652777777777848E-2</v>
      </c>
      <c r="C2760" s="11" t="s">
        <v>5153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6345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2">
        <f>L2760*O2760</f>
        <v>1648.15</v>
      </c>
      <c r="S2760" s="72">
        <v>0</v>
      </c>
      <c r="T2760" s="72">
        <f>+L2760*S2760</f>
        <v>0</v>
      </c>
      <c r="U2760" s="72">
        <f>R2760-T2760</f>
        <v>1648.15</v>
      </c>
      <c r="V2760" s="72">
        <f>U2760*0</f>
        <v>0</v>
      </c>
      <c r="W2760" s="72">
        <f>U2760-V2760</f>
        <v>1648.15</v>
      </c>
      <c r="X2760" s="72">
        <v>0</v>
      </c>
      <c r="Y2760" s="14">
        <f t="shared" si="587"/>
        <v>0</v>
      </c>
      <c r="Z2760" s="11" t="s">
        <v>26</v>
      </c>
      <c r="AA2760" s="12" t="s">
        <v>31</v>
      </c>
    </row>
    <row r="2761" spans="1:27" x14ac:dyDescent="0.25">
      <c r="A2761" s="10">
        <v>45698</v>
      </c>
      <c r="B2761" s="71">
        <v>9.4212962962962887E-3</v>
      </c>
      <c r="C2761" s="11" t="s">
        <v>5154</v>
      </c>
      <c r="D2761" s="11">
        <v>17297</v>
      </c>
      <c r="E2761" s="11" t="s">
        <v>3955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2">
        <f>(L2761*O2761)-Q2761</f>
        <v>199.20000000000002</v>
      </c>
      <c r="S2761" s="72">
        <v>0</v>
      </c>
      <c r="T2761" s="72">
        <f t="shared" ref="T2761" si="590">+L2761*S2761</f>
        <v>0</v>
      </c>
      <c r="U2761" s="72">
        <f t="shared" ref="U2761" si="591">+R2761-T2761</f>
        <v>199.20000000000002</v>
      </c>
      <c r="V2761" s="72">
        <f t="shared" ref="V2761:V2762" si="592">+U2761*0</f>
        <v>0</v>
      </c>
      <c r="W2761" s="72">
        <f t="shared" ref="W2761" si="593">+U2761-V2761</f>
        <v>199.20000000000002</v>
      </c>
      <c r="X2761" s="72">
        <v>0</v>
      </c>
      <c r="Y2761" s="14">
        <f t="shared" si="587"/>
        <v>0</v>
      </c>
      <c r="Z2761" s="11" t="s">
        <v>26</v>
      </c>
      <c r="AA2761" s="12" t="s">
        <v>31</v>
      </c>
    </row>
    <row r="2762" spans="1:27" x14ac:dyDescent="0.25">
      <c r="A2762" s="10">
        <v>45698</v>
      </c>
      <c r="B2762" s="71">
        <v>1.4918981481481519E-2</v>
      </c>
      <c r="C2762" s="11" t="s">
        <v>5155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35</v>
      </c>
      <c r="P2762" s="13"/>
      <c r="Q2762" s="13">
        <v>0</v>
      </c>
      <c r="R2762" s="72">
        <f>+L2762*O2762</f>
        <v>1532.3</v>
      </c>
      <c r="S2762" s="72">
        <v>0</v>
      </c>
      <c r="T2762" s="72">
        <f>+L2762*S2762</f>
        <v>0</v>
      </c>
      <c r="U2762" s="72">
        <f>+R2762-T2762</f>
        <v>1532.3</v>
      </c>
      <c r="V2762" s="72">
        <f t="shared" si="592"/>
        <v>0</v>
      </c>
      <c r="W2762" s="72">
        <f>+U2762-V2762</f>
        <v>1532.3</v>
      </c>
      <c r="X2762" s="72">
        <v>0</v>
      </c>
      <c r="Y2762" s="14">
        <f t="shared" si="587"/>
        <v>0</v>
      </c>
      <c r="Z2762" s="11" t="s">
        <v>26</v>
      </c>
      <c r="AA2762" s="12" t="s">
        <v>31</v>
      </c>
    </row>
    <row r="2763" spans="1:27" x14ac:dyDescent="0.25">
      <c r="A2763" s="10">
        <v>45698</v>
      </c>
      <c r="B2763" s="71">
        <v>2.2673611111111103E-2</v>
      </c>
      <c r="C2763" s="11" t="s">
        <v>5156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4463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2">
        <f t="shared" ref="R2763" si="594">+L2763*O2763</f>
        <v>1590.16</v>
      </c>
      <c r="S2763" s="72">
        <v>0</v>
      </c>
      <c r="T2763" s="72">
        <f>+L2763*S2763</f>
        <v>0</v>
      </c>
      <c r="U2763" s="72">
        <f>+R2763-T2763</f>
        <v>1590.16</v>
      </c>
      <c r="V2763" s="72">
        <f>+U2763*1</f>
        <v>1590.16</v>
      </c>
      <c r="W2763" s="72">
        <f>+U2763-V2763</f>
        <v>0</v>
      </c>
      <c r="X2763" s="72">
        <v>0</v>
      </c>
      <c r="Y2763" s="14">
        <f t="shared" si="587"/>
        <v>0</v>
      </c>
      <c r="Z2763" s="11" t="s">
        <v>26</v>
      </c>
      <c r="AA2763" s="12" t="s">
        <v>31</v>
      </c>
    </row>
    <row r="2764" spans="1:27" x14ac:dyDescent="0.25">
      <c r="A2764" s="10">
        <v>45698</v>
      </c>
      <c r="B2764" s="71">
        <v>0.12392361111111111</v>
      </c>
      <c r="C2764" s="11" t="s">
        <v>5157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2">
        <f>M2764*P2764</f>
        <v>1450</v>
      </c>
      <c r="S2764" s="72">
        <v>0</v>
      </c>
      <c r="T2764" s="72">
        <f>M2764*S2764</f>
        <v>0</v>
      </c>
      <c r="U2764" s="72">
        <f>R2764-T2764</f>
        <v>1450</v>
      </c>
      <c r="V2764" s="72">
        <f>U2764*0</f>
        <v>0</v>
      </c>
      <c r="W2764" s="72">
        <f>U2764-V2764</f>
        <v>1450</v>
      </c>
      <c r="X2764" s="72">
        <v>0</v>
      </c>
      <c r="Y2764" s="14">
        <f t="shared" si="587"/>
        <v>0</v>
      </c>
      <c r="Z2764" s="11" t="s">
        <v>26</v>
      </c>
      <c r="AA2764" s="12" t="s">
        <v>31</v>
      </c>
    </row>
    <row r="2765" spans="1:27" x14ac:dyDescent="0.25">
      <c r="A2765" s="10">
        <v>45698</v>
      </c>
      <c r="B2765" s="71">
        <v>4.2592592592592515E-2</v>
      </c>
      <c r="C2765" s="11" t="s">
        <v>5158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2">
        <f>+L2765*O2765</f>
        <v>3963.96</v>
      </c>
      <c r="S2765" s="72">
        <v>40</v>
      </c>
      <c r="T2765" s="72">
        <f>L2765*S2765</f>
        <v>1742.4</v>
      </c>
      <c r="U2765" s="72">
        <f t="shared" ref="U2765" si="595">R2765-T2765</f>
        <v>2221.56</v>
      </c>
      <c r="V2765" s="72">
        <f>U2765*1</f>
        <v>2221.56</v>
      </c>
      <c r="W2765" s="72">
        <f t="shared" ref="W2765" si="596">U2765-V2765</f>
        <v>0</v>
      </c>
      <c r="X2765" s="72">
        <f>L2765*36</f>
        <v>1568.16</v>
      </c>
      <c r="Y2765" s="73">
        <f>+T2765-X2765</f>
        <v>174.24</v>
      </c>
      <c r="Z2765" s="12" t="s">
        <v>70</v>
      </c>
      <c r="AA2765" s="12" t="s">
        <v>79</v>
      </c>
    </row>
    <row r="2766" spans="1:27" x14ac:dyDescent="0.25">
      <c r="A2766" s="10">
        <v>45698</v>
      </c>
      <c r="B2766" s="71">
        <v>1.2708333333333321E-2</v>
      </c>
      <c r="C2766" s="11" t="s">
        <v>5159</v>
      </c>
      <c r="D2766" s="11">
        <v>17302</v>
      </c>
      <c r="E2766" s="11" t="s">
        <v>3955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2">
        <f>(L2766*O2766)-Q2766</f>
        <v>191.6</v>
      </c>
      <c r="S2766" s="72">
        <v>0</v>
      </c>
      <c r="T2766" s="72">
        <f t="shared" ref="T2766" si="597">+L2766*S2766</f>
        <v>0</v>
      </c>
      <c r="U2766" s="72">
        <f t="shared" ref="U2766" si="598">+R2766-T2766</f>
        <v>191.6</v>
      </c>
      <c r="V2766" s="72">
        <f t="shared" ref="V2766" si="599">+U2766*0</f>
        <v>0</v>
      </c>
      <c r="W2766" s="72">
        <f t="shared" ref="W2766" si="600">+U2766-V2766</f>
        <v>191.6</v>
      </c>
      <c r="X2766" s="72">
        <v>0</v>
      </c>
      <c r="Y2766" s="14">
        <f t="shared" ref="Y2766:Y2767" si="601">T2766-X2766</f>
        <v>0</v>
      </c>
      <c r="Z2766" s="11" t="s">
        <v>26</v>
      </c>
      <c r="AA2766" s="12" t="s">
        <v>31</v>
      </c>
    </row>
    <row r="2767" spans="1:27" x14ac:dyDescent="0.25">
      <c r="A2767" s="10">
        <v>45698</v>
      </c>
      <c r="B2767" s="71">
        <v>1.2210648148148096E-2</v>
      </c>
      <c r="C2767" s="11" t="s">
        <v>5160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2">
        <f t="shared" ref="R2767" si="602">L2767*O2767</f>
        <v>1085</v>
      </c>
      <c r="S2767" s="72">
        <v>0</v>
      </c>
      <c r="T2767" s="72">
        <f t="shared" ref="T2767" si="603">L2767*S2767</f>
        <v>0</v>
      </c>
      <c r="U2767" s="72">
        <f t="shared" ref="U2767" si="604">R2767-T2767</f>
        <v>1085</v>
      </c>
      <c r="V2767" s="72">
        <f>U2767*0</f>
        <v>0</v>
      </c>
      <c r="W2767" s="72">
        <f t="shared" ref="W2767" si="605">U2767-V2767</f>
        <v>1085</v>
      </c>
      <c r="X2767" s="72">
        <v>0</v>
      </c>
      <c r="Y2767" s="14">
        <f t="shared" si="601"/>
        <v>0</v>
      </c>
      <c r="Z2767" s="11" t="s">
        <v>26</v>
      </c>
      <c r="AA2767" s="12" t="s">
        <v>31</v>
      </c>
    </row>
    <row r="2768" spans="1:27" x14ac:dyDescent="0.25">
      <c r="A2768" s="10">
        <v>45698</v>
      </c>
      <c r="B2768" s="71">
        <v>1.3101851851851865E-2</v>
      </c>
      <c r="C2768" s="11" t="s">
        <v>5161</v>
      </c>
      <c r="D2768" s="11">
        <v>17304</v>
      </c>
      <c r="E2768" s="11" t="s">
        <v>1217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2">
        <f>L2768*O2768</f>
        <v>1083</v>
      </c>
      <c r="S2768" s="72">
        <v>0</v>
      </c>
      <c r="T2768" s="72">
        <f>L2768*S2768</f>
        <v>0</v>
      </c>
      <c r="U2768" s="72">
        <f>R2768-T2768</f>
        <v>1083</v>
      </c>
      <c r="V2768" s="72">
        <f>U2768*0</f>
        <v>0</v>
      </c>
      <c r="W2768" s="72">
        <f>U2768-V2768</f>
        <v>1083</v>
      </c>
      <c r="X2768" s="72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x14ac:dyDescent="0.25">
      <c r="A2769" s="10">
        <v>45698</v>
      </c>
      <c r="B2769" s="71">
        <v>1.7083333333333339E-2</v>
      </c>
      <c r="C2769" s="11" t="s">
        <v>5162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2">
        <f>M2769*P2769</f>
        <v>1012.5</v>
      </c>
      <c r="S2769" s="72">
        <v>0</v>
      </c>
      <c r="T2769" s="72">
        <f>M2769*S2769</f>
        <v>0</v>
      </c>
      <c r="U2769" s="72">
        <f>+R2769-T2769</f>
        <v>1012.5</v>
      </c>
      <c r="V2769" s="72">
        <f t="shared" ref="V2769:V2770" si="606">+U2769*0</f>
        <v>0</v>
      </c>
      <c r="W2769" s="72">
        <f>+U2769-V2769</f>
        <v>1012.5</v>
      </c>
      <c r="X2769" s="72">
        <v>0</v>
      </c>
      <c r="Y2769" s="14">
        <f t="shared" ref="Y2769:Y2770" si="607">T2769-X2769</f>
        <v>0</v>
      </c>
      <c r="Z2769" s="11" t="s">
        <v>26</v>
      </c>
      <c r="AA2769" s="12" t="s">
        <v>31</v>
      </c>
    </row>
    <row r="2770" spans="1:27" x14ac:dyDescent="0.25">
      <c r="A2770" s="10">
        <v>45698</v>
      </c>
      <c r="B2770" s="71">
        <v>4.3715277777777728E-2</v>
      </c>
      <c r="C2770" s="11" t="s">
        <v>5163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35</v>
      </c>
      <c r="P2770" s="13"/>
      <c r="Q2770" s="13">
        <v>0</v>
      </c>
      <c r="R2770" s="72">
        <f>+L2770*O2770</f>
        <v>1510.6</v>
      </c>
      <c r="S2770" s="72">
        <v>0</v>
      </c>
      <c r="T2770" s="72">
        <f>+L2770*S2770</f>
        <v>0</v>
      </c>
      <c r="U2770" s="72">
        <f>+R2770-T2770</f>
        <v>1510.6</v>
      </c>
      <c r="V2770" s="72">
        <f t="shared" si="606"/>
        <v>0</v>
      </c>
      <c r="W2770" s="72">
        <f>+U2770-V2770</f>
        <v>1510.6</v>
      </c>
      <c r="X2770" s="72">
        <v>0</v>
      </c>
      <c r="Y2770" s="14">
        <f t="shared" si="607"/>
        <v>0</v>
      </c>
      <c r="Z2770" s="11" t="s">
        <v>26</v>
      </c>
      <c r="AA2770" s="12" t="s">
        <v>31</v>
      </c>
    </row>
    <row r="2771" spans="1:27" x14ac:dyDescent="0.25">
      <c r="A2771" s="10">
        <v>45698</v>
      </c>
      <c r="B2771" s="71">
        <v>6.7083333333333384E-2</v>
      </c>
      <c r="C2771" s="11" t="s">
        <v>5164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2">
        <f>L2771*O2771</f>
        <v>1014</v>
      </c>
      <c r="S2771" s="72">
        <v>0</v>
      </c>
      <c r="T2771" s="72">
        <f>L2771*S2771</f>
        <v>0</v>
      </c>
      <c r="U2771" s="72">
        <f>R2771-T2771</f>
        <v>1014</v>
      </c>
      <c r="V2771" s="72">
        <f>U2771*0</f>
        <v>0</v>
      </c>
      <c r="W2771" s="72">
        <f>U2771-V2771</f>
        <v>1014</v>
      </c>
      <c r="X2771" s="72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x14ac:dyDescent="0.25">
      <c r="A2772" s="10">
        <v>45698</v>
      </c>
      <c r="B2772" s="71">
        <v>7.3495370370371127E-3</v>
      </c>
      <c r="C2772" s="11" t="s">
        <v>5165</v>
      </c>
      <c r="D2772" s="11">
        <v>17308</v>
      </c>
      <c r="E2772" s="11" t="s">
        <v>3955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2">
        <f>(L2772*O2772)-Q2772</f>
        <v>200.79999999999998</v>
      </c>
      <c r="S2772" s="72">
        <v>0</v>
      </c>
      <c r="T2772" s="72">
        <f t="shared" ref="T2772" si="608">+L2772*S2772</f>
        <v>0</v>
      </c>
      <c r="U2772" s="72">
        <f t="shared" ref="U2772" si="609">+R2772-T2772</f>
        <v>200.79999999999998</v>
      </c>
      <c r="V2772" s="72">
        <f t="shared" ref="V2772:V2773" si="610">+U2772*0</f>
        <v>0</v>
      </c>
      <c r="W2772" s="72">
        <f t="shared" ref="W2772" si="611">+U2772-V2772</f>
        <v>200.79999999999998</v>
      </c>
      <c r="X2772" s="72">
        <v>0</v>
      </c>
      <c r="Y2772" s="14">
        <f t="shared" ref="Y2772:Y2774" si="612">T2772-X2772</f>
        <v>0</v>
      </c>
      <c r="Z2772" s="11" t="s">
        <v>26</v>
      </c>
      <c r="AA2772" s="12" t="s">
        <v>31</v>
      </c>
    </row>
    <row r="2773" spans="1:27" x14ac:dyDescent="0.25">
      <c r="A2773" s="10">
        <v>45698</v>
      </c>
      <c r="B2773" s="71">
        <v>9.3252314814814774E-2</v>
      </c>
      <c r="C2773" s="11" t="s">
        <v>5166</v>
      </c>
      <c r="D2773" s="11">
        <v>17309</v>
      </c>
      <c r="E2773" s="11" t="s">
        <v>2126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2">
        <f>+L2773*O2773</f>
        <v>1678.4</v>
      </c>
      <c r="S2773" s="72">
        <v>0</v>
      </c>
      <c r="T2773" s="72">
        <f>+L2773*S2773</f>
        <v>0</v>
      </c>
      <c r="U2773" s="72">
        <f>+R2773-T2773</f>
        <v>1678.4</v>
      </c>
      <c r="V2773" s="72">
        <f t="shared" si="610"/>
        <v>0</v>
      </c>
      <c r="W2773" s="72">
        <f>+U2773-V2773</f>
        <v>1678.4</v>
      </c>
      <c r="X2773" s="72">
        <v>0</v>
      </c>
      <c r="Y2773" s="14">
        <f t="shared" si="612"/>
        <v>0</v>
      </c>
      <c r="Z2773" s="11" t="s">
        <v>26</v>
      </c>
      <c r="AA2773" s="12" t="s">
        <v>31</v>
      </c>
    </row>
    <row r="2774" spans="1:27" x14ac:dyDescent="0.25">
      <c r="A2774" s="10">
        <v>45698</v>
      </c>
      <c r="B2774" s="71">
        <v>1.547453703703694E-2</v>
      </c>
      <c r="C2774" s="11" t="s">
        <v>5167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1926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2">
        <f>M2774*P2774</f>
        <v>1350</v>
      </c>
      <c r="S2774" s="72">
        <v>0</v>
      </c>
      <c r="T2774" s="72">
        <f>M2774*S2774</f>
        <v>0</v>
      </c>
      <c r="U2774" s="72">
        <f t="shared" ref="U2774:U2775" si="613">R2774-T2774</f>
        <v>1350</v>
      </c>
      <c r="V2774" s="72">
        <f>U2774*1</f>
        <v>1350</v>
      </c>
      <c r="W2774" s="72">
        <f>U2774-V2774</f>
        <v>0</v>
      </c>
      <c r="X2774" s="72">
        <v>0</v>
      </c>
      <c r="Y2774" s="14">
        <f t="shared" si="612"/>
        <v>0</v>
      </c>
      <c r="Z2774" s="11" t="s">
        <v>26</v>
      </c>
      <c r="AA2774" s="12" t="s">
        <v>31</v>
      </c>
    </row>
    <row r="2775" spans="1:27" x14ac:dyDescent="0.25">
      <c r="A2775" s="10">
        <v>45698</v>
      </c>
      <c r="B2775" s="71">
        <v>9.3564814814814712E-2</v>
      </c>
      <c r="C2775" s="11" t="s">
        <v>5168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4441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2">
        <f>L2775*O2775</f>
        <v>2552.4</v>
      </c>
      <c r="S2775" s="72">
        <v>41</v>
      </c>
      <c r="T2775" s="72">
        <f>+L2775*S2775</f>
        <v>1162.76</v>
      </c>
      <c r="U2775" s="72">
        <f t="shared" si="613"/>
        <v>1389.64</v>
      </c>
      <c r="V2775" s="72">
        <f>U2775*1</f>
        <v>1389.64</v>
      </c>
      <c r="W2775" s="72">
        <f t="shared" ref="W2775" si="614">U2775-V2775</f>
        <v>0</v>
      </c>
      <c r="X2775" s="16">
        <f>L2775*40</f>
        <v>1134.4000000000001</v>
      </c>
      <c r="Y2775" s="73">
        <f t="shared" ref="Y2775" si="615">+T2775-X2775</f>
        <v>28.3599999999999</v>
      </c>
      <c r="Z2775" s="12" t="s">
        <v>6345</v>
      </c>
      <c r="AA2775" s="12" t="s">
        <v>747</v>
      </c>
    </row>
    <row r="2776" spans="1:27" x14ac:dyDescent="0.25">
      <c r="A2776" s="10">
        <v>45698</v>
      </c>
      <c r="B2776" s="71">
        <v>0.14287037037037031</v>
      </c>
      <c r="C2776" s="11" t="s">
        <v>5169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4464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2">
        <f>+M2776*P2776</f>
        <v>756</v>
      </c>
      <c r="S2776" s="72">
        <v>0</v>
      </c>
      <c r="T2776" s="72">
        <f>+M2776*S2776</f>
        <v>0</v>
      </c>
      <c r="U2776" s="72">
        <f t="shared" ref="U2776" si="616">+R2776-T2776</f>
        <v>756</v>
      </c>
      <c r="V2776" s="72">
        <f>+U2776*1</f>
        <v>756</v>
      </c>
      <c r="W2776" s="72">
        <f t="shared" ref="W2776" si="617">+U2776-V2776</f>
        <v>0</v>
      </c>
      <c r="X2776" s="72">
        <v>0</v>
      </c>
      <c r="Y2776" s="14">
        <f t="shared" ref="Y2776:Y2798" si="618">T2776-X2776</f>
        <v>0</v>
      </c>
      <c r="Z2776" s="11" t="s">
        <v>26</v>
      </c>
      <c r="AA2776" s="12" t="s">
        <v>31</v>
      </c>
    </row>
    <row r="2777" spans="1:27" x14ac:dyDescent="0.25">
      <c r="A2777" s="10">
        <v>45698</v>
      </c>
      <c r="B2777" s="71">
        <v>8.0787037037035603E-3</v>
      </c>
      <c r="C2777" s="11" t="s">
        <v>5170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2">
        <f t="shared" ref="R2777" si="619">L2777*O2777</f>
        <v>1056</v>
      </c>
      <c r="S2777" s="72">
        <v>0</v>
      </c>
      <c r="T2777" s="72">
        <f t="shared" ref="T2777" si="620">L2777*S2777</f>
        <v>0</v>
      </c>
      <c r="U2777" s="72">
        <f t="shared" ref="U2777" si="621">R2777-T2777</f>
        <v>1056</v>
      </c>
      <c r="V2777" s="72">
        <f>U2777*0</f>
        <v>0</v>
      </c>
      <c r="W2777" s="72">
        <f t="shared" ref="W2777" si="622">U2777-V2777</f>
        <v>1056</v>
      </c>
      <c r="X2777" s="72">
        <v>0</v>
      </c>
      <c r="Y2777" s="14">
        <f t="shared" si="618"/>
        <v>0</v>
      </c>
      <c r="Z2777" s="11" t="s">
        <v>26</v>
      </c>
      <c r="AA2777" s="12" t="s">
        <v>31</v>
      </c>
    </row>
    <row r="2778" spans="1:27" x14ac:dyDescent="0.25">
      <c r="A2778" s="10">
        <v>45698</v>
      </c>
      <c r="B2778" s="71">
        <v>0.1262847222222222</v>
      </c>
      <c r="C2778" s="11" t="s">
        <v>5171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4440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2">
        <f>+L2778*O2778</f>
        <v>1618.2</v>
      </c>
      <c r="S2778" s="72">
        <v>0</v>
      </c>
      <c r="T2778" s="72">
        <f>+L2778*S2778</f>
        <v>0</v>
      </c>
      <c r="U2778" s="72">
        <f t="shared" ref="U2778:U2779" si="623">+R2778-T2778</f>
        <v>1618.2</v>
      </c>
      <c r="V2778" s="72">
        <f>+U2778*1</f>
        <v>1618.2</v>
      </c>
      <c r="W2778" s="72">
        <f t="shared" ref="W2778:W2779" si="624">+U2778-V2778</f>
        <v>0</v>
      </c>
      <c r="X2778" s="72">
        <v>0</v>
      </c>
      <c r="Y2778" s="14">
        <f t="shared" si="618"/>
        <v>0</v>
      </c>
      <c r="Z2778" s="11" t="s">
        <v>26</v>
      </c>
      <c r="AA2778" s="12" t="s">
        <v>31</v>
      </c>
    </row>
    <row r="2779" spans="1:27" x14ac:dyDescent="0.25">
      <c r="A2779" s="10">
        <v>45698</v>
      </c>
      <c r="B2779" s="71">
        <v>7.2685185185183965E-3</v>
      </c>
      <c r="C2779" s="11" t="s">
        <v>5172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2">
        <f>+M2779*P2779</f>
        <v>1600</v>
      </c>
      <c r="S2779" s="72">
        <v>0</v>
      </c>
      <c r="T2779" s="72">
        <f>+M2779*S2779</f>
        <v>0</v>
      </c>
      <c r="U2779" s="72">
        <f t="shared" si="623"/>
        <v>1600</v>
      </c>
      <c r="V2779" s="72">
        <f t="shared" ref="V2779" si="625">+U2779*0</f>
        <v>0</v>
      </c>
      <c r="W2779" s="72">
        <f t="shared" si="624"/>
        <v>1600</v>
      </c>
      <c r="X2779" s="72">
        <v>0</v>
      </c>
      <c r="Y2779" s="14">
        <f t="shared" si="618"/>
        <v>0</v>
      </c>
      <c r="Z2779" s="11" t="s">
        <v>26</v>
      </c>
      <c r="AA2779" s="12" t="s">
        <v>31</v>
      </c>
    </row>
    <row r="2780" spans="1:27" x14ac:dyDescent="0.25">
      <c r="A2780" s="10">
        <v>45698</v>
      </c>
      <c r="B2780" s="71">
        <v>0.12678240740740732</v>
      </c>
      <c r="C2780" s="11" t="s">
        <v>5173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4463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2">
        <f t="shared" ref="R2780" si="626">+L2780*O2780</f>
        <v>1600.72</v>
      </c>
      <c r="S2780" s="72">
        <v>0</v>
      </c>
      <c r="T2780" s="72">
        <f>+L2780*S2780</f>
        <v>0</v>
      </c>
      <c r="U2780" s="72">
        <f>+R2780-T2780</f>
        <v>1600.72</v>
      </c>
      <c r="V2780" s="72">
        <f>+U2780*1</f>
        <v>1600.72</v>
      </c>
      <c r="W2780" s="72">
        <f>+U2780-V2780</f>
        <v>0</v>
      </c>
      <c r="X2780" s="72">
        <v>0</v>
      </c>
      <c r="Y2780" s="14">
        <f t="shared" si="618"/>
        <v>0</v>
      </c>
      <c r="Z2780" s="11" t="s">
        <v>26</v>
      </c>
      <c r="AA2780" s="12" t="s">
        <v>31</v>
      </c>
    </row>
    <row r="2781" spans="1:27" x14ac:dyDescent="0.25">
      <c r="A2781" s="10">
        <v>45698</v>
      </c>
      <c r="B2781" s="71">
        <v>6.5949074074074021E-2</v>
      </c>
      <c r="C2781" s="11" t="s">
        <v>5174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2">
        <f>L2781*O2781</f>
        <v>1081</v>
      </c>
      <c r="S2781" s="72">
        <v>0</v>
      </c>
      <c r="T2781" s="72">
        <f>L2781*S2781</f>
        <v>0</v>
      </c>
      <c r="U2781" s="72">
        <f>R2781-T2781</f>
        <v>1081</v>
      </c>
      <c r="V2781" s="72">
        <f>U2781*0</f>
        <v>0</v>
      </c>
      <c r="W2781" s="72">
        <f>U2781-V2781</f>
        <v>1081</v>
      </c>
      <c r="X2781" s="72">
        <v>0</v>
      </c>
      <c r="Y2781" s="14">
        <f t="shared" si="618"/>
        <v>0</v>
      </c>
      <c r="Z2781" s="11" t="s">
        <v>26</v>
      </c>
      <c r="AA2781" s="12" t="s">
        <v>31</v>
      </c>
    </row>
    <row r="2782" spans="1:27" x14ac:dyDescent="0.25">
      <c r="A2782" s="10">
        <v>45698</v>
      </c>
      <c r="B2782" s="71">
        <v>1.3622685185185168E-2</v>
      </c>
      <c r="C2782" s="11" t="s">
        <v>5175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2">
        <f t="shared" ref="R2782" si="627">L2782*O2782</f>
        <v>1082.5</v>
      </c>
      <c r="S2782" s="72">
        <v>0</v>
      </c>
      <c r="T2782" s="72">
        <f t="shared" ref="T2782" si="628">L2782*S2782</f>
        <v>0</v>
      </c>
      <c r="U2782" s="72">
        <f t="shared" ref="U2782" si="629">R2782-T2782</f>
        <v>1082.5</v>
      </c>
      <c r="V2782" s="72">
        <f>U2782*0</f>
        <v>0</v>
      </c>
      <c r="W2782" s="72">
        <f t="shared" ref="W2782" si="630">U2782-V2782</f>
        <v>1082.5</v>
      </c>
      <c r="X2782" s="72">
        <v>0</v>
      </c>
      <c r="Y2782" s="14">
        <f t="shared" si="618"/>
        <v>0</v>
      </c>
      <c r="Z2782" s="11" t="s">
        <v>26</v>
      </c>
      <c r="AA2782" s="12" t="s">
        <v>31</v>
      </c>
    </row>
    <row r="2783" spans="1:27" x14ac:dyDescent="0.25">
      <c r="A2783" s="10">
        <v>45698</v>
      </c>
      <c r="B2783" s="71">
        <v>5.8530092592592564E-2</v>
      </c>
      <c r="C2783" s="11" t="s">
        <v>5176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2">
        <f>L2783*O2783</f>
        <v>1045.5</v>
      </c>
      <c r="S2783" s="72">
        <v>0</v>
      </c>
      <c r="T2783" s="72">
        <f>L2783*S2783</f>
        <v>0</v>
      </c>
      <c r="U2783" s="72">
        <f>R2783-T2783</f>
        <v>1045.5</v>
      </c>
      <c r="V2783" s="72">
        <f>U2783*0</f>
        <v>0</v>
      </c>
      <c r="W2783" s="72">
        <f>U2783-V2783</f>
        <v>1045.5</v>
      </c>
      <c r="X2783" s="72">
        <v>0</v>
      </c>
      <c r="Y2783" s="14">
        <f t="shared" si="618"/>
        <v>0</v>
      </c>
      <c r="Z2783" s="11" t="s">
        <v>26</v>
      </c>
      <c r="AA2783" s="12" t="s">
        <v>31</v>
      </c>
    </row>
    <row r="2784" spans="1:27" x14ac:dyDescent="0.25">
      <c r="A2784" s="10">
        <v>45698</v>
      </c>
      <c r="B2784" s="71">
        <v>1.0034722222222348E-2</v>
      </c>
      <c r="C2784" s="11" t="s">
        <v>5177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2">
        <f>(L2784*O2784)-Q2784</f>
        <v>722</v>
      </c>
      <c r="S2784" s="72">
        <v>0</v>
      </c>
      <c r="T2784" s="72">
        <f t="shared" ref="T2784" si="631">+L2784*S2784</f>
        <v>0</v>
      </c>
      <c r="U2784" s="72">
        <f t="shared" ref="U2784" si="632">+R2784-T2784</f>
        <v>722</v>
      </c>
      <c r="V2784" s="72">
        <f t="shared" ref="V2784" si="633">+U2784*0</f>
        <v>0</v>
      </c>
      <c r="W2784" s="72">
        <f t="shared" ref="W2784" si="634">+U2784-V2784</f>
        <v>722</v>
      </c>
      <c r="X2784" s="72">
        <v>0</v>
      </c>
      <c r="Y2784" s="14">
        <f t="shared" si="618"/>
        <v>0</v>
      </c>
      <c r="Z2784" s="11" t="s">
        <v>26</v>
      </c>
      <c r="AA2784" s="12" t="s">
        <v>31</v>
      </c>
    </row>
    <row r="2785" spans="1:27" x14ac:dyDescent="0.25">
      <c r="A2785" s="10">
        <v>45698</v>
      </c>
      <c r="B2785" s="71">
        <v>0.25008101851851838</v>
      </c>
      <c r="C2785" s="11" t="s">
        <v>5178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2">
        <f>M2785*P2785</f>
        <v>1450</v>
      </c>
      <c r="S2785" s="72">
        <v>0</v>
      </c>
      <c r="T2785" s="72">
        <f>M2785*S2785</f>
        <v>0</v>
      </c>
      <c r="U2785" s="72">
        <f>R2785-T2785</f>
        <v>1450</v>
      </c>
      <c r="V2785" s="72">
        <f>U2785*0</f>
        <v>0</v>
      </c>
      <c r="W2785" s="72">
        <f>U2785-V2785</f>
        <v>1450</v>
      </c>
      <c r="X2785" s="72">
        <v>0</v>
      </c>
      <c r="Y2785" s="14">
        <f t="shared" si="618"/>
        <v>0</v>
      </c>
      <c r="Z2785" s="11" t="s">
        <v>26</v>
      </c>
      <c r="AA2785" s="12" t="s">
        <v>31</v>
      </c>
    </row>
    <row r="2786" spans="1:27" x14ac:dyDescent="0.25">
      <c r="A2786" s="10">
        <v>45698</v>
      </c>
      <c r="B2786" s="71">
        <v>4.8599537037037122E-2</v>
      </c>
      <c r="C2786" s="11" t="s">
        <v>5179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4463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2">
        <f t="shared" ref="R2786" si="635">+L2786*O2786</f>
        <v>1506.5600000000002</v>
      </c>
      <c r="S2786" s="72">
        <v>0</v>
      </c>
      <c r="T2786" s="72">
        <f>+L2786*S2786</f>
        <v>0</v>
      </c>
      <c r="U2786" s="72">
        <f>+R2786-T2786</f>
        <v>1506.5600000000002</v>
      </c>
      <c r="V2786" s="72">
        <f>+U2786*1</f>
        <v>1506.5600000000002</v>
      </c>
      <c r="W2786" s="72">
        <f>+U2786-V2786</f>
        <v>0</v>
      </c>
      <c r="X2786" s="72">
        <v>0</v>
      </c>
      <c r="Y2786" s="14">
        <f t="shared" si="618"/>
        <v>0</v>
      </c>
      <c r="Z2786" s="11" t="s">
        <v>26</v>
      </c>
      <c r="AA2786" s="12" t="s">
        <v>31</v>
      </c>
    </row>
    <row r="2787" spans="1:27" x14ac:dyDescent="0.25">
      <c r="A2787" s="10">
        <v>45698</v>
      </c>
      <c r="B2787" s="71">
        <v>3.6203703703703738E-2</v>
      </c>
      <c r="C2787" s="11" t="s">
        <v>5180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2">
        <f>+M2787*P2787</f>
        <v>1500</v>
      </c>
      <c r="S2787" s="72">
        <v>0</v>
      </c>
      <c r="T2787" s="72">
        <f>+M2787*S2787</f>
        <v>0</v>
      </c>
      <c r="U2787" s="72">
        <f t="shared" ref="U2787:U2789" si="636">+R2787-T2787</f>
        <v>1500</v>
      </c>
      <c r="V2787" s="72">
        <f>+U2787*0</f>
        <v>0</v>
      </c>
      <c r="W2787" s="72">
        <f t="shared" ref="W2787:W2789" si="637">+U2787-V2787</f>
        <v>1500</v>
      </c>
      <c r="X2787" s="72">
        <v>0</v>
      </c>
      <c r="Y2787" s="14">
        <f t="shared" si="618"/>
        <v>0</v>
      </c>
      <c r="Z2787" s="11" t="s">
        <v>26</v>
      </c>
      <c r="AA2787" s="12" t="s">
        <v>31</v>
      </c>
    </row>
    <row r="2788" spans="1:27" x14ac:dyDescent="0.25">
      <c r="A2788" s="10">
        <v>45698</v>
      </c>
      <c r="B2788" s="71">
        <v>2.9456018518518534E-2</v>
      </c>
      <c r="C2788" s="11" t="s">
        <v>5181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2">
        <f>(L2788*O2788)-Q2788</f>
        <v>412</v>
      </c>
      <c r="S2788" s="72">
        <v>0</v>
      </c>
      <c r="T2788" s="72">
        <f t="shared" ref="T2788" si="638">+L2788*S2788</f>
        <v>0</v>
      </c>
      <c r="U2788" s="72">
        <f t="shared" si="636"/>
        <v>412</v>
      </c>
      <c r="V2788" s="72">
        <f t="shared" ref="V2788" si="639">+U2788*0</f>
        <v>0</v>
      </c>
      <c r="W2788" s="72">
        <f t="shared" si="637"/>
        <v>412</v>
      </c>
      <c r="X2788" s="72">
        <v>0</v>
      </c>
      <c r="Y2788" s="14">
        <f t="shared" si="618"/>
        <v>0</v>
      </c>
      <c r="Z2788" s="11" t="s">
        <v>26</v>
      </c>
      <c r="AA2788" s="12" t="s">
        <v>31</v>
      </c>
    </row>
    <row r="2789" spans="1:27" x14ac:dyDescent="0.25">
      <c r="A2789" s="10">
        <v>45699</v>
      </c>
      <c r="B2789" s="71">
        <v>9.0624999999999734E-3</v>
      </c>
      <c r="C2789" s="11" t="s">
        <v>5182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4440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2">
        <f>+L2789*O2789</f>
        <v>1518.3000000000002</v>
      </c>
      <c r="S2789" s="72">
        <v>0</v>
      </c>
      <c r="T2789" s="72">
        <f>+L2789*S2789</f>
        <v>0</v>
      </c>
      <c r="U2789" s="72">
        <f t="shared" si="636"/>
        <v>1518.3000000000002</v>
      </c>
      <c r="V2789" s="72">
        <f>+U2789*1</f>
        <v>1518.3000000000002</v>
      </c>
      <c r="W2789" s="72">
        <f t="shared" si="637"/>
        <v>0</v>
      </c>
      <c r="X2789" s="72">
        <v>0</v>
      </c>
      <c r="Y2789" s="14">
        <f t="shared" si="618"/>
        <v>0</v>
      </c>
      <c r="Z2789" s="11" t="s">
        <v>26</v>
      </c>
      <c r="AA2789" s="12" t="s">
        <v>31</v>
      </c>
    </row>
    <row r="2790" spans="1:27" x14ac:dyDescent="0.25">
      <c r="A2790" s="10">
        <v>45699</v>
      </c>
      <c r="B2790" s="71">
        <v>1.3032407407407409E-2</v>
      </c>
      <c r="C2790" s="11" t="s">
        <v>5183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4465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2">
        <f>+L2790*O2790</f>
        <v>1732.0191999999997</v>
      </c>
      <c r="S2790" s="72">
        <v>0</v>
      </c>
      <c r="T2790" s="72">
        <f>+L2790*S2790</f>
        <v>0</v>
      </c>
      <c r="U2790" s="72">
        <f>+R2790-T2790</f>
        <v>1732.0191999999997</v>
      </c>
      <c r="V2790" s="72">
        <f>+U2790*0.75</f>
        <v>1299.0143999999998</v>
      </c>
      <c r="W2790" s="72">
        <f>+U2790-V2790</f>
        <v>433.00479999999993</v>
      </c>
      <c r="X2790" s="72">
        <v>0</v>
      </c>
      <c r="Y2790" s="14">
        <f t="shared" si="618"/>
        <v>0</v>
      </c>
      <c r="Z2790" s="11" t="s">
        <v>26</v>
      </c>
      <c r="AA2790" s="12" t="s">
        <v>31</v>
      </c>
    </row>
    <row r="2791" spans="1:27" x14ac:dyDescent="0.25">
      <c r="A2791" s="10">
        <v>45699</v>
      </c>
      <c r="B2791" s="71">
        <v>1.4062499999999978E-2</v>
      </c>
      <c r="C2791" s="11" t="s">
        <v>5184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6345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2">
        <f>L2791*O2791</f>
        <v>1666.0000000000002</v>
      </c>
      <c r="S2791" s="72">
        <v>0</v>
      </c>
      <c r="T2791" s="72">
        <f>+L2791*S2791</f>
        <v>0</v>
      </c>
      <c r="U2791" s="72">
        <f>R2791-T2791</f>
        <v>1666.0000000000002</v>
      </c>
      <c r="V2791" s="72">
        <f>U2791*0</f>
        <v>0</v>
      </c>
      <c r="W2791" s="72">
        <f>U2791-V2791</f>
        <v>1666.0000000000002</v>
      </c>
      <c r="X2791" s="72">
        <v>0</v>
      </c>
      <c r="Y2791" s="14">
        <f t="shared" si="618"/>
        <v>0</v>
      </c>
      <c r="Z2791" s="11" t="s">
        <v>26</v>
      </c>
      <c r="AA2791" s="12" t="s">
        <v>31</v>
      </c>
    </row>
    <row r="2792" spans="1:27" x14ac:dyDescent="0.25">
      <c r="A2792" s="10">
        <v>45699</v>
      </c>
      <c r="B2792" s="71">
        <v>1.4594907407407431E-2</v>
      </c>
      <c r="C2792" s="11" t="s">
        <v>5185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4463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2">
        <f t="shared" ref="R2792" si="641">+L2792*O2792</f>
        <v>1600.72</v>
      </c>
      <c r="S2792" s="72">
        <v>0</v>
      </c>
      <c r="T2792" s="72">
        <f>+L2792*S2792</f>
        <v>0</v>
      </c>
      <c r="U2792" s="72">
        <f>+R2792-T2792</f>
        <v>1600.72</v>
      </c>
      <c r="V2792" s="72">
        <f>+U2792*1</f>
        <v>1600.72</v>
      </c>
      <c r="W2792" s="72">
        <f>+U2792-V2792</f>
        <v>0</v>
      </c>
      <c r="X2792" s="72">
        <v>0</v>
      </c>
      <c r="Y2792" s="14">
        <f t="shared" si="618"/>
        <v>0</v>
      </c>
      <c r="Z2792" s="11" t="s">
        <v>26</v>
      </c>
      <c r="AA2792" s="12" t="s">
        <v>31</v>
      </c>
    </row>
    <row r="2793" spans="1:27" x14ac:dyDescent="0.25">
      <c r="A2793" s="10">
        <v>45699</v>
      </c>
      <c r="B2793" s="71">
        <v>1.4016203703703711E-2</v>
      </c>
      <c r="C2793" s="11" t="s">
        <v>5186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2">
        <f>M2793*P2793</f>
        <v>1550</v>
      </c>
      <c r="S2793" s="72">
        <v>0</v>
      </c>
      <c r="T2793" s="72">
        <f>M2793*S2793</f>
        <v>0</v>
      </c>
      <c r="U2793" s="72">
        <f>R2793-T2793</f>
        <v>1550</v>
      </c>
      <c r="V2793" s="72">
        <f>U2793*0</f>
        <v>0</v>
      </c>
      <c r="W2793" s="72">
        <f>U2793-V2793</f>
        <v>1550</v>
      </c>
      <c r="X2793" s="72">
        <v>0</v>
      </c>
      <c r="Y2793" s="14">
        <f t="shared" si="618"/>
        <v>0</v>
      </c>
      <c r="Z2793" s="11" t="s">
        <v>26</v>
      </c>
      <c r="AA2793" s="12" t="s">
        <v>31</v>
      </c>
    </row>
    <row r="2794" spans="1:27" x14ac:dyDescent="0.25">
      <c r="A2794" s="10">
        <v>45699</v>
      </c>
      <c r="B2794" s="71">
        <v>1.8379629629629635E-2</v>
      </c>
      <c r="C2794" s="11" t="s">
        <v>5187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4440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2">
        <f>+L2794*O2794</f>
        <v>1650.6</v>
      </c>
      <c r="S2794" s="72">
        <v>0</v>
      </c>
      <c r="T2794" s="72">
        <f>+L2794*S2794</f>
        <v>0</v>
      </c>
      <c r="U2794" s="72">
        <f t="shared" ref="U2794" si="642">+R2794-T2794</f>
        <v>1650.6</v>
      </c>
      <c r="V2794" s="72">
        <f>+U2794*1</f>
        <v>1650.6</v>
      </c>
      <c r="W2794" s="72">
        <f t="shared" ref="W2794" si="643">+U2794-V2794</f>
        <v>0</v>
      </c>
      <c r="X2794" s="72">
        <v>0</v>
      </c>
      <c r="Y2794" s="14">
        <f t="shared" si="618"/>
        <v>0</v>
      </c>
      <c r="Z2794" s="11" t="s">
        <v>26</v>
      </c>
      <c r="AA2794" s="12" t="s">
        <v>31</v>
      </c>
    </row>
    <row r="2795" spans="1:27" x14ac:dyDescent="0.25">
      <c r="A2795" s="10">
        <v>45699</v>
      </c>
      <c r="B2795" s="71">
        <v>1.7164351851851833E-2</v>
      </c>
      <c r="C2795" s="11" t="s">
        <v>5188</v>
      </c>
      <c r="D2795" s="11">
        <v>17331</v>
      </c>
      <c r="E2795" s="11" t="s">
        <v>2126</v>
      </c>
      <c r="F2795" s="11" t="s">
        <v>26</v>
      </c>
      <c r="G2795" s="11" t="s">
        <v>26</v>
      </c>
      <c r="H2795" s="12" t="s">
        <v>4439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2">
        <f>L2795*O2795</f>
        <v>3744.9599999999996</v>
      </c>
      <c r="S2795" s="72">
        <v>38</v>
      </c>
      <c r="T2795" s="72">
        <f>L2795*S2795</f>
        <v>1714.56</v>
      </c>
      <c r="U2795" s="72">
        <f>R2795-T2795</f>
        <v>2030.3999999999996</v>
      </c>
      <c r="V2795" s="72">
        <f>U2795*1</f>
        <v>2030.3999999999996</v>
      </c>
      <c r="W2795" s="72">
        <f>U2795-V2795</f>
        <v>0</v>
      </c>
      <c r="X2795" s="72">
        <f>L2795*36</f>
        <v>1624.32</v>
      </c>
      <c r="Y2795" s="73">
        <f>+T2795-X2795</f>
        <v>90.240000000000009</v>
      </c>
      <c r="Z2795" s="12" t="s">
        <v>140</v>
      </c>
      <c r="AA2795" s="12" t="s">
        <v>78</v>
      </c>
    </row>
    <row r="2796" spans="1:27" x14ac:dyDescent="0.25">
      <c r="A2796" s="10">
        <v>45699</v>
      </c>
      <c r="B2796" s="71">
        <v>1.7199074074074061E-2</v>
      </c>
      <c r="C2796" s="11" t="s">
        <v>5189</v>
      </c>
      <c r="D2796" s="11">
        <v>17332</v>
      </c>
      <c r="E2796" s="11" t="s">
        <v>5190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2">
        <f>(L2796*O2796)-Q2796</f>
        <v>677.6</v>
      </c>
      <c r="S2796" s="72">
        <v>0</v>
      </c>
      <c r="T2796" s="72">
        <f t="shared" ref="T2796" si="644">+L2796*S2796</f>
        <v>0</v>
      </c>
      <c r="U2796" s="72">
        <f t="shared" ref="U2796" si="645">+R2796-T2796</f>
        <v>677.6</v>
      </c>
      <c r="V2796" s="72">
        <f t="shared" ref="V2796" si="646">+U2796*0</f>
        <v>0</v>
      </c>
      <c r="W2796" s="72">
        <f t="shared" ref="W2796" si="647">+U2796-V2796</f>
        <v>677.6</v>
      </c>
      <c r="X2796" s="72">
        <v>0</v>
      </c>
      <c r="Y2796" s="14">
        <f t="shared" si="618"/>
        <v>0</v>
      </c>
      <c r="Z2796" s="11" t="s">
        <v>26</v>
      </c>
      <c r="AA2796" s="12" t="s">
        <v>31</v>
      </c>
    </row>
    <row r="2797" spans="1:27" x14ac:dyDescent="0.25">
      <c r="A2797" s="10">
        <v>45699</v>
      </c>
      <c r="B2797" s="71">
        <v>2.0127314814814834E-2</v>
      </c>
      <c r="C2797" s="11" t="s">
        <v>5191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4439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2">
        <f>L2797*O2797</f>
        <v>3635.3999999999996</v>
      </c>
      <c r="S2797" s="72">
        <v>38</v>
      </c>
      <c r="T2797" s="72">
        <f>L2797*S2797</f>
        <v>1664.3999999999999</v>
      </c>
      <c r="U2797" s="72">
        <f>R2797-T2797</f>
        <v>1970.9999999999998</v>
      </c>
      <c r="V2797" s="72">
        <f>U2797*1</f>
        <v>1970.9999999999998</v>
      </c>
      <c r="W2797" s="72">
        <f>U2797-V2797</f>
        <v>0</v>
      </c>
      <c r="X2797" s="72">
        <f>L2797*37</f>
        <v>1620.6</v>
      </c>
      <c r="Y2797" s="73">
        <f>+T2797-X2797</f>
        <v>43.799999999999955</v>
      </c>
      <c r="Z2797" s="12" t="s">
        <v>41</v>
      </c>
      <c r="AA2797" s="12" t="s">
        <v>78</v>
      </c>
    </row>
    <row r="2798" spans="1:27" x14ac:dyDescent="0.25">
      <c r="A2798" s="10">
        <v>45699</v>
      </c>
      <c r="B2798" s="71">
        <v>1.1296296296296304E-2</v>
      </c>
      <c r="C2798" s="11" t="s">
        <v>5192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2">
        <f>M2798*P2798</f>
        <v>1550</v>
      </c>
      <c r="S2798" s="72">
        <v>0</v>
      </c>
      <c r="T2798" s="72">
        <f>M2798*S2798</f>
        <v>0</v>
      </c>
      <c r="U2798" s="72">
        <f>R2798-T2798</f>
        <v>1550</v>
      </c>
      <c r="V2798" s="72">
        <f>U2798*0</f>
        <v>0</v>
      </c>
      <c r="W2798" s="72">
        <f>U2798-V2798</f>
        <v>1550</v>
      </c>
      <c r="X2798" s="72">
        <v>0</v>
      </c>
      <c r="Y2798" s="14">
        <f t="shared" si="618"/>
        <v>0</v>
      </c>
      <c r="Z2798" s="11" t="s">
        <v>26</v>
      </c>
      <c r="AA2798" s="12" t="s">
        <v>31</v>
      </c>
    </row>
    <row r="2799" spans="1:27" x14ac:dyDescent="0.25">
      <c r="A2799" s="10">
        <v>45699</v>
      </c>
      <c r="B2799" s="71">
        <v>3.4189814814814756E-2</v>
      </c>
      <c r="C2799" s="11" t="s">
        <v>5193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4439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2">
        <f>L2799*O2799</f>
        <v>3647.04</v>
      </c>
      <c r="S2799" s="72">
        <v>38</v>
      </c>
      <c r="T2799" s="72">
        <f>L2799*S2799</f>
        <v>1592.96</v>
      </c>
      <c r="U2799" s="72">
        <f>R2799-T2799</f>
        <v>2054.08</v>
      </c>
      <c r="V2799" s="72">
        <f>U2799*1</f>
        <v>2054.08</v>
      </c>
      <c r="W2799" s="72">
        <f>U2799-V2799</f>
        <v>0</v>
      </c>
      <c r="X2799" s="72">
        <f>L2799*36</f>
        <v>1509.1200000000001</v>
      </c>
      <c r="Y2799" s="73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71">
        <v>1.2534722222222239E-2</v>
      </c>
      <c r="C2800" s="11" t="s">
        <v>5194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2">
        <f>+L2800*O2800</f>
        <v>3842.02</v>
      </c>
      <c r="S2800" s="72">
        <v>40</v>
      </c>
      <c r="T2800" s="72">
        <f>L2800*S2800</f>
        <v>1688.8</v>
      </c>
      <c r="U2800" s="72">
        <f t="shared" ref="U2800:U2801" si="648">R2800-T2800</f>
        <v>2153.2200000000003</v>
      </c>
      <c r="V2800" s="72">
        <f>U2800*1</f>
        <v>2153.2200000000003</v>
      </c>
      <c r="W2800" s="72">
        <f t="shared" ref="W2800" si="649">U2800-V2800</f>
        <v>0</v>
      </c>
      <c r="X2800" s="72">
        <f>L2800*37</f>
        <v>1562.1399999999999</v>
      </c>
      <c r="Y2800" s="73">
        <f>+T2800-X2800</f>
        <v>126.66000000000008</v>
      </c>
      <c r="Z2800" s="12" t="s">
        <v>41</v>
      </c>
      <c r="AA2800" s="12" t="s">
        <v>79</v>
      </c>
    </row>
    <row r="2801" spans="1:27" x14ac:dyDescent="0.25">
      <c r="A2801" s="10">
        <v>45699</v>
      </c>
      <c r="B2801" s="71">
        <v>4.1770833333333313E-2</v>
      </c>
      <c r="C2801" s="11" t="s">
        <v>5195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4439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2">
        <f>L2801*O2801</f>
        <v>3784.2000000000003</v>
      </c>
      <c r="S2801" s="72">
        <v>38</v>
      </c>
      <c r="T2801" s="72">
        <f>L2801*S2801</f>
        <v>1691.7600000000002</v>
      </c>
      <c r="U2801" s="72">
        <f t="shared" si="648"/>
        <v>2092.44</v>
      </c>
      <c r="V2801" s="72">
        <f>U2801*1</f>
        <v>2092.44</v>
      </c>
      <c r="W2801" s="72">
        <f>U2801-V2801</f>
        <v>0</v>
      </c>
      <c r="X2801" s="72">
        <f>L2801*36</f>
        <v>1602.72</v>
      </c>
      <c r="Y2801" s="73">
        <f>+T2801-X2801</f>
        <v>89.040000000000191</v>
      </c>
      <c r="Z2801" s="12" t="s">
        <v>141</v>
      </c>
      <c r="AA2801" s="12" t="s">
        <v>78</v>
      </c>
    </row>
    <row r="2802" spans="1:27" x14ac:dyDescent="0.25">
      <c r="A2802" s="10">
        <v>45699</v>
      </c>
      <c r="B2802" s="71">
        <v>1.6736111111111063E-2</v>
      </c>
      <c r="C2802" s="11" t="s">
        <v>5196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2">
        <f>M2802*P2802</f>
        <v>1000</v>
      </c>
      <c r="S2802" s="72">
        <v>0</v>
      </c>
      <c r="T2802" s="72">
        <f>M2802*S2802</f>
        <v>0</v>
      </c>
      <c r="U2802" s="72">
        <f>R2802-T2802</f>
        <v>1000</v>
      </c>
      <c r="V2802" s="72">
        <f>U2802*0</f>
        <v>0</v>
      </c>
      <c r="W2802" s="72">
        <f>U2802-V2802</f>
        <v>1000</v>
      </c>
      <c r="X2802" s="72">
        <v>0</v>
      </c>
      <c r="Y2802" s="14">
        <f t="shared" ref="Y2802" si="650">T2802-X2802</f>
        <v>0</v>
      </c>
      <c r="Z2802" s="11" t="s">
        <v>26</v>
      </c>
      <c r="AA2802" s="12" t="s">
        <v>31</v>
      </c>
    </row>
    <row r="2803" spans="1:27" x14ac:dyDescent="0.25">
      <c r="A2803" s="10">
        <v>45699</v>
      </c>
      <c r="B2803" s="71">
        <v>2.7905092592592551E-2</v>
      </c>
      <c r="C2803" s="11" t="s">
        <v>5197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2">
        <f>+L2803*O2803</f>
        <v>3998.54</v>
      </c>
      <c r="S2803" s="72">
        <v>40</v>
      </c>
      <c r="T2803" s="72">
        <f>L2803*S2803</f>
        <v>1757.6</v>
      </c>
      <c r="U2803" s="72">
        <f t="shared" ref="U2803" si="651">R2803-T2803</f>
        <v>2240.94</v>
      </c>
      <c r="V2803" s="72">
        <f>U2803*1</f>
        <v>2240.94</v>
      </c>
      <c r="W2803" s="72">
        <f t="shared" ref="W2803" si="652">U2803-V2803</f>
        <v>0</v>
      </c>
      <c r="X2803" s="72">
        <f>L2803*37</f>
        <v>1625.78</v>
      </c>
      <c r="Y2803" s="73">
        <f>+T2803-X2803</f>
        <v>131.81999999999994</v>
      </c>
      <c r="Z2803" s="12" t="s">
        <v>41</v>
      </c>
      <c r="AA2803" s="12" t="s">
        <v>79</v>
      </c>
    </row>
    <row r="2804" spans="1:27" x14ac:dyDescent="0.25">
      <c r="A2804" s="10">
        <v>45699</v>
      </c>
      <c r="B2804" s="71">
        <v>1.2187500000000018E-2</v>
      </c>
      <c r="C2804" s="11" t="s">
        <v>5198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4439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2">
        <f>L2804*O2804</f>
        <v>3764.88</v>
      </c>
      <c r="S2804" s="72">
        <v>38</v>
      </c>
      <c r="T2804" s="72">
        <f>L2804*S2804</f>
        <v>1723.68</v>
      </c>
      <c r="U2804" s="72">
        <f>R2804-T2804</f>
        <v>2041.2</v>
      </c>
      <c r="V2804" s="72">
        <f>U2804*1</f>
        <v>2041.2</v>
      </c>
      <c r="W2804" s="72">
        <f>U2804-V2804</f>
        <v>0</v>
      </c>
      <c r="X2804" s="72">
        <f>L2804*36</f>
        <v>1632.96</v>
      </c>
      <c r="Y2804" s="73">
        <f>+T2804-X2804</f>
        <v>90.720000000000027</v>
      </c>
      <c r="Z2804" s="12" t="s">
        <v>140</v>
      </c>
      <c r="AA2804" s="12" t="s">
        <v>78</v>
      </c>
    </row>
    <row r="2805" spans="1:27" x14ac:dyDescent="0.25">
      <c r="A2805" s="10">
        <v>45699</v>
      </c>
      <c r="B2805" s="71">
        <v>1.4456018518518465E-2</v>
      </c>
      <c r="C2805" s="11" t="s">
        <v>5199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35</v>
      </c>
      <c r="P2805" s="13"/>
      <c r="Q2805" s="13">
        <v>0</v>
      </c>
      <c r="R2805" s="72">
        <f>+L2805*O2805</f>
        <v>1551.9</v>
      </c>
      <c r="S2805" s="72">
        <v>0</v>
      </c>
      <c r="T2805" s="72">
        <f>+L2805*S2805</f>
        <v>0</v>
      </c>
      <c r="U2805" s="72">
        <f>+R2805-T2805</f>
        <v>1551.9</v>
      </c>
      <c r="V2805" s="72">
        <f t="shared" ref="V2805" si="653">+U2805*0</f>
        <v>0</v>
      </c>
      <c r="W2805" s="72">
        <f>+U2805-V2805</f>
        <v>1551.9</v>
      </c>
      <c r="X2805" s="72">
        <v>0</v>
      </c>
      <c r="Y2805" s="14">
        <f t="shared" ref="Y2805" si="654">T2805-X2805</f>
        <v>0</v>
      </c>
      <c r="Z2805" s="11" t="s">
        <v>26</v>
      </c>
      <c r="AA2805" s="12" t="s">
        <v>31</v>
      </c>
    </row>
    <row r="2806" spans="1:27" x14ac:dyDescent="0.25">
      <c r="A2806" s="10">
        <v>45699</v>
      </c>
      <c r="B2806" s="71">
        <v>2.96643518518519E-2</v>
      </c>
      <c r="C2806" s="11" t="s">
        <v>5200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4439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2">
        <f>L2806*O2806</f>
        <v>3870.9</v>
      </c>
      <c r="S2806" s="72">
        <v>38</v>
      </c>
      <c r="T2806" s="72">
        <f>L2806*S2806</f>
        <v>1730.52</v>
      </c>
      <c r="U2806" s="72">
        <f t="shared" ref="U2806" si="655">R2806-T2806</f>
        <v>2140.38</v>
      </c>
      <c r="V2806" s="72">
        <f>U2806*1</f>
        <v>2140.38</v>
      </c>
      <c r="W2806" s="72">
        <f>U2806-V2806</f>
        <v>0</v>
      </c>
      <c r="X2806" s="72">
        <f>L2806*37</f>
        <v>1684.98</v>
      </c>
      <c r="Y2806" s="73">
        <f>+T2806-X2806</f>
        <v>45.539999999999964</v>
      </c>
      <c r="Z2806" s="12" t="s">
        <v>41</v>
      </c>
      <c r="AA2806" s="12" t="s">
        <v>78</v>
      </c>
    </row>
    <row r="2807" spans="1:27" x14ac:dyDescent="0.25">
      <c r="A2807" s="10">
        <v>45699</v>
      </c>
      <c r="B2807" s="71">
        <v>6.8877314814814794E-2</v>
      </c>
      <c r="C2807" s="11" t="s">
        <v>5201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4463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2">
        <f t="shared" ref="R2807" si="656">+L2807*O2807</f>
        <v>1556.72</v>
      </c>
      <c r="S2807" s="72">
        <v>0</v>
      </c>
      <c r="T2807" s="72">
        <f>+L2807*S2807</f>
        <v>0</v>
      </c>
      <c r="U2807" s="72">
        <f>+R2807-T2807</f>
        <v>1556.72</v>
      </c>
      <c r="V2807" s="72">
        <f>+U2807*1</f>
        <v>1556.72</v>
      </c>
      <c r="W2807" s="72">
        <f>+U2807-V2807</f>
        <v>0</v>
      </c>
      <c r="X2807" s="72">
        <v>0</v>
      </c>
      <c r="Y2807" s="14">
        <f t="shared" ref="Y2807:Y2825" si="657">T2807-X2807</f>
        <v>0</v>
      </c>
      <c r="Z2807" s="11" t="s">
        <v>26</v>
      </c>
      <c r="AA2807" s="12" t="s">
        <v>31</v>
      </c>
    </row>
    <row r="2808" spans="1:27" x14ac:dyDescent="0.25">
      <c r="A2808" s="10">
        <v>45699</v>
      </c>
      <c r="B2808" s="71">
        <v>6.6087962962962932E-3</v>
      </c>
      <c r="C2808" s="11" t="s">
        <v>5202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2">
        <f>(L2808*O2808)-Q2808</f>
        <v>290</v>
      </c>
      <c r="S2808" s="72">
        <v>0</v>
      </c>
      <c r="T2808" s="72">
        <f t="shared" ref="T2808" si="658">+L2808*S2808</f>
        <v>0</v>
      </c>
      <c r="U2808" s="72">
        <f t="shared" ref="U2808" si="659">+R2808-T2808</f>
        <v>290</v>
      </c>
      <c r="V2808" s="72">
        <f t="shared" ref="V2808:V2811" si="660">+U2808*0</f>
        <v>0</v>
      </c>
      <c r="W2808" s="72">
        <f t="shared" ref="W2808" si="661">+U2808-V2808</f>
        <v>290</v>
      </c>
      <c r="X2808" s="72">
        <v>0</v>
      </c>
      <c r="Y2808" s="14">
        <f t="shared" si="657"/>
        <v>0</v>
      </c>
      <c r="Z2808" s="11" t="s">
        <v>26</v>
      </c>
      <c r="AA2808" s="12" t="s">
        <v>31</v>
      </c>
    </row>
    <row r="2809" spans="1:27" x14ac:dyDescent="0.25">
      <c r="A2809" s="10">
        <v>45699</v>
      </c>
      <c r="B2809" s="71">
        <v>3.7696759259259249E-2</v>
      </c>
      <c r="C2809" s="11" t="s">
        <v>5203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2">
        <f>M2809*P2809</f>
        <v>1600</v>
      </c>
      <c r="S2809" s="72">
        <v>0</v>
      </c>
      <c r="T2809" s="72">
        <f>M2809*S2809</f>
        <v>0</v>
      </c>
      <c r="U2809" s="72">
        <f>+R2809-T2809</f>
        <v>1600</v>
      </c>
      <c r="V2809" s="72">
        <f t="shared" si="660"/>
        <v>0</v>
      </c>
      <c r="W2809" s="72">
        <f>+U2809-V2809</f>
        <v>1600</v>
      </c>
      <c r="X2809" s="72">
        <v>0</v>
      </c>
      <c r="Y2809" s="14">
        <f t="shared" si="657"/>
        <v>0</v>
      </c>
      <c r="Z2809" s="11" t="s">
        <v>26</v>
      </c>
      <c r="AA2809" s="12" t="s">
        <v>31</v>
      </c>
    </row>
    <row r="2810" spans="1:27" x14ac:dyDescent="0.25">
      <c r="A2810" s="10">
        <v>45699</v>
      </c>
      <c r="B2810" s="71">
        <v>7.4768518518519289E-3</v>
      </c>
      <c r="C2810" s="11" t="s">
        <v>5204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2">
        <f>(L2810*O2810)-Q2810</f>
        <v>690.40000000000009</v>
      </c>
      <c r="S2810" s="72">
        <v>0</v>
      </c>
      <c r="T2810" s="72">
        <f t="shared" ref="T2810" si="662">+L2810*S2810</f>
        <v>0</v>
      </c>
      <c r="U2810" s="72">
        <f t="shared" ref="U2810" si="663">+R2810-T2810</f>
        <v>690.40000000000009</v>
      </c>
      <c r="V2810" s="72">
        <f t="shared" si="660"/>
        <v>0</v>
      </c>
      <c r="W2810" s="72">
        <f t="shared" ref="W2810" si="664">+U2810-V2810</f>
        <v>690.40000000000009</v>
      </c>
      <c r="X2810" s="72">
        <v>0</v>
      </c>
      <c r="Y2810" s="14">
        <f t="shared" si="657"/>
        <v>0</v>
      </c>
      <c r="Z2810" s="11" t="s">
        <v>26</v>
      </c>
      <c r="AA2810" s="12" t="s">
        <v>31</v>
      </c>
    </row>
    <row r="2811" spans="1:27" x14ac:dyDescent="0.25">
      <c r="A2811" s="10">
        <v>45699</v>
      </c>
      <c r="B2811" s="71">
        <v>9.5717592592592604E-2</v>
      </c>
      <c r="C2811" s="11" t="s">
        <v>5205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2">
        <f>+L2811*O2811</f>
        <v>1672.8</v>
      </c>
      <c r="S2811" s="72">
        <v>0</v>
      </c>
      <c r="T2811" s="72">
        <f>+L2811*S2811</f>
        <v>0</v>
      </c>
      <c r="U2811" s="72">
        <f>+R2811-T2811</f>
        <v>1672.8</v>
      </c>
      <c r="V2811" s="72">
        <f t="shared" si="660"/>
        <v>0</v>
      </c>
      <c r="W2811" s="72">
        <f>+U2811-V2811</f>
        <v>1672.8</v>
      </c>
      <c r="X2811" s="72">
        <v>0</v>
      </c>
      <c r="Y2811" s="14">
        <f t="shared" si="657"/>
        <v>0</v>
      </c>
      <c r="Z2811" s="11" t="s">
        <v>26</v>
      </c>
      <c r="AA2811" s="12" t="s">
        <v>31</v>
      </c>
    </row>
    <row r="2812" spans="1:27" x14ac:dyDescent="0.25">
      <c r="A2812" s="10">
        <v>45699</v>
      </c>
      <c r="B2812" s="71">
        <v>0.11379629629629628</v>
      </c>
      <c r="C2812" s="11" t="s">
        <v>5206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2">
        <f>M2812*P2812</f>
        <v>1500</v>
      </c>
      <c r="S2812" s="72">
        <v>0</v>
      </c>
      <c r="T2812" s="72">
        <f>M2812*S2812</f>
        <v>0</v>
      </c>
      <c r="U2812" s="72">
        <f>R2812-T2812</f>
        <v>1500</v>
      </c>
      <c r="V2812" s="72">
        <f>U2812*0</f>
        <v>0</v>
      </c>
      <c r="W2812" s="72">
        <f>U2812-V2812</f>
        <v>1500</v>
      </c>
      <c r="X2812" s="72">
        <v>0</v>
      </c>
      <c r="Y2812" s="14">
        <f t="shared" si="657"/>
        <v>0</v>
      </c>
      <c r="Z2812" s="11" t="s">
        <v>26</v>
      </c>
      <c r="AA2812" s="12" t="s">
        <v>31</v>
      </c>
    </row>
    <row r="2813" spans="1:27" x14ac:dyDescent="0.25">
      <c r="A2813" s="10">
        <v>45699</v>
      </c>
      <c r="B2813" s="71">
        <v>6.921296296296342E-3</v>
      </c>
      <c r="C2813" s="11" t="s">
        <v>5207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4465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2">
        <f>+L2813*O2813</f>
        <v>1954.1499999999999</v>
      </c>
      <c r="S2813" s="72">
        <v>0</v>
      </c>
      <c r="T2813" s="72">
        <f>+L2813*S2813</f>
        <v>0</v>
      </c>
      <c r="U2813" s="72">
        <f>+R2813-T2813</f>
        <v>1954.1499999999999</v>
      </c>
      <c r="V2813" s="72">
        <f>+U2813*0.75</f>
        <v>1465.6125</v>
      </c>
      <c r="W2813" s="72">
        <f>+U2813-V2813</f>
        <v>488.53749999999991</v>
      </c>
      <c r="X2813" s="72">
        <v>0</v>
      </c>
      <c r="Y2813" s="14">
        <f t="shared" si="657"/>
        <v>0</v>
      </c>
      <c r="Z2813" s="11" t="s">
        <v>26</v>
      </c>
      <c r="AA2813" s="12" t="s">
        <v>31</v>
      </c>
    </row>
    <row r="2814" spans="1:27" x14ac:dyDescent="0.25">
      <c r="A2814" s="10">
        <v>45699</v>
      </c>
      <c r="B2814" s="71">
        <v>8.3784722222222219E-2</v>
      </c>
      <c r="C2814" s="11" t="s">
        <v>5208</v>
      </c>
      <c r="D2814" s="11">
        <v>17350</v>
      </c>
      <c r="E2814" s="11" t="s">
        <v>1217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2">
        <f>L2814*O2814</f>
        <v>1073.5</v>
      </c>
      <c r="S2814" s="72">
        <v>0</v>
      </c>
      <c r="T2814" s="72">
        <f>L2814*S2814</f>
        <v>0</v>
      </c>
      <c r="U2814" s="72">
        <f>R2814-T2814</f>
        <v>1073.5</v>
      </c>
      <c r="V2814" s="72">
        <f>U2814*0</f>
        <v>0</v>
      </c>
      <c r="W2814" s="72">
        <f>U2814-V2814</f>
        <v>1073.5</v>
      </c>
      <c r="X2814" s="72">
        <v>0</v>
      </c>
      <c r="Y2814" s="14">
        <f t="shared" si="657"/>
        <v>0</v>
      </c>
      <c r="Z2814" s="11" t="s">
        <v>26</v>
      </c>
      <c r="AA2814" s="12" t="s">
        <v>31</v>
      </c>
    </row>
    <row r="2815" spans="1:27" x14ac:dyDescent="0.25">
      <c r="A2815" s="10">
        <v>45699</v>
      </c>
      <c r="B2815" s="71">
        <v>1.7476851851851827E-2</v>
      </c>
      <c r="C2815" s="11" t="s">
        <v>5209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2">
        <f t="shared" ref="R2815" si="665">L2815*O2815</f>
        <v>1111</v>
      </c>
      <c r="S2815" s="72">
        <v>0</v>
      </c>
      <c r="T2815" s="72">
        <f t="shared" ref="T2815" si="666">L2815*S2815</f>
        <v>0</v>
      </c>
      <c r="U2815" s="72">
        <f t="shared" ref="U2815" si="667">R2815-T2815</f>
        <v>1111</v>
      </c>
      <c r="V2815" s="72">
        <f>U2815*0</f>
        <v>0</v>
      </c>
      <c r="W2815" s="72">
        <f t="shared" ref="W2815" si="668">U2815-V2815</f>
        <v>1111</v>
      </c>
      <c r="X2815" s="72">
        <v>0</v>
      </c>
      <c r="Y2815" s="14">
        <f t="shared" si="657"/>
        <v>0</v>
      </c>
      <c r="Z2815" s="11" t="s">
        <v>26</v>
      </c>
      <c r="AA2815" s="12" t="s">
        <v>31</v>
      </c>
    </row>
    <row r="2816" spans="1:27" x14ac:dyDescent="0.25">
      <c r="A2816" s="10">
        <v>45699</v>
      </c>
      <c r="B2816" s="71">
        <v>2.2986111111111096E-2</v>
      </c>
      <c r="C2816" s="11" t="s">
        <v>5210</v>
      </c>
      <c r="D2816" s="11">
        <v>17352</v>
      </c>
      <c r="E2816" s="11" t="s">
        <v>5211</v>
      </c>
      <c r="F2816" s="11" t="s">
        <v>26</v>
      </c>
      <c r="G2816" s="11">
        <v>78001</v>
      </c>
      <c r="H2816" s="12" t="s">
        <v>4465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2">
        <f>+L2816*O2816</f>
        <v>1932.05</v>
      </c>
      <c r="S2816" s="72">
        <v>0</v>
      </c>
      <c r="T2816" s="72">
        <f>+L2816*S2816</f>
        <v>0</v>
      </c>
      <c r="U2816" s="72">
        <f>+R2816-T2816</f>
        <v>1932.05</v>
      </c>
      <c r="V2816" s="72">
        <f>+U2816*0.75</f>
        <v>1449.0374999999999</v>
      </c>
      <c r="W2816" s="72">
        <f>+U2816-V2816</f>
        <v>483.01250000000005</v>
      </c>
      <c r="X2816" s="72">
        <v>0</v>
      </c>
      <c r="Y2816" s="14">
        <f t="shared" si="657"/>
        <v>0</v>
      </c>
      <c r="Z2816" s="11" t="s">
        <v>26</v>
      </c>
      <c r="AA2816" s="12" t="s">
        <v>31</v>
      </c>
    </row>
    <row r="2817" spans="1:27" x14ac:dyDescent="0.25">
      <c r="A2817" s="10">
        <v>45699</v>
      </c>
      <c r="B2817" s="71">
        <v>8.113425925925899E-3</v>
      </c>
      <c r="C2817" s="11" t="s">
        <v>5212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6345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2">
        <f>L2817*O2817</f>
        <v>1348.1</v>
      </c>
      <c r="S2817" s="72">
        <v>0</v>
      </c>
      <c r="T2817" s="72">
        <f>+L2817*S2817</f>
        <v>0</v>
      </c>
      <c r="U2817" s="72">
        <f>R2817-T2817</f>
        <v>1348.1</v>
      </c>
      <c r="V2817" s="72">
        <f>U2817*0</f>
        <v>0</v>
      </c>
      <c r="W2817" s="72">
        <f>U2817-V2817</f>
        <v>1348.1</v>
      </c>
      <c r="X2817" s="72"/>
      <c r="Y2817" s="14">
        <f t="shared" si="657"/>
        <v>0</v>
      </c>
      <c r="Z2817" s="11" t="s">
        <v>26</v>
      </c>
      <c r="AA2817" s="12" t="s">
        <v>31</v>
      </c>
    </row>
    <row r="2818" spans="1:27" x14ac:dyDescent="0.25">
      <c r="A2818" s="10">
        <v>45699</v>
      </c>
      <c r="B2818" s="71">
        <v>0.11731481481481482</v>
      </c>
      <c r="C2818" s="11" t="s">
        <v>5213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4465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2">
        <f>+L2818*O2818</f>
        <v>1730.6994</v>
      </c>
      <c r="S2818" s="72">
        <v>0</v>
      </c>
      <c r="T2818" s="72">
        <f>+L2818*S2818</f>
        <v>0</v>
      </c>
      <c r="U2818" s="72">
        <f>+R2818-T2818</f>
        <v>1730.6994</v>
      </c>
      <c r="V2818" s="72">
        <f>+U2818*0.75</f>
        <v>1298.0245500000001</v>
      </c>
      <c r="W2818" s="72">
        <f>+U2818-V2818</f>
        <v>432.67484999999988</v>
      </c>
      <c r="X2818" s="72">
        <v>0</v>
      </c>
      <c r="Y2818" s="14">
        <f t="shared" si="657"/>
        <v>0</v>
      </c>
      <c r="Z2818" s="11" t="s">
        <v>26</v>
      </c>
      <c r="AA2818" s="12" t="s">
        <v>31</v>
      </c>
    </row>
    <row r="2819" spans="1:27" x14ac:dyDescent="0.25">
      <c r="A2819" s="10">
        <v>45699</v>
      </c>
      <c r="B2819" s="71">
        <v>2.7881944444444473E-2</v>
      </c>
      <c r="C2819" s="11" t="s">
        <v>5214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2">
        <f>(L2819*O2819)-Q2819</f>
        <v>412</v>
      </c>
      <c r="S2819" s="72">
        <v>0</v>
      </c>
      <c r="T2819" s="72">
        <f t="shared" ref="T2819:T2820" si="669">+L2819*S2819</f>
        <v>0</v>
      </c>
      <c r="U2819" s="72">
        <f t="shared" ref="U2819:U2820" si="670">+R2819-T2819</f>
        <v>412</v>
      </c>
      <c r="V2819" s="72">
        <f t="shared" ref="V2819:V2820" si="671">+U2819*0</f>
        <v>0</v>
      </c>
      <c r="W2819" s="72">
        <f t="shared" ref="W2819:W2820" si="672">+U2819-V2819</f>
        <v>412</v>
      </c>
      <c r="X2819" s="72">
        <v>0</v>
      </c>
      <c r="Y2819" s="14">
        <f t="shared" si="657"/>
        <v>0</v>
      </c>
      <c r="Z2819" s="11" t="s">
        <v>26</v>
      </c>
      <c r="AA2819" s="12" t="s">
        <v>31</v>
      </c>
    </row>
    <row r="2820" spans="1:27" x14ac:dyDescent="0.25">
      <c r="A2820" s="10">
        <v>45699</v>
      </c>
      <c r="B2820" s="71">
        <v>8.9236111111110628E-3</v>
      </c>
      <c r="C2820" s="11" t="s">
        <v>5215</v>
      </c>
      <c r="D2820" s="11">
        <v>17356</v>
      </c>
      <c r="E2820" s="11" t="s">
        <v>5190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2">
        <f>(L2820*O2820)-Q2820</f>
        <v>618.40000000000009</v>
      </c>
      <c r="S2820" s="72">
        <v>0</v>
      </c>
      <c r="T2820" s="72">
        <f t="shared" si="669"/>
        <v>0</v>
      </c>
      <c r="U2820" s="72">
        <f t="shared" si="670"/>
        <v>618.40000000000009</v>
      </c>
      <c r="V2820" s="72">
        <f t="shared" si="671"/>
        <v>0</v>
      </c>
      <c r="W2820" s="72">
        <f t="shared" si="672"/>
        <v>618.40000000000009</v>
      </c>
      <c r="X2820" s="72">
        <v>0</v>
      </c>
      <c r="Y2820" s="14">
        <f t="shared" si="657"/>
        <v>0</v>
      </c>
      <c r="Z2820" s="11" t="s">
        <v>26</v>
      </c>
      <c r="AA2820" s="12" t="s">
        <v>31</v>
      </c>
    </row>
    <row r="2821" spans="1:27" x14ac:dyDescent="0.25">
      <c r="A2821" s="10">
        <v>45699</v>
      </c>
      <c r="B2821" s="71">
        <v>0.11822916666666672</v>
      </c>
      <c r="C2821" s="11" t="s">
        <v>5216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4463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2">
        <f t="shared" ref="R2821" si="673">+L2821*O2821</f>
        <v>1525.04</v>
      </c>
      <c r="S2821" s="72">
        <v>0</v>
      </c>
      <c r="T2821" s="72">
        <f>+L2821*S2821</f>
        <v>0</v>
      </c>
      <c r="U2821" s="72">
        <f>+R2821-T2821</f>
        <v>1525.04</v>
      </c>
      <c r="V2821" s="72">
        <f>+U2821*1</f>
        <v>1525.04</v>
      </c>
      <c r="W2821" s="72">
        <f>+U2821-V2821</f>
        <v>0</v>
      </c>
      <c r="X2821" s="72">
        <v>0</v>
      </c>
      <c r="Y2821" s="14">
        <f t="shared" si="657"/>
        <v>0</v>
      </c>
      <c r="Z2821" s="11" t="s">
        <v>26</v>
      </c>
      <c r="AA2821" s="12" t="s">
        <v>31</v>
      </c>
    </row>
    <row r="2822" spans="1:27" x14ac:dyDescent="0.25">
      <c r="A2822" s="10">
        <v>45699</v>
      </c>
      <c r="B2822" s="71">
        <v>9.5254629629629717E-3</v>
      </c>
      <c r="C2822" s="11" t="s">
        <v>5217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2">
        <f>L2822*O2822</f>
        <v>1077.6399999999999</v>
      </c>
      <c r="S2822" s="72">
        <v>0</v>
      </c>
      <c r="T2822" s="72">
        <f>L2822*S2822</f>
        <v>0</v>
      </c>
      <c r="U2822" s="72">
        <f>R2822-T2822</f>
        <v>1077.6399999999999</v>
      </c>
      <c r="V2822" s="72">
        <f>U2822*0</f>
        <v>0</v>
      </c>
      <c r="W2822" s="72">
        <f>U2822-V2822</f>
        <v>1077.6399999999999</v>
      </c>
      <c r="X2822" s="72">
        <v>0</v>
      </c>
      <c r="Y2822" s="14">
        <f t="shared" si="657"/>
        <v>0</v>
      </c>
      <c r="Z2822" s="11" t="s">
        <v>26</v>
      </c>
      <c r="AA2822" s="12" t="s">
        <v>31</v>
      </c>
    </row>
    <row r="2823" spans="1:27" x14ac:dyDescent="0.25">
      <c r="A2823" s="10">
        <v>45699</v>
      </c>
      <c r="B2823" s="71">
        <v>8.553240740740764E-3</v>
      </c>
      <c r="C2823" s="11" t="s">
        <v>5218</v>
      </c>
      <c r="D2823" s="11">
        <v>17359</v>
      </c>
      <c r="E2823" s="11" t="s">
        <v>659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2">
        <f>L2823*O2823</f>
        <v>1099.0999999999999</v>
      </c>
      <c r="S2823" s="72">
        <v>0</v>
      </c>
      <c r="T2823" s="72">
        <f>L2823*S2823</f>
        <v>0</v>
      </c>
      <c r="U2823" s="72">
        <f>R2823-T2823</f>
        <v>1099.0999999999999</v>
      </c>
      <c r="V2823" s="72">
        <f>U2823*0</f>
        <v>0</v>
      </c>
      <c r="W2823" s="72">
        <f>U2823-V2823</f>
        <v>1099.0999999999999</v>
      </c>
      <c r="X2823" s="72">
        <v>0</v>
      </c>
      <c r="Y2823" s="14">
        <f t="shared" si="657"/>
        <v>0</v>
      </c>
      <c r="Z2823" s="11" t="s">
        <v>26</v>
      </c>
      <c r="AA2823" s="12" t="s">
        <v>31</v>
      </c>
    </row>
    <row r="2824" spans="1:27" x14ac:dyDescent="0.25">
      <c r="A2824" s="10">
        <v>45699</v>
      </c>
      <c r="B2824" s="71">
        <v>1.9618055555555514E-2</v>
      </c>
      <c r="C2824" s="11" t="s">
        <v>5219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2">
        <f>L2824*O2824</f>
        <v>1128.0999999999999</v>
      </c>
      <c r="S2824" s="72">
        <v>0</v>
      </c>
      <c r="T2824" s="72">
        <f>L2824*S2824</f>
        <v>0</v>
      </c>
      <c r="U2824" s="72">
        <f>R2824-T2824</f>
        <v>1128.0999999999999</v>
      </c>
      <c r="V2824" s="72">
        <f>U2824*0</f>
        <v>0</v>
      </c>
      <c r="W2824" s="72">
        <f>U2824-V2824</f>
        <v>1128.0999999999999</v>
      </c>
      <c r="X2824" s="72">
        <v>0</v>
      </c>
      <c r="Y2824" s="14">
        <f t="shared" si="657"/>
        <v>0</v>
      </c>
      <c r="Z2824" s="11" t="s">
        <v>26</v>
      </c>
      <c r="AA2824" s="12" t="s">
        <v>31</v>
      </c>
    </row>
    <row r="2825" spans="1:27" x14ac:dyDescent="0.25">
      <c r="A2825" s="10">
        <v>45699</v>
      </c>
      <c r="B2825" s="71">
        <v>8.2893518518518505E-2</v>
      </c>
      <c r="C2825" s="11" t="s">
        <v>5220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2">
        <f>+L2825*O2825</f>
        <v>1702.4</v>
      </c>
      <c r="S2825" s="72">
        <v>0</v>
      </c>
      <c r="T2825" s="72">
        <f>+L2825*S2825</f>
        <v>0</v>
      </c>
      <c r="U2825" s="72">
        <f>+R2825-T2825</f>
        <v>1702.4</v>
      </c>
      <c r="V2825" s="72">
        <f t="shared" ref="V2825" si="674">+U2825*0</f>
        <v>0</v>
      </c>
      <c r="W2825" s="72">
        <f>+U2825-V2825</f>
        <v>1702.4</v>
      </c>
      <c r="X2825" s="72">
        <v>0</v>
      </c>
      <c r="Y2825" s="14">
        <f t="shared" si="657"/>
        <v>0</v>
      </c>
      <c r="Z2825" s="11" t="s">
        <v>26</v>
      </c>
      <c r="AA2825" s="12" t="s">
        <v>31</v>
      </c>
    </row>
    <row r="2826" spans="1:27" x14ac:dyDescent="0.25">
      <c r="A2826" s="10">
        <v>45699</v>
      </c>
      <c r="B2826" s="71">
        <v>1.5069444444444469E-2</v>
      </c>
      <c r="C2826" s="11" t="s">
        <v>5221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4439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2">
        <f>L2826*O2826</f>
        <v>3476.0400000000004</v>
      </c>
      <c r="S2826" s="72">
        <v>38</v>
      </c>
      <c r="T2826" s="72">
        <f>L2826*S2826</f>
        <v>1591.44</v>
      </c>
      <c r="U2826" s="72">
        <f>R2826-T2826</f>
        <v>1884.6000000000004</v>
      </c>
      <c r="V2826" s="72">
        <f>U2826*1</f>
        <v>1884.6000000000004</v>
      </c>
      <c r="W2826" s="72">
        <f>U2826-V2826</f>
        <v>0</v>
      </c>
      <c r="X2826" s="72">
        <f>L2826*36</f>
        <v>1507.68</v>
      </c>
      <c r="Y2826" s="73">
        <f t="shared" ref="Y2826:Y2827" si="675">+T2826-X2826</f>
        <v>83.759999999999991</v>
      </c>
      <c r="Z2826" s="12" t="s">
        <v>6345</v>
      </c>
      <c r="AA2826" s="12" t="s">
        <v>78</v>
      </c>
    </row>
    <row r="2827" spans="1:27" x14ac:dyDescent="0.25">
      <c r="A2827" s="10">
        <v>45699</v>
      </c>
      <c r="B2827" s="71">
        <v>7.5532407407407465E-2</v>
      </c>
      <c r="C2827" s="11" t="s">
        <v>5222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4439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2">
        <f>L2827*O2827</f>
        <v>3580.2</v>
      </c>
      <c r="S2827" s="72">
        <v>38</v>
      </c>
      <c r="T2827" s="72">
        <f>L2827*S2827</f>
        <v>1600.56</v>
      </c>
      <c r="U2827" s="72">
        <f t="shared" ref="U2827" si="676">R2827-T2827</f>
        <v>1979.6399999999999</v>
      </c>
      <c r="V2827" s="72">
        <f>U2827*1</f>
        <v>1979.6399999999999</v>
      </c>
      <c r="W2827" s="72">
        <f>U2827-V2827</f>
        <v>0</v>
      </c>
      <c r="X2827" s="72">
        <f>L2827*37</f>
        <v>1558.4399999999998</v>
      </c>
      <c r="Y2827" s="73">
        <f t="shared" si="675"/>
        <v>42.120000000000118</v>
      </c>
      <c r="Z2827" s="12" t="s">
        <v>41</v>
      </c>
      <c r="AA2827" s="12" t="s">
        <v>78</v>
      </c>
    </row>
    <row r="2828" spans="1:27" x14ac:dyDescent="0.25">
      <c r="A2828" s="10">
        <v>45699</v>
      </c>
      <c r="B2828" s="71">
        <v>1.6076388888888904E-2</v>
      </c>
      <c r="C2828" s="11" t="s">
        <v>5223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2">
        <f>+M2828*P2828</f>
        <v>528</v>
      </c>
      <c r="S2828" s="72">
        <v>0</v>
      </c>
      <c r="T2828" s="72">
        <f>+M2828*S2828</f>
        <v>0</v>
      </c>
      <c r="U2828" s="72">
        <f t="shared" ref="U2828:U2830" si="677">+R2828-T2828</f>
        <v>528</v>
      </c>
      <c r="V2828" s="72">
        <f>+U2828*0</f>
        <v>0</v>
      </c>
      <c r="W2828" s="72">
        <f t="shared" ref="W2828:W2830" si="678">+U2828-V2828</f>
        <v>528</v>
      </c>
      <c r="X2828" s="72">
        <v>0</v>
      </c>
      <c r="Y2828" s="14">
        <f t="shared" ref="Y2828" si="679">T2828-X2828</f>
        <v>0</v>
      </c>
      <c r="Z2828" s="11" t="s">
        <v>26</v>
      </c>
      <c r="AA2828" s="12" t="s">
        <v>31</v>
      </c>
    </row>
    <row r="2829" spans="1:27" x14ac:dyDescent="0.25">
      <c r="A2829" s="10">
        <v>45699</v>
      </c>
      <c r="B2829" s="71">
        <v>7.8356481481481888E-3</v>
      </c>
      <c r="C2829" s="11" t="s">
        <v>5224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2">
        <f>(L2829*O2829)-Q2829</f>
        <v>374.40000000000003</v>
      </c>
      <c r="S2829" s="72">
        <v>0</v>
      </c>
      <c r="T2829" s="72">
        <f t="shared" ref="T2829:T2830" si="680">+L2829*S2829</f>
        <v>0</v>
      </c>
      <c r="U2829" s="72">
        <f t="shared" si="677"/>
        <v>374.40000000000003</v>
      </c>
      <c r="V2829" s="72">
        <f>+U2829*0</f>
        <v>0</v>
      </c>
      <c r="W2829" s="72">
        <f t="shared" si="678"/>
        <v>374.40000000000003</v>
      </c>
      <c r="X2829" s="72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x14ac:dyDescent="0.25">
      <c r="A2830" s="10">
        <v>45699</v>
      </c>
      <c r="B2830" s="71">
        <v>8.0787037037036713E-3</v>
      </c>
      <c r="C2830" s="11" t="s">
        <v>5225</v>
      </c>
      <c r="D2830" s="11">
        <v>17367</v>
      </c>
      <c r="E2830" s="11" t="s">
        <v>5226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2">
        <f>(L2830*O2830)-Q2830</f>
        <v>573.5</v>
      </c>
      <c r="S2830" s="72">
        <v>0</v>
      </c>
      <c r="T2830" s="72">
        <f t="shared" si="680"/>
        <v>0</v>
      </c>
      <c r="U2830" s="72">
        <f t="shared" si="677"/>
        <v>573.5</v>
      </c>
      <c r="V2830" s="72">
        <f>+U2830*0</f>
        <v>0</v>
      </c>
      <c r="W2830" s="72">
        <f t="shared" si="678"/>
        <v>573.5</v>
      </c>
      <c r="X2830" s="72">
        <v>0</v>
      </c>
      <c r="Y2830" s="14">
        <f t="shared" ref="Y2830:Y2855" si="681">T2830-X2830</f>
        <v>0</v>
      </c>
      <c r="Z2830" s="11" t="s">
        <v>26</v>
      </c>
      <c r="AA2830" s="12" t="s">
        <v>31</v>
      </c>
    </row>
    <row r="2831" spans="1:27" x14ac:dyDescent="0.25">
      <c r="A2831" s="10">
        <v>45699</v>
      </c>
      <c r="B2831" s="71">
        <v>1.2986111111111143E-2</v>
      </c>
      <c r="C2831" s="11" t="s">
        <v>5227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2">
        <f t="shared" ref="R2831" si="682">L2831*O2831</f>
        <v>1082.5</v>
      </c>
      <c r="S2831" s="72">
        <v>0</v>
      </c>
      <c r="T2831" s="72">
        <f t="shared" ref="T2831" si="683">L2831*S2831</f>
        <v>0</v>
      </c>
      <c r="U2831" s="72">
        <f t="shared" ref="U2831" si="684">R2831-T2831</f>
        <v>1082.5</v>
      </c>
      <c r="V2831" s="72">
        <f>U2831*0</f>
        <v>0</v>
      </c>
      <c r="W2831" s="72">
        <f t="shared" ref="W2831" si="685">U2831-V2831</f>
        <v>1082.5</v>
      </c>
      <c r="X2831" s="72">
        <v>0</v>
      </c>
      <c r="Y2831" s="14">
        <f t="shared" si="681"/>
        <v>0</v>
      </c>
      <c r="Z2831" s="11" t="s">
        <v>26</v>
      </c>
      <c r="AA2831" s="12" t="s">
        <v>31</v>
      </c>
    </row>
    <row r="2832" spans="1:27" x14ac:dyDescent="0.25">
      <c r="A2832" s="10">
        <v>45699</v>
      </c>
      <c r="B2832" s="71">
        <v>0.10111111111111121</v>
      </c>
      <c r="C2832" s="11" t="s">
        <v>5228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2">
        <f>+L2832*O2832</f>
        <v>1659.1999999999998</v>
      </c>
      <c r="S2832" s="72">
        <v>0</v>
      </c>
      <c r="T2832" s="72">
        <f>+L2832*S2832</f>
        <v>0</v>
      </c>
      <c r="U2832" s="72">
        <f>+R2832-T2832</f>
        <v>1659.1999999999998</v>
      </c>
      <c r="V2832" s="72">
        <f t="shared" ref="V2832" si="686">+U2832*0</f>
        <v>0</v>
      </c>
      <c r="W2832" s="72">
        <f>+U2832-V2832</f>
        <v>1659.1999999999998</v>
      </c>
      <c r="X2832" s="72">
        <v>0</v>
      </c>
      <c r="Y2832" s="14">
        <f t="shared" si="681"/>
        <v>0</v>
      </c>
      <c r="Z2832" s="11" t="s">
        <v>26</v>
      </c>
      <c r="AA2832" s="12" t="s">
        <v>31</v>
      </c>
    </row>
    <row r="2833" spans="1:27" x14ac:dyDescent="0.25">
      <c r="A2833" s="10">
        <v>45699</v>
      </c>
      <c r="B2833" s="71">
        <v>1.1180555555555527E-2</v>
      </c>
      <c r="C2833" s="11" t="s">
        <v>5229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1926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2">
        <f>M2833*P2833</f>
        <v>1350</v>
      </c>
      <c r="S2833" s="72">
        <v>0</v>
      </c>
      <c r="T2833" s="72">
        <f>M2833*S2833</f>
        <v>0</v>
      </c>
      <c r="U2833" s="72">
        <f t="shared" ref="U2833" si="687">R2833-T2833</f>
        <v>1350</v>
      </c>
      <c r="V2833" s="72">
        <f>U2833*1</f>
        <v>1350</v>
      </c>
      <c r="W2833" s="72">
        <f>U2833-V2833</f>
        <v>0</v>
      </c>
      <c r="X2833" s="72">
        <v>0</v>
      </c>
      <c r="Y2833" s="14">
        <f t="shared" si="681"/>
        <v>0</v>
      </c>
      <c r="Z2833" s="11" t="s">
        <v>26</v>
      </c>
      <c r="AA2833" s="12" t="s">
        <v>31</v>
      </c>
    </row>
    <row r="2834" spans="1:27" x14ac:dyDescent="0.25">
      <c r="A2834" s="10">
        <v>45699</v>
      </c>
      <c r="B2834" s="71">
        <v>1.4652777777777737E-2</v>
      </c>
      <c r="C2834" s="11" t="s">
        <v>5230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2">
        <f>+M2834*P2834</f>
        <v>1600</v>
      </c>
      <c r="S2834" s="72">
        <v>0</v>
      </c>
      <c r="T2834" s="72">
        <f>+M2834*S2834</f>
        <v>0</v>
      </c>
      <c r="U2834" s="72">
        <f t="shared" ref="U2834" si="688">+R2834-T2834</f>
        <v>1600</v>
      </c>
      <c r="V2834" s="72">
        <f t="shared" ref="V2834" si="689">+U2834*0</f>
        <v>0</v>
      </c>
      <c r="W2834" s="72">
        <f t="shared" ref="W2834" si="690">+U2834-V2834</f>
        <v>1600</v>
      </c>
      <c r="X2834" s="72">
        <v>0</v>
      </c>
      <c r="Y2834" s="14">
        <f t="shared" si="681"/>
        <v>0</v>
      </c>
      <c r="Z2834" s="11" t="s">
        <v>26</v>
      </c>
      <c r="AA2834" s="12" t="s">
        <v>31</v>
      </c>
    </row>
    <row r="2835" spans="1:27" x14ac:dyDescent="0.25">
      <c r="A2835" s="10">
        <v>45699</v>
      </c>
      <c r="B2835" s="71">
        <v>1.997685185185194E-2</v>
      </c>
      <c r="C2835" s="11" t="s">
        <v>5231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2">
        <f>L2835*O2835</f>
        <v>1048.5</v>
      </c>
      <c r="S2835" s="72">
        <v>0</v>
      </c>
      <c r="T2835" s="72">
        <f>L2835*S2835</f>
        <v>0</v>
      </c>
      <c r="U2835" s="72">
        <f>R2835-T2835</f>
        <v>1048.5</v>
      </c>
      <c r="V2835" s="72">
        <f>U2835*0</f>
        <v>0</v>
      </c>
      <c r="W2835" s="72">
        <f>U2835-V2835</f>
        <v>1048.5</v>
      </c>
      <c r="X2835" s="72">
        <v>0</v>
      </c>
      <c r="Y2835" s="14">
        <f t="shared" si="681"/>
        <v>0</v>
      </c>
      <c r="Z2835" s="11" t="s">
        <v>26</v>
      </c>
      <c r="AA2835" s="12" t="s">
        <v>31</v>
      </c>
    </row>
    <row r="2836" spans="1:27" x14ac:dyDescent="0.25">
      <c r="A2836" s="10">
        <v>45699</v>
      </c>
      <c r="B2836" s="71">
        <v>4.4097222222221344E-3</v>
      </c>
      <c r="C2836" s="11" t="s">
        <v>5232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2">
        <f>(L2836*O2836)-Q2836</f>
        <v>398.7</v>
      </c>
      <c r="S2836" s="72">
        <v>0</v>
      </c>
      <c r="T2836" s="72">
        <f t="shared" ref="T2836" si="691">+L2836*S2836</f>
        <v>0</v>
      </c>
      <c r="U2836" s="72">
        <f t="shared" ref="U2836" si="692">+R2836-T2836</f>
        <v>398.7</v>
      </c>
      <c r="V2836" s="72">
        <f>+U2836*0</f>
        <v>0</v>
      </c>
      <c r="W2836" s="72">
        <f t="shared" ref="W2836" si="693">+U2836-V2836</f>
        <v>398.7</v>
      </c>
      <c r="X2836" s="72">
        <v>0</v>
      </c>
      <c r="Y2836" s="14">
        <f t="shared" si="681"/>
        <v>0</v>
      </c>
      <c r="Z2836" s="11" t="s">
        <v>26</v>
      </c>
      <c r="AA2836" s="12" t="s">
        <v>31</v>
      </c>
    </row>
    <row r="2837" spans="1:27" x14ac:dyDescent="0.25">
      <c r="A2837" s="10">
        <v>45699</v>
      </c>
      <c r="B2837" s="71">
        <v>8.506944444444553E-3</v>
      </c>
      <c r="C2837" s="11" t="s">
        <v>5233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2">
        <f>L2837*O2837</f>
        <v>1819.1999999999998</v>
      </c>
      <c r="S2837" s="72">
        <v>0</v>
      </c>
      <c r="T2837" s="72">
        <f>L2837*S2837</f>
        <v>0</v>
      </c>
      <c r="U2837" s="72">
        <f>R2837-T2837</f>
        <v>1819.1999999999998</v>
      </c>
      <c r="V2837" s="72">
        <f>U2837*0</f>
        <v>0</v>
      </c>
      <c r="W2837" s="72">
        <f>U2837-V2837</f>
        <v>1819.1999999999998</v>
      </c>
      <c r="X2837" s="72">
        <v>0</v>
      </c>
      <c r="Y2837" s="14">
        <f t="shared" si="681"/>
        <v>0</v>
      </c>
      <c r="Z2837" s="11" t="s">
        <v>26</v>
      </c>
      <c r="AA2837" s="12" t="s">
        <v>31</v>
      </c>
    </row>
    <row r="2838" spans="1:27" x14ac:dyDescent="0.25">
      <c r="A2838" s="10">
        <v>45699</v>
      </c>
      <c r="B2838" s="71">
        <v>0.12079861111111118</v>
      </c>
      <c r="C2838" s="11" t="s">
        <v>5234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4439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2">
        <f>L2838*O2838</f>
        <v>3530.46</v>
      </c>
      <c r="S2838" s="72">
        <v>38</v>
      </c>
      <c r="T2838" s="72">
        <f>L2838*S2838</f>
        <v>1542.04</v>
      </c>
      <c r="U2838" s="72">
        <f>R2838-T2838</f>
        <v>1988.42</v>
      </c>
      <c r="V2838" s="72">
        <f>U2838*1</f>
        <v>1988.42</v>
      </c>
      <c r="W2838" s="72">
        <f>U2838-V2838</f>
        <v>0</v>
      </c>
      <c r="X2838" s="72">
        <f>L2838*37</f>
        <v>1501.46</v>
      </c>
      <c r="Y2838" s="73">
        <f>+T2838-X2838</f>
        <v>40.579999999999927</v>
      </c>
      <c r="Z2838" s="12" t="s">
        <v>41</v>
      </c>
      <c r="AA2838" s="12" t="s">
        <v>78</v>
      </c>
    </row>
    <row r="2839" spans="1:27" x14ac:dyDescent="0.25">
      <c r="A2839" s="10">
        <v>45699</v>
      </c>
      <c r="B2839" s="71">
        <v>0.28217592592592594</v>
      </c>
      <c r="C2839" s="11" t="s">
        <v>5235</v>
      </c>
      <c r="D2839" s="11">
        <v>17379</v>
      </c>
      <c r="E2839" s="11" t="s">
        <v>5236</v>
      </c>
      <c r="F2839" s="11" t="s">
        <v>26</v>
      </c>
      <c r="G2839" s="11">
        <v>56916</v>
      </c>
      <c r="H2839" s="12" t="s">
        <v>4440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2">
        <f>+L2839*O2839</f>
        <v>1560.6</v>
      </c>
      <c r="S2839" s="72">
        <v>0</v>
      </c>
      <c r="T2839" s="72">
        <f>+L2839*S2839</f>
        <v>0</v>
      </c>
      <c r="U2839" s="72">
        <f t="shared" ref="U2839" si="694">+R2839-T2839</f>
        <v>1560.6</v>
      </c>
      <c r="V2839" s="72">
        <f>+U2839*1</f>
        <v>1560.6</v>
      </c>
      <c r="W2839" s="72">
        <f t="shared" ref="W2839" si="695">+U2839-V2839</f>
        <v>0</v>
      </c>
      <c r="X2839" s="72">
        <v>0</v>
      </c>
      <c r="Y2839" s="14">
        <f t="shared" si="681"/>
        <v>0</v>
      </c>
      <c r="Z2839" s="11" t="s">
        <v>26</v>
      </c>
      <c r="AA2839" s="12" t="s">
        <v>31</v>
      </c>
    </row>
    <row r="2840" spans="1:27" x14ac:dyDescent="0.25">
      <c r="A2840" s="10">
        <v>45699</v>
      </c>
      <c r="B2840" s="71">
        <v>8.6458333333332416E-3</v>
      </c>
      <c r="C2840" s="11" t="s">
        <v>5237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2">
        <f t="shared" ref="R2840" si="696">L2840*O2840</f>
        <v>1077</v>
      </c>
      <c r="S2840" s="72">
        <v>0</v>
      </c>
      <c r="T2840" s="72">
        <f t="shared" ref="T2840" si="697">L2840*S2840</f>
        <v>0</v>
      </c>
      <c r="U2840" s="72">
        <f t="shared" ref="U2840" si="698">R2840-T2840</f>
        <v>1077</v>
      </c>
      <c r="V2840" s="72">
        <f>U2840*0</f>
        <v>0</v>
      </c>
      <c r="W2840" s="72">
        <f t="shared" ref="W2840" si="699">U2840-V2840</f>
        <v>1077</v>
      </c>
      <c r="X2840" s="72">
        <v>0</v>
      </c>
      <c r="Y2840" s="14">
        <f t="shared" si="681"/>
        <v>0</v>
      </c>
      <c r="Z2840" s="11" t="s">
        <v>26</v>
      </c>
      <c r="AA2840" s="12" t="s">
        <v>31</v>
      </c>
    </row>
    <row r="2841" spans="1:27" x14ac:dyDescent="0.25">
      <c r="A2841" s="10">
        <v>45699</v>
      </c>
      <c r="B2841" s="71">
        <v>8.1712962962963154E-3</v>
      </c>
      <c r="C2841" s="11" t="s">
        <v>5238</v>
      </c>
      <c r="D2841" s="11">
        <v>17380</v>
      </c>
      <c r="E2841" s="11" t="s">
        <v>1217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2">
        <f>L2841*O2841</f>
        <v>1024.5</v>
      </c>
      <c r="S2841" s="72">
        <v>0</v>
      </c>
      <c r="T2841" s="72">
        <f>L2841*S2841</f>
        <v>0</v>
      </c>
      <c r="U2841" s="72">
        <f>R2841-T2841</f>
        <v>1024.5</v>
      </c>
      <c r="V2841" s="72">
        <f>U2841*0</f>
        <v>0</v>
      </c>
      <c r="W2841" s="72">
        <f>U2841-V2841</f>
        <v>1024.5</v>
      </c>
      <c r="X2841" s="72">
        <v>0</v>
      </c>
      <c r="Y2841" s="14">
        <f t="shared" si="681"/>
        <v>0</v>
      </c>
      <c r="Z2841" s="11" t="s">
        <v>26</v>
      </c>
      <c r="AA2841" s="12" t="s">
        <v>31</v>
      </c>
    </row>
    <row r="2842" spans="1:27" x14ac:dyDescent="0.25">
      <c r="A2842" s="10">
        <v>45699</v>
      </c>
      <c r="B2842" s="71">
        <v>1.5879629629629632E-2</v>
      </c>
      <c r="C2842" s="11" t="s">
        <v>5239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6345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2">
        <f>L2842*O2842</f>
        <v>1345.55</v>
      </c>
      <c r="S2842" s="72">
        <v>0</v>
      </c>
      <c r="T2842" s="72">
        <f>+L2842*S2842</f>
        <v>0</v>
      </c>
      <c r="U2842" s="72">
        <f>R2842-T2842</f>
        <v>1345.55</v>
      </c>
      <c r="V2842" s="72">
        <f>U2842*0</f>
        <v>0</v>
      </c>
      <c r="W2842" s="72">
        <f>U2842-V2842</f>
        <v>1345.55</v>
      </c>
      <c r="X2842" s="72"/>
      <c r="Y2842" s="14">
        <f t="shared" si="681"/>
        <v>0</v>
      </c>
      <c r="Z2842" s="11" t="s">
        <v>26</v>
      </c>
      <c r="AA2842" s="12" t="s">
        <v>31</v>
      </c>
    </row>
    <row r="2843" spans="1:27" x14ac:dyDescent="0.25">
      <c r="A2843" s="10">
        <v>45699</v>
      </c>
      <c r="B2843" s="71">
        <v>4.7870370370370341E-2</v>
      </c>
      <c r="C2843" s="11" t="s">
        <v>5240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4440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2">
        <f t="shared" ref="R2843" si="700">+L2843*O2843</f>
        <v>1554.8400000000001</v>
      </c>
      <c r="S2843" s="72">
        <v>0</v>
      </c>
      <c r="T2843" s="72">
        <f t="shared" ref="T2843:T2845" si="701">+L2843*S2843</f>
        <v>0</v>
      </c>
      <c r="U2843" s="72">
        <f t="shared" ref="U2843:U2845" si="702">+R2843-T2843</f>
        <v>1554.8400000000001</v>
      </c>
      <c r="V2843" s="72">
        <f>+U2843*1</f>
        <v>1554.8400000000001</v>
      </c>
      <c r="W2843" s="72">
        <f t="shared" ref="W2843:W2845" si="703">+U2843-V2843</f>
        <v>0</v>
      </c>
      <c r="X2843" s="72">
        <v>0</v>
      </c>
      <c r="Y2843" s="14">
        <f t="shared" si="681"/>
        <v>0</v>
      </c>
      <c r="Z2843" s="11" t="s">
        <v>26</v>
      </c>
      <c r="AA2843" s="12" t="s">
        <v>31</v>
      </c>
    </row>
    <row r="2844" spans="1:27" x14ac:dyDescent="0.25">
      <c r="A2844" s="10">
        <v>45699</v>
      </c>
      <c r="B2844" s="71">
        <v>7.9745370370369884E-3</v>
      </c>
      <c r="C2844" s="11" t="s">
        <v>5241</v>
      </c>
      <c r="D2844" s="11">
        <v>17383</v>
      </c>
      <c r="E2844" s="11" t="s">
        <v>5190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2">
        <f>(L2844*O2844)-Q2844</f>
        <v>537.6</v>
      </c>
      <c r="S2844" s="72">
        <v>0</v>
      </c>
      <c r="T2844" s="72">
        <f t="shared" si="701"/>
        <v>0</v>
      </c>
      <c r="U2844" s="72">
        <f t="shared" si="702"/>
        <v>537.6</v>
      </c>
      <c r="V2844" s="72">
        <f t="shared" ref="V2844:V2845" si="704">+U2844*0</f>
        <v>0</v>
      </c>
      <c r="W2844" s="72">
        <f t="shared" si="703"/>
        <v>537.6</v>
      </c>
      <c r="X2844" s="72">
        <v>0</v>
      </c>
      <c r="Y2844" s="14">
        <f t="shared" si="681"/>
        <v>0</v>
      </c>
      <c r="Z2844" s="11" t="s">
        <v>26</v>
      </c>
      <c r="AA2844" s="12" t="s">
        <v>31</v>
      </c>
    </row>
    <row r="2845" spans="1:27" x14ac:dyDescent="0.25">
      <c r="A2845" s="10">
        <v>45699</v>
      </c>
      <c r="B2845" s="71">
        <v>4.2245370370369573E-3</v>
      </c>
      <c r="C2845" s="11" t="s">
        <v>5242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2">
        <f>(L2845*O2845)-Q2845</f>
        <v>256</v>
      </c>
      <c r="S2845" s="72">
        <v>0</v>
      </c>
      <c r="T2845" s="72">
        <f t="shared" si="701"/>
        <v>0</v>
      </c>
      <c r="U2845" s="72">
        <f t="shared" si="702"/>
        <v>256</v>
      </c>
      <c r="V2845" s="72">
        <f t="shared" si="704"/>
        <v>0</v>
      </c>
      <c r="W2845" s="72">
        <f t="shared" si="703"/>
        <v>256</v>
      </c>
      <c r="X2845" s="72">
        <v>0</v>
      </c>
      <c r="Y2845" s="14">
        <f t="shared" si="681"/>
        <v>0</v>
      </c>
      <c r="Z2845" s="11" t="s">
        <v>26</v>
      </c>
      <c r="AA2845" s="12" t="s">
        <v>31</v>
      </c>
    </row>
    <row r="2846" spans="1:27" x14ac:dyDescent="0.25">
      <c r="A2846" s="10">
        <v>45699</v>
      </c>
      <c r="B2846" s="71">
        <v>8.6921296296296191E-3</v>
      </c>
      <c r="C2846" s="11" t="s">
        <v>5243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6345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2">
        <f>L2846*O2846</f>
        <v>1664.3</v>
      </c>
      <c r="S2846" s="72">
        <v>0</v>
      </c>
      <c r="T2846" s="72">
        <f>+L2846*S2846</f>
        <v>0</v>
      </c>
      <c r="U2846" s="72">
        <f>R2846-T2846</f>
        <v>1664.3</v>
      </c>
      <c r="V2846" s="72">
        <f>U2846*0</f>
        <v>0</v>
      </c>
      <c r="W2846" s="72">
        <f>U2846-V2846</f>
        <v>1664.3</v>
      </c>
      <c r="X2846" s="72"/>
      <c r="Y2846" s="14">
        <f t="shared" si="681"/>
        <v>0</v>
      </c>
      <c r="Z2846" s="11" t="s">
        <v>26</v>
      </c>
      <c r="AA2846" s="12" t="s">
        <v>31</v>
      </c>
    </row>
    <row r="2847" spans="1:27" x14ac:dyDescent="0.25">
      <c r="A2847" s="10">
        <v>45699</v>
      </c>
      <c r="B2847" s="71">
        <v>1.0555555555555651E-2</v>
      </c>
      <c r="C2847" s="11" t="s">
        <v>5244</v>
      </c>
      <c r="D2847" s="11">
        <v>17386</v>
      </c>
      <c r="E2847" s="11" t="s">
        <v>5226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2">
        <f>(L2847*O2847)-Q2847</f>
        <v>667.48</v>
      </c>
      <c r="S2847" s="72">
        <v>0</v>
      </c>
      <c r="T2847" s="72">
        <f t="shared" ref="T2847" si="705">+L2847*S2847</f>
        <v>0</v>
      </c>
      <c r="U2847" s="72">
        <f t="shared" ref="U2847" si="706">+R2847-T2847</f>
        <v>667.48</v>
      </c>
      <c r="V2847" s="72">
        <f>+U2847*0</f>
        <v>0</v>
      </c>
      <c r="W2847" s="72">
        <f t="shared" ref="W2847" si="707">+U2847-V2847</f>
        <v>667.48</v>
      </c>
      <c r="X2847" s="72">
        <v>0</v>
      </c>
      <c r="Y2847" s="14">
        <f t="shared" si="681"/>
        <v>0</v>
      </c>
      <c r="Z2847" s="11" t="s">
        <v>26</v>
      </c>
      <c r="AA2847" s="12" t="s">
        <v>31</v>
      </c>
    </row>
    <row r="2848" spans="1:27" x14ac:dyDescent="0.25">
      <c r="A2848" s="10">
        <v>45699</v>
      </c>
      <c r="B2848" s="71">
        <v>0.11660879629629628</v>
      </c>
      <c r="C2848" s="11" t="s">
        <v>5245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2">
        <f>L2848*O2848</f>
        <v>1748.8</v>
      </c>
      <c r="S2848" s="72">
        <v>0</v>
      </c>
      <c r="T2848" s="72">
        <f>L2848*S2848</f>
        <v>0</v>
      </c>
      <c r="U2848" s="72">
        <f>R2848-T2848</f>
        <v>1748.8</v>
      </c>
      <c r="V2848" s="72">
        <f>U2848*0</f>
        <v>0</v>
      </c>
      <c r="W2848" s="72">
        <f>U2848-V2848</f>
        <v>1748.8</v>
      </c>
      <c r="X2848" s="72">
        <v>0</v>
      </c>
      <c r="Y2848" s="14">
        <f t="shared" si="681"/>
        <v>0</v>
      </c>
      <c r="Z2848" s="11" t="s">
        <v>26</v>
      </c>
      <c r="AA2848" s="12" t="s">
        <v>31</v>
      </c>
    </row>
    <row r="2849" spans="1:27" x14ac:dyDescent="0.25">
      <c r="A2849" s="10">
        <v>45699</v>
      </c>
      <c r="B2849" s="71">
        <v>7.5462962962963287E-3</v>
      </c>
      <c r="C2849" s="11" t="s">
        <v>5246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2">
        <f t="shared" ref="R2849" si="708">L2849*O2849</f>
        <v>1065.5</v>
      </c>
      <c r="S2849" s="72">
        <v>0</v>
      </c>
      <c r="T2849" s="72">
        <f t="shared" ref="T2849" si="709">L2849*S2849</f>
        <v>0</v>
      </c>
      <c r="U2849" s="72">
        <f t="shared" ref="U2849" si="710">R2849-T2849</f>
        <v>1065.5</v>
      </c>
      <c r="V2849" s="72">
        <f>U2849*0</f>
        <v>0</v>
      </c>
      <c r="W2849" s="72">
        <f t="shared" ref="W2849" si="711">U2849-V2849</f>
        <v>1065.5</v>
      </c>
      <c r="X2849" s="72">
        <v>0</v>
      </c>
      <c r="Y2849" s="14">
        <f t="shared" si="681"/>
        <v>0</v>
      </c>
      <c r="Z2849" s="11" t="s">
        <v>26</v>
      </c>
      <c r="AA2849" s="12" t="s">
        <v>31</v>
      </c>
    </row>
    <row r="2850" spans="1:27" x14ac:dyDescent="0.25">
      <c r="A2850" s="10">
        <v>45699</v>
      </c>
      <c r="B2850" s="71">
        <v>1.3125000000000053E-2</v>
      </c>
      <c r="C2850" s="11" t="s">
        <v>5247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2">
        <f>L2850*O2850</f>
        <v>1009</v>
      </c>
      <c r="S2850" s="72">
        <v>0</v>
      </c>
      <c r="T2850" s="72">
        <f>L2850*S2850</f>
        <v>0</v>
      </c>
      <c r="U2850" s="72">
        <f>R2850-T2850</f>
        <v>1009</v>
      </c>
      <c r="V2850" s="72">
        <f>U2850*0</f>
        <v>0</v>
      </c>
      <c r="W2850" s="72">
        <f>U2850-V2850</f>
        <v>1009</v>
      </c>
      <c r="X2850" s="72">
        <v>0</v>
      </c>
      <c r="Y2850" s="14">
        <f t="shared" si="681"/>
        <v>0</v>
      </c>
      <c r="Z2850" s="11" t="s">
        <v>26</v>
      </c>
      <c r="AA2850" s="12" t="s">
        <v>31</v>
      </c>
    </row>
    <row r="2851" spans="1:27" x14ac:dyDescent="0.25">
      <c r="A2851" s="10">
        <v>45699</v>
      </c>
      <c r="B2851" s="71">
        <v>1.3993055555555522E-2</v>
      </c>
      <c r="C2851" s="11" t="s">
        <v>5248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2">
        <f>M2851*P2851</f>
        <v>1600</v>
      </c>
      <c r="S2851" s="72">
        <v>0</v>
      </c>
      <c r="T2851" s="72">
        <f>M2851*S2851</f>
        <v>0</v>
      </c>
      <c r="U2851" s="72">
        <f>+R2851-T2851</f>
        <v>1600</v>
      </c>
      <c r="V2851" s="72">
        <f t="shared" ref="V2851:V2855" si="712">+U2851*0</f>
        <v>0</v>
      </c>
      <c r="W2851" s="72">
        <f>+U2851-V2851</f>
        <v>1600</v>
      </c>
      <c r="X2851" s="72">
        <v>0</v>
      </c>
      <c r="Y2851" s="14">
        <f t="shared" si="681"/>
        <v>0</v>
      </c>
      <c r="Z2851" s="11" t="s">
        <v>26</v>
      </c>
      <c r="AA2851" s="12" t="s">
        <v>31</v>
      </c>
    </row>
    <row r="2852" spans="1:27" x14ac:dyDescent="0.25">
      <c r="A2852" s="10">
        <v>45699</v>
      </c>
      <c r="B2852" s="71">
        <v>1.3819444444444495E-2</v>
      </c>
      <c r="C2852" s="11" t="s">
        <v>5249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2">
        <f>(L2852*O2852)-Q2852</f>
        <v>286</v>
      </c>
      <c r="S2852" s="72">
        <v>0</v>
      </c>
      <c r="T2852" s="72">
        <f t="shared" ref="T2852:T2853" si="713">+L2852*S2852</f>
        <v>0</v>
      </c>
      <c r="U2852" s="72">
        <f t="shared" ref="U2852:U2853" si="714">+R2852-T2852</f>
        <v>286</v>
      </c>
      <c r="V2852" s="72">
        <f t="shared" si="712"/>
        <v>0</v>
      </c>
      <c r="W2852" s="72">
        <f t="shared" ref="W2852:W2853" si="715">+U2852-V2852</f>
        <v>286</v>
      </c>
      <c r="X2852" s="72">
        <v>0</v>
      </c>
      <c r="Y2852" s="14">
        <f t="shared" si="681"/>
        <v>0</v>
      </c>
      <c r="Z2852" s="11" t="s">
        <v>26</v>
      </c>
      <c r="AA2852" s="12" t="s">
        <v>31</v>
      </c>
    </row>
    <row r="2853" spans="1:27" x14ac:dyDescent="0.25">
      <c r="A2853" s="10">
        <v>45699</v>
      </c>
      <c r="B2853" s="71">
        <v>7.9282407407408328E-3</v>
      </c>
      <c r="C2853" s="11" t="s">
        <v>5250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2">
        <f>(L2853*O2853)-Q2853</f>
        <v>241.6</v>
      </c>
      <c r="S2853" s="72">
        <v>0</v>
      </c>
      <c r="T2853" s="72">
        <f t="shared" si="713"/>
        <v>0</v>
      </c>
      <c r="U2853" s="72">
        <f t="shared" si="714"/>
        <v>241.6</v>
      </c>
      <c r="V2853" s="72">
        <f t="shared" si="712"/>
        <v>0</v>
      </c>
      <c r="W2853" s="72">
        <f t="shared" si="715"/>
        <v>241.6</v>
      </c>
      <c r="X2853" s="72">
        <v>0</v>
      </c>
      <c r="Y2853" s="14">
        <f t="shared" si="681"/>
        <v>0</v>
      </c>
      <c r="Z2853" s="11" t="s">
        <v>26</v>
      </c>
      <c r="AA2853" s="12" t="s">
        <v>31</v>
      </c>
    </row>
    <row r="2854" spans="1:27" x14ac:dyDescent="0.25">
      <c r="A2854" s="10">
        <v>45699</v>
      </c>
      <c r="B2854" s="71">
        <v>1.0671296296296262E-2</v>
      </c>
      <c r="C2854" s="11" t="s">
        <v>5251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35</v>
      </c>
      <c r="P2854" s="13"/>
      <c r="Q2854" s="13">
        <v>0</v>
      </c>
      <c r="R2854" s="72">
        <f>+L2854*O2854</f>
        <v>1556.1000000000001</v>
      </c>
      <c r="S2854" s="72">
        <v>0</v>
      </c>
      <c r="T2854" s="72">
        <f>+L2854*S2854</f>
        <v>0</v>
      </c>
      <c r="U2854" s="72">
        <f>+R2854-T2854</f>
        <v>1556.1000000000001</v>
      </c>
      <c r="V2854" s="72">
        <f t="shared" si="712"/>
        <v>0</v>
      </c>
      <c r="W2854" s="72">
        <f>+U2854-V2854</f>
        <v>1556.1000000000001</v>
      </c>
      <c r="X2854" s="72">
        <v>0</v>
      </c>
      <c r="Y2854" s="14">
        <f t="shared" si="681"/>
        <v>0</v>
      </c>
      <c r="Z2854" s="11" t="s">
        <v>26</v>
      </c>
      <c r="AA2854" s="12" t="s">
        <v>31</v>
      </c>
    </row>
    <row r="2855" spans="1:27" x14ac:dyDescent="0.25">
      <c r="A2855" s="10">
        <v>45699</v>
      </c>
      <c r="B2855" s="71">
        <v>0.13450231481481478</v>
      </c>
      <c r="C2855" s="11" t="s">
        <v>5252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2">
        <f>+L2855*O2855</f>
        <v>1659.1999999999998</v>
      </c>
      <c r="S2855" s="72">
        <v>0</v>
      </c>
      <c r="T2855" s="72">
        <f>+L2855*S2855</f>
        <v>0</v>
      </c>
      <c r="U2855" s="72">
        <f>+R2855-T2855</f>
        <v>1659.1999999999998</v>
      </c>
      <c r="V2855" s="72">
        <f t="shared" si="712"/>
        <v>0</v>
      </c>
      <c r="W2855" s="72">
        <f>+U2855-V2855</f>
        <v>1659.1999999999998</v>
      </c>
      <c r="X2855" s="72">
        <v>0</v>
      </c>
      <c r="Y2855" s="14">
        <f t="shared" si="681"/>
        <v>0</v>
      </c>
      <c r="Z2855" s="11" t="s">
        <v>26</v>
      </c>
      <c r="AA2855" s="12" t="s">
        <v>31</v>
      </c>
    </row>
    <row r="2856" spans="1:27" x14ac:dyDescent="0.25">
      <c r="A2856" s="10">
        <v>45699</v>
      </c>
      <c r="B2856" s="71">
        <v>6.523148148148139E-2</v>
      </c>
      <c r="C2856" s="11" t="s">
        <v>5253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2">
        <f>+L2856*O2856</f>
        <v>3800.16</v>
      </c>
      <c r="S2856" s="72">
        <v>40</v>
      </c>
      <c r="T2856" s="72">
        <f>L2856*S2856</f>
        <v>1670.3999999999999</v>
      </c>
      <c r="U2856" s="72">
        <f t="shared" ref="U2856" si="717">R2856-T2856</f>
        <v>2129.7600000000002</v>
      </c>
      <c r="V2856" s="72">
        <f>U2856*1</f>
        <v>2129.7600000000002</v>
      </c>
      <c r="W2856" s="72">
        <f t="shared" ref="W2856" si="718">U2856-V2856</f>
        <v>0</v>
      </c>
      <c r="X2856" s="72">
        <f>L2856*37</f>
        <v>1545.12</v>
      </c>
      <c r="Y2856" s="73">
        <f>+T2856-X2856</f>
        <v>125.27999999999997</v>
      </c>
      <c r="Z2856" s="12" t="s">
        <v>41</v>
      </c>
      <c r="AA2856" s="12" t="s">
        <v>79</v>
      </c>
    </row>
    <row r="2857" spans="1:27" x14ac:dyDescent="0.25">
      <c r="A2857" s="10">
        <v>45699</v>
      </c>
      <c r="B2857" s="71">
        <v>0.11466435185185186</v>
      </c>
      <c r="C2857" s="11" t="s">
        <v>5254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2">
        <f>M2857*P2857</f>
        <v>1450</v>
      </c>
      <c r="S2857" s="72">
        <v>0</v>
      </c>
      <c r="T2857" s="72">
        <f>M2857*S2857</f>
        <v>0</v>
      </c>
      <c r="U2857" s="72">
        <f>R2857-T2857</f>
        <v>1450</v>
      </c>
      <c r="V2857" s="72">
        <f>U2857*0</f>
        <v>0</v>
      </c>
      <c r="W2857" s="72">
        <f>U2857-V2857</f>
        <v>1450</v>
      </c>
      <c r="X2857" s="72">
        <v>0</v>
      </c>
      <c r="Y2857" s="14">
        <f t="shared" ref="Y2857:Y2868" si="719">T2857-X2857</f>
        <v>0</v>
      </c>
      <c r="Z2857" s="11" t="s">
        <v>26</v>
      </c>
      <c r="AA2857" s="12" t="s">
        <v>31</v>
      </c>
    </row>
    <row r="2858" spans="1:27" x14ac:dyDescent="0.25">
      <c r="A2858" s="10">
        <v>45699</v>
      </c>
      <c r="B2858" s="71">
        <v>0.1049189814814816</v>
      </c>
      <c r="C2858" s="11" t="s">
        <v>5255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2">
        <f>L2858*O2858</f>
        <v>1741.6</v>
      </c>
      <c r="S2858" s="72">
        <v>0</v>
      </c>
      <c r="T2858" s="72">
        <f>L2858*S2858</f>
        <v>0</v>
      </c>
      <c r="U2858" s="72">
        <f>R2858-T2858</f>
        <v>1741.6</v>
      </c>
      <c r="V2858" s="72">
        <f>U2858*0</f>
        <v>0</v>
      </c>
      <c r="W2858" s="72">
        <f>U2858-V2858</f>
        <v>1741.6</v>
      </c>
      <c r="X2858" s="72">
        <v>0</v>
      </c>
      <c r="Y2858" s="14">
        <f t="shared" si="719"/>
        <v>0</v>
      </c>
      <c r="Z2858" s="11" t="s">
        <v>26</v>
      </c>
      <c r="AA2858" s="12" t="s">
        <v>31</v>
      </c>
    </row>
    <row r="2859" spans="1:27" x14ac:dyDescent="0.25">
      <c r="A2859" s="10">
        <v>45699</v>
      </c>
      <c r="B2859" s="71">
        <v>6.4525462962963021E-2</v>
      </c>
      <c r="C2859" s="11" t="s">
        <v>5256</v>
      </c>
      <c r="D2859" s="11">
        <v>17398</v>
      </c>
      <c r="E2859" s="11" t="s">
        <v>5257</v>
      </c>
      <c r="F2859" s="11" t="s">
        <v>26</v>
      </c>
      <c r="G2859" s="11">
        <v>112785</v>
      </c>
      <c r="H2859" s="12" t="s">
        <v>4463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2">
        <f t="shared" ref="R2859" si="720">+L2859*O2859</f>
        <v>1677.48</v>
      </c>
      <c r="S2859" s="72">
        <v>0</v>
      </c>
      <c r="T2859" s="72">
        <f>+L2859*S2859</f>
        <v>0</v>
      </c>
      <c r="U2859" s="72">
        <f t="shared" ref="U2859:U2860" si="721">+R2859-T2859</f>
        <v>1677.48</v>
      </c>
      <c r="V2859" s="72">
        <f>+U2859*1</f>
        <v>1677.48</v>
      </c>
      <c r="W2859" s="72">
        <f t="shared" ref="W2859:W2860" si="722">+U2859-V2859</f>
        <v>0</v>
      </c>
      <c r="X2859" s="72">
        <v>0</v>
      </c>
      <c r="Y2859" s="14">
        <f t="shared" si="719"/>
        <v>0</v>
      </c>
      <c r="Z2859" s="11" t="s">
        <v>26</v>
      </c>
      <c r="AA2859" s="12" t="s">
        <v>31</v>
      </c>
    </row>
    <row r="2860" spans="1:27" x14ac:dyDescent="0.25">
      <c r="A2860" s="10">
        <v>45699</v>
      </c>
      <c r="B2860" s="71">
        <v>0.11546296296296299</v>
      </c>
      <c r="C2860" s="11" t="s">
        <v>5258</v>
      </c>
      <c r="D2860" s="11">
        <v>17399</v>
      </c>
      <c r="E2860" s="11" t="s">
        <v>5259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2">
        <f>+M2860*P2860</f>
        <v>1500</v>
      </c>
      <c r="S2860" s="72">
        <v>0</v>
      </c>
      <c r="T2860" s="72">
        <f>+M2860*S2860</f>
        <v>0</v>
      </c>
      <c r="U2860" s="72">
        <f t="shared" si="721"/>
        <v>1500</v>
      </c>
      <c r="V2860" s="72">
        <f>+U2860*0</f>
        <v>0</v>
      </c>
      <c r="W2860" s="72">
        <f t="shared" si="722"/>
        <v>1500</v>
      </c>
      <c r="X2860" s="72">
        <v>0</v>
      </c>
      <c r="Y2860" s="14">
        <f t="shared" si="719"/>
        <v>0</v>
      </c>
      <c r="Z2860" s="11" t="s">
        <v>26</v>
      </c>
      <c r="AA2860" s="12" t="s">
        <v>31</v>
      </c>
    </row>
    <row r="2861" spans="1:27" x14ac:dyDescent="0.25">
      <c r="A2861" s="10">
        <v>45699</v>
      </c>
      <c r="B2861" s="71">
        <v>7.2094907407407538E-2</v>
      </c>
      <c r="C2861" s="11" t="s">
        <v>5260</v>
      </c>
      <c r="D2861" s="11">
        <v>17400</v>
      </c>
      <c r="E2861" s="11" t="s">
        <v>5261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2">
        <f>M2861*P2861</f>
        <v>1600</v>
      </c>
      <c r="S2861" s="72">
        <v>0</v>
      </c>
      <c r="T2861" s="72">
        <f>M2861*S2861</f>
        <v>0</v>
      </c>
      <c r="U2861" s="72">
        <f>+R2861-T2861</f>
        <v>1600</v>
      </c>
      <c r="V2861" s="72">
        <f t="shared" ref="V2861:V2862" si="723">+U2861*0</f>
        <v>0</v>
      </c>
      <c r="W2861" s="72">
        <f>+U2861-V2861</f>
        <v>1600</v>
      </c>
      <c r="X2861" s="72">
        <v>0</v>
      </c>
      <c r="Y2861" s="14">
        <f t="shared" si="719"/>
        <v>0</v>
      </c>
      <c r="Z2861" s="11" t="s">
        <v>26</v>
      </c>
      <c r="AA2861" s="12" t="s">
        <v>31</v>
      </c>
    </row>
    <row r="2862" spans="1:27" x14ac:dyDescent="0.25">
      <c r="A2862" s="10">
        <v>45699</v>
      </c>
      <c r="B2862" s="71">
        <v>0.13675925925925925</v>
      </c>
      <c r="C2862" s="11" t="s">
        <v>5262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2">
        <f>+L2862*O2862</f>
        <v>1590.3999999999999</v>
      </c>
      <c r="S2862" s="72">
        <v>0</v>
      </c>
      <c r="T2862" s="72">
        <f>+L2862*S2862</f>
        <v>0</v>
      </c>
      <c r="U2862" s="72">
        <f>+R2862-T2862</f>
        <v>1590.3999999999999</v>
      </c>
      <c r="V2862" s="72">
        <f t="shared" si="723"/>
        <v>0</v>
      </c>
      <c r="W2862" s="72">
        <f>+U2862-V2862</f>
        <v>1590.3999999999999</v>
      </c>
      <c r="X2862" s="72">
        <v>0</v>
      </c>
      <c r="Y2862" s="14">
        <f t="shared" si="719"/>
        <v>0</v>
      </c>
      <c r="Z2862" s="11" t="s">
        <v>26</v>
      </c>
      <c r="AA2862" s="12" t="s">
        <v>31</v>
      </c>
    </row>
    <row r="2863" spans="1:27" x14ac:dyDescent="0.25">
      <c r="A2863" s="10">
        <v>45699</v>
      </c>
      <c r="B2863" s="71">
        <v>8.3564814814814703E-2</v>
      </c>
      <c r="C2863" s="11" t="s">
        <v>5263</v>
      </c>
      <c r="D2863" s="11">
        <v>17402</v>
      </c>
      <c r="E2863" s="11" t="s">
        <v>2081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2">
        <f t="shared" ref="R2863" si="724">L2863*O2863</f>
        <v>1087.5</v>
      </c>
      <c r="S2863" s="72">
        <v>0</v>
      </c>
      <c r="T2863" s="72">
        <f t="shared" ref="T2863" si="725">L2863*S2863</f>
        <v>0</v>
      </c>
      <c r="U2863" s="72">
        <f t="shared" ref="U2863" si="726">R2863-T2863</f>
        <v>1087.5</v>
      </c>
      <c r="V2863" s="72">
        <f t="shared" ref="V2863:V2868" si="727">U2863*0</f>
        <v>0</v>
      </c>
      <c r="W2863" s="72">
        <f t="shared" ref="W2863:W2870" si="728">U2863-V2863</f>
        <v>1087.5</v>
      </c>
      <c r="X2863" s="72">
        <v>0</v>
      </c>
      <c r="Y2863" s="14">
        <f t="shared" si="719"/>
        <v>0</v>
      </c>
      <c r="Z2863" s="11" t="s">
        <v>26</v>
      </c>
      <c r="AA2863" s="12" t="s">
        <v>31</v>
      </c>
    </row>
    <row r="2864" spans="1:27" x14ac:dyDescent="0.25">
      <c r="A2864" s="10">
        <v>45699</v>
      </c>
      <c r="B2864" s="71">
        <v>7.2453703703703853E-2</v>
      </c>
      <c r="C2864" s="11" t="s">
        <v>5264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2">
        <f>M2864*P2864</f>
        <v>1600</v>
      </c>
      <c r="S2864" s="72">
        <v>0</v>
      </c>
      <c r="T2864" s="72">
        <f>M2864*S2864</f>
        <v>0</v>
      </c>
      <c r="U2864" s="72">
        <f>R2864-T2864</f>
        <v>1600</v>
      </c>
      <c r="V2864" s="72">
        <f t="shared" si="727"/>
        <v>0</v>
      </c>
      <c r="W2864" s="72">
        <f t="shared" si="728"/>
        <v>1600</v>
      </c>
      <c r="X2864" s="72">
        <v>0</v>
      </c>
      <c r="Y2864" s="14">
        <f t="shared" si="719"/>
        <v>0</v>
      </c>
      <c r="Z2864" s="11" t="s">
        <v>26</v>
      </c>
      <c r="AA2864" s="12" t="s">
        <v>31</v>
      </c>
    </row>
    <row r="2865" spans="1:27" x14ac:dyDescent="0.25">
      <c r="A2865" s="10">
        <v>45699</v>
      </c>
      <c r="B2865" s="71">
        <v>7.7881944444444517E-2</v>
      </c>
      <c r="C2865" s="11" t="s">
        <v>5265</v>
      </c>
      <c r="D2865" s="11">
        <v>17404</v>
      </c>
      <c r="E2865" s="11" t="s">
        <v>2083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2">
        <f>M2865*P2865</f>
        <v>1500</v>
      </c>
      <c r="S2865" s="72">
        <v>0</v>
      </c>
      <c r="T2865" s="72">
        <f>M2865*S2865</f>
        <v>0</v>
      </c>
      <c r="U2865" s="72">
        <f>R2865-T2865</f>
        <v>1500</v>
      </c>
      <c r="V2865" s="72">
        <f t="shared" si="727"/>
        <v>0</v>
      </c>
      <c r="W2865" s="72">
        <f t="shared" si="728"/>
        <v>1500</v>
      </c>
      <c r="X2865" s="72">
        <v>0</v>
      </c>
      <c r="Y2865" s="14">
        <f t="shared" si="719"/>
        <v>0</v>
      </c>
      <c r="Z2865" s="11" t="s">
        <v>26</v>
      </c>
      <c r="AA2865" s="12" t="s">
        <v>31</v>
      </c>
    </row>
    <row r="2866" spans="1:27" x14ac:dyDescent="0.25">
      <c r="A2866" s="10">
        <v>45700</v>
      </c>
      <c r="B2866" s="11" t="s">
        <v>388</v>
      </c>
      <c r="C2866" s="11" t="s">
        <v>5266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2">
        <f>M2866*P2866</f>
        <v>1450</v>
      </c>
      <c r="S2866" s="72">
        <v>0</v>
      </c>
      <c r="T2866" s="72">
        <f>M2866*S2866</f>
        <v>0</v>
      </c>
      <c r="U2866" s="72">
        <f>R2866-T2866</f>
        <v>1450</v>
      </c>
      <c r="V2866" s="72">
        <f t="shared" si="727"/>
        <v>0</v>
      </c>
      <c r="W2866" s="72">
        <f t="shared" si="728"/>
        <v>1450</v>
      </c>
      <c r="X2866" s="72">
        <v>0</v>
      </c>
      <c r="Y2866" s="14">
        <f t="shared" si="719"/>
        <v>0</v>
      </c>
      <c r="Z2866" s="11" t="s">
        <v>26</v>
      </c>
      <c r="AA2866" s="12" t="s">
        <v>31</v>
      </c>
    </row>
    <row r="2867" spans="1:27" x14ac:dyDescent="0.25">
      <c r="A2867" s="10">
        <v>45700</v>
      </c>
      <c r="B2867" s="11" t="s">
        <v>5267</v>
      </c>
      <c r="C2867" s="11" t="s">
        <v>5268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2">
        <f>L2867*O2867</f>
        <v>1725.6</v>
      </c>
      <c r="S2867" s="72">
        <v>0</v>
      </c>
      <c r="T2867" s="72">
        <f t="shared" ref="T2867:T2872" si="730">L2867*S2867</f>
        <v>0</v>
      </c>
      <c r="U2867" s="72">
        <f>R2867-T2867</f>
        <v>1725.6</v>
      </c>
      <c r="V2867" s="72">
        <f t="shared" si="727"/>
        <v>0</v>
      </c>
      <c r="W2867" s="72">
        <f t="shared" si="728"/>
        <v>1725.6</v>
      </c>
      <c r="X2867" s="72">
        <v>0</v>
      </c>
      <c r="Y2867" s="14">
        <f t="shared" si="719"/>
        <v>0</v>
      </c>
      <c r="Z2867" s="11" t="s">
        <v>26</v>
      </c>
      <c r="AA2867" s="12" t="s">
        <v>31</v>
      </c>
    </row>
    <row r="2868" spans="1:27" x14ac:dyDescent="0.25">
      <c r="A2868" s="10">
        <v>45700</v>
      </c>
      <c r="B2868" s="11" t="s">
        <v>4007</v>
      </c>
      <c r="C2868" s="11" t="s">
        <v>5269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2">
        <f>L2868*O2868</f>
        <v>1660.8000000000002</v>
      </c>
      <c r="S2868" s="72">
        <v>0</v>
      </c>
      <c r="T2868" s="72">
        <f t="shared" si="730"/>
        <v>0</v>
      </c>
      <c r="U2868" s="72">
        <f>R2868-T2868</f>
        <v>1660.8000000000002</v>
      </c>
      <c r="V2868" s="72">
        <f t="shared" si="727"/>
        <v>0</v>
      </c>
      <c r="W2868" s="72">
        <f t="shared" si="728"/>
        <v>1660.8000000000002</v>
      </c>
      <c r="X2868" s="72">
        <v>0</v>
      </c>
      <c r="Y2868" s="14">
        <f t="shared" si="719"/>
        <v>0</v>
      </c>
      <c r="Z2868" s="11" t="s">
        <v>26</v>
      </c>
      <c r="AA2868" s="12" t="s">
        <v>31</v>
      </c>
    </row>
    <row r="2869" spans="1:27" x14ac:dyDescent="0.25">
      <c r="A2869" s="10">
        <v>45700</v>
      </c>
      <c r="B2869" s="11" t="s">
        <v>5270</v>
      </c>
      <c r="C2869" s="11" t="s">
        <v>5271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4439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2">
        <f>L2869*O2869</f>
        <v>3750.2</v>
      </c>
      <c r="S2869" s="72">
        <v>38</v>
      </c>
      <c r="T2869" s="72">
        <f t="shared" si="730"/>
        <v>1676.56</v>
      </c>
      <c r="U2869" s="72">
        <f t="shared" ref="U2869:U2870" si="731">R2869-T2869</f>
        <v>2073.64</v>
      </c>
      <c r="V2869" s="72">
        <f>U2869*1</f>
        <v>2073.64</v>
      </c>
      <c r="W2869" s="72">
        <f t="shared" si="728"/>
        <v>0</v>
      </c>
      <c r="X2869" s="72">
        <f>L2869*37</f>
        <v>1632.4399999999998</v>
      </c>
      <c r="Y2869" s="73">
        <f>+T2869-X2869</f>
        <v>44.120000000000118</v>
      </c>
      <c r="Z2869" s="12" t="s">
        <v>41</v>
      </c>
      <c r="AA2869" s="12" t="s">
        <v>78</v>
      </c>
    </row>
    <row r="2870" spans="1:27" x14ac:dyDescent="0.25">
      <c r="A2870" s="10">
        <v>45700</v>
      </c>
      <c r="B2870" s="11" t="s">
        <v>635</v>
      </c>
      <c r="C2870" s="11" t="s">
        <v>5272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2">
        <f>+L2870*O2870</f>
        <v>4018.5599999999995</v>
      </c>
      <c r="S2870" s="72">
        <v>40</v>
      </c>
      <c r="T2870" s="72">
        <f t="shared" si="730"/>
        <v>1766.3999999999999</v>
      </c>
      <c r="U2870" s="72">
        <f t="shared" si="731"/>
        <v>2252.16</v>
      </c>
      <c r="V2870" s="72">
        <f>U2870*1</f>
        <v>2252.16</v>
      </c>
      <c r="W2870" s="72">
        <f t="shared" si="728"/>
        <v>0</v>
      </c>
      <c r="X2870" s="72">
        <f>L2870*37</f>
        <v>1633.9199999999998</v>
      </c>
      <c r="Y2870" s="73">
        <f>+T2870-X2870</f>
        <v>132.48000000000002</v>
      </c>
      <c r="Z2870" s="12" t="s">
        <v>41</v>
      </c>
      <c r="AA2870" s="12" t="s">
        <v>79</v>
      </c>
    </row>
    <row r="2871" spans="1:27" x14ac:dyDescent="0.25">
      <c r="A2871" s="10">
        <v>45700</v>
      </c>
      <c r="B2871" s="11" t="s">
        <v>5273</v>
      </c>
      <c r="C2871" s="11" t="s">
        <v>5274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2">
        <f>L2871*O2871</f>
        <v>1017.5000000000001</v>
      </c>
      <c r="S2871" s="72">
        <v>0</v>
      </c>
      <c r="T2871" s="72">
        <f t="shared" si="730"/>
        <v>0</v>
      </c>
      <c r="U2871" s="72">
        <f>R2871-T2871</f>
        <v>1017.5000000000001</v>
      </c>
      <c r="V2871" s="72">
        <f>U2871*0</f>
        <v>0</v>
      </c>
      <c r="W2871" s="72">
        <f>U2871-V2871</f>
        <v>1017.5000000000001</v>
      </c>
      <c r="X2871" s="72">
        <v>0</v>
      </c>
      <c r="Y2871" s="14">
        <f t="shared" ref="Y2871" si="732">T2871-X2871</f>
        <v>0</v>
      </c>
      <c r="Z2871" s="11" t="s">
        <v>26</v>
      </c>
      <c r="AA2871" s="12" t="s">
        <v>31</v>
      </c>
    </row>
    <row r="2872" spans="1:27" x14ac:dyDescent="0.25">
      <c r="A2872" s="10">
        <v>45700</v>
      </c>
      <c r="B2872" s="11" t="s">
        <v>5275</v>
      </c>
      <c r="C2872" s="11" t="s">
        <v>5276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4439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2">
        <f>L2872*O2872</f>
        <v>3854.52</v>
      </c>
      <c r="S2872" s="72">
        <v>38</v>
      </c>
      <c r="T2872" s="72">
        <f t="shared" si="730"/>
        <v>1764.7199999999998</v>
      </c>
      <c r="U2872" s="72">
        <f>R2872-T2872</f>
        <v>2089.8000000000002</v>
      </c>
      <c r="V2872" s="72">
        <f>U2872*1</f>
        <v>2089.8000000000002</v>
      </c>
      <c r="W2872" s="72">
        <f>U2872-V2872</f>
        <v>0</v>
      </c>
      <c r="X2872" s="72">
        <f>L2872*37</f>
        <v>1718.28</v>
      </c>
      <c r="Y2872" s="73">
        <f>+T2872-X2872</f>
        <v>46.439999999999827</v>
      </c>
      <c r="Z2872" s="12" t="s">
        <v>41</v>
      </c>
      <c r="AA2872" s="12" t="s">
        <v>78</v>
      </c>
    </row>
    <row r="2873" spans="1:27" x14ac:dyDescent="0.25">
      <c r="A2873" s="10">
        <v>45700</v>
      </c>
      <c r="B2873" s="11" t="s">
        <v>5277</v>
      </c>
      <c r="C2873" s="11" t="s">
        <v>5278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4463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2">
        <f t="shared" ref="R2873" si="733">+L2873*O2873</f>
        <v>1568.16</v>
      </c>
      <c r="S2873" s="72">
        <v>0</v>
      </c>
      <c r="T2873" s="72">
        <f>+L2873*S2873</f>
        <v>0</v>
      </c>
      <c r="U2873" s="72">
        <f>+R2873-T2873</f>
        <v>1568.16</v>
      </c>
      <c r="V2873" s="72">
        <f>+U2873*1</f>
        <v>1568.16</v>
      </c>
      <c r="W2873" s="72">
        <f>+U2873-V2873</f>
        <v>0</v>
      </c>
      <c r="X2873" s="72">
        <v>0</v>
      </c>
      <c r="Y2873" s="14">
        <f t="shared" ref="Y2873" si="734">T2873-X2873</f>
        <v>0</v>
      </c>
      <c r="Z2873" s="11" t="s">
        <v>26</v>
      </c>
      <c r="AA2873" s="12" t="s">
        <v>31</v>
      </c>
    </row>
    <row r="2874" spans="1:27" x14ac:dyDescent="0.25">
      <c r="A2874" s="10">
        <v>45700</v>
      </c>
      <c r="B2874" s="11" t="s">
        <v>5279</v>
      </c>
      <c r="C2874" s="11" t="s">
        <v>5280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4439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2">
        <f>L2874*O2874</f>
        <v>3633.7400000000002</v>
      </c>
      <c r="S2874" s="72">
        <v>38</v>
      </c>
      <c r="T2874" s="72">
        <f>L2874*S2874</f>
        <v>1663.64</v>
      </c>
      <c r="U2874" s="72">
        <f>R2874-T2874</f>
        <v>1970.1000000000001</v>
      </c>
      <c r="V2874" s="72">
        <f>U2874*1</f>
        <v>1970.1000000000001</v>
      </c>
      <c r="W2874" s="72">
        <f>U2874-V2874</f>
        <v>0</v>
      </c>
      <c r="X2874" s="72">
        <f>L2874*37</f>
        <v>1619.8600000000001</v>
      </c>
      <c r="Y2874" s="73">
        <f>+T2874-X2874</f>
        <v>43.779999999999973</v>
      </c>
      <c r="Z2874" s="12" t="s">
        <v>41</v>
      </c>
      <c r="AA2874" s="12" t="s">
        <v>78</v>
      </c>
    </row>
    <row r="2875" spans="1:27" x14ac:dyDescent="0.25">
      <c r="A2875" s="10">
        <v>45700</v>
      </c>
      <c r="B2875" s="11" t="s">
        <v>195</v>
      </c>
      <c r="C2875" s="11" t="s">
        <v>5281</v>
      </c>
      <c r="D2875" s="11">
        <v>17414</v>
      </c>
      <c r="E2875" s="11" t="s">
        <v>2126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35</v>
      </c>
      <c r="P2875" s="13"/>
      <c r="Q2875" s="13">
        <v>0</v>
      </c>
      <c r="R2875" s="72">
        <f>+L2875*O2875</f>
        <v>1530.2</v>
      </c>
      <c r="S2875" s="72">
        <v>0</v>
      </c>
      <c r="T2875" s="72">
        <f>+L2875*S2875</f>
        <v>0</v>
      </c>
      <c r="U2875" s="72">
        <f>+R2875-T2875</f>
        <v>1530.2</v>
      </c>
      <c r="V2875" s="72">
        <f t="shared" ref="V2875" si="735">+U2875*0</f>
        <v>0</v>
      </c>
      <c r="W2875" s="72">
        <f>+U2875-V2875</f>
        <v>1530.2</v>
      </c>
      <c r="X2875" s="72">
        <v>0</v>
      </c>
      <c r="Y2875" s="14">
        <f t="shared" ref="Y2875" si="736">T2875-X2875</f>
        <v>0</v>
      </c>
      <c r="Z2875" s="11" t="s">
        <v>26</v>
      </c>
      <c r="AA2875" s="12" t="s">
        <v>31</v>
      </c>
    </row>
    <row r="2876" spans="1:27" x14ac:dyDescent="0.25">
      <c r="A2876" s="10">
        <v>45700</v>
      </c>
      <c r="B2876" s="11" t="s">
        <v>380</v>
      </c>
      <c r="C2876" s="11" t="s">
        <v>5282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2">
        <f>(L2876*O2876)-Q2876</f>
        <v>459.90000000000003</v>
      </c>
      <c r="S2876" s="72">
        <v>0</v>
      </c>
      <c r="T2876" s="72">
        <f t="shared" ref="T2876:T2877" si="737">+L2876*S2876</f>
        <v>0</v>
      </c>
      <c r="U2876" s="72">
        <f t="shared" ref="U2876:U2877" si="738">+R2876-T2876</f>
        <v>459.90000000000003</v>
      </c>
      <c r="V2876" s="72">
        <f>+U2876*0</f>
        <v>0</v>
      </c>
      <c r="W2876" s="72">
        <f t="shared" ref="W2876:W2877" si="739">+U2876-V2876</f>
        <v>459.90000000000003</v>
      </c>
      <c r="X2876" s="72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x14ac:dyDescent="0.25">
      <c r="A2877" s="10">
        <v>45700</v>
      </c>
      <c r="B2877" s="11" t="s">
        <v>4203</v>
      </c>
      <c r="C2877" s="11" t="s">
        <v>5283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2">
        <f>(L2877*O2877)-Q2877</f>
        <v>718.40000000000009</v>
      </c>
      <c r="S2877" s="72">
        <v>0</v>
      </c>
      <c r="T2877" s="72">
        <f t="shared" si="737"/>
        <v>0</v>
      </c>
      <c r="U2877" s="72">
        <f t="shared" si="738"/>
        <v>718.40000000000009</v>
      </c>
      <c r="V2877" s="72">
        <f t="shared" ref="V2877" si="740">+U2877*0</f>
        <v>0</v>
      </c>
      <c r="W2877" s="72">
        <f t="shared" si="739"/>
        <v>718.40000000000009</v>
      </c>
      <c r="X2877" s="72">
        <v>0</v>
      </c>
      <c r="Y2877" s="14">
        <f t="shared" ref="Y2877:Y2916" si="741">T2877-X2877</f>
        <v>0</v>
      </c>
      <c r="Z2877" s="11" t="s">
        <v>26</v>
      </c>
      <c r="AA2877" s="12" t="s">
        <v>31</v>
      </c>
    </row>
    <row r="2878" spans="1:27" x14ac:dyDescent="0.25">
      <c r="A2878" s="10">
        <v>45700</v>
      </c>
      <c r="B2878" s="11" t="s">
        <v>5284</v>
      </c>
      <c r="C2878" s="11" t="s">
        <v>5285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2">
        <f>L2878*O2878</f>
        <v>1620</v>
      </c>
      <c r="S2878" s="72">
        <v>0</v>
      </c>
      <c r="T2878" s="72">
        <f>L2878*S2878</f>
        <v>0</v>
      </c>
      <c r="U2878" s="72">
        <f>R2878-T2878</f>
        <v>1620</v>
      </c>
      <c r="V2878" s="72">
        <f>U2878*0</f>
        <v>0</v>
      </c>
      <c r="W2878" s="72">
        <f>U2878-V2878</f>
        <v>1620</v>
      </c>
      <c r="X2878" s="72">
        <v>0</v>
      </c>
      <c r="Y2878" s="14">
        <f t="shared" si="741"/>
        <v>0</v>
      </c>
      <c r="Z2878" s="11" t="s">
        <v>26</v>
      </c>
      <c r="AA2878" s="12" t="s">
        <v>31</v>
      </c>
    </row>
    <row r="2879" spans="1:27" x14ac:dyDescent="0.25">
      <c r="A2879" s="10">
        <v>45700</v>
      </c>
      <c r="B2879" s="11" t="s">
        <v>5286</v>
      </c>
      <c r="C2879" s="11" t="s">
        <v>5287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2">
        <f>+M2879*P2879</f>
        <v>528</v>
      </c>
      <c r="S2879" s="72">
        <v>0</v>
      </c>
      <c r="T2879" s="72">
        <f>+M2879*S2879</f>
        <v>0</v>
      </c>
      <c r="U2879" s="72">
        <f t="shared" ref="U2879" si="742">+R2879-T2879</f>
        <v>528</v>
      </c>
      <c r="V2879" s="72">
        <f>+U2879*0</f>
        <v>0</v>
      </c>
      <c r="W2879" s="72">
        <f t="shared" ref="W2879" si="743">+U2879-V2879</f>
        <v>528</v>
      </c>
      <c r="X2879" s="72">
        <v>0</v>
      </c>
      <c r="Y2879" s="14">
        <f t="shared" si="741"/>
        <v>0</v>
      </c>
      <c r="Z2879" s="11" t="s">
        <v>26</v>
      </c>
      <c r="AA2879" s="12" t="s">
        <v>31</v>
      </c>
    </row>
    <row r="2880" spans="1:27" x14ac:dyDescent="0.25">
      <c r="A2880" s="10">
        <v>45700</v>
      </c>
      <c r="B2880" s="11" t="s">
        <v>5288</v>
      </c>
      <c r="C2880" s="11" t="s">
        <v>5289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4465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2">
        <f>+L2880*O2880</f>
        <v>1805.742</v>
      </c>
      <c r="S2880" s="72">
        <v>0</v>
      </c>
      <c r="T2880" s="72">
        <f>+L2880*S2880</f>
        <v>0</v>
      </c>
      <c r="U2880" s="72">
        <f>+R2880-T2880</f>
        <v>1805.742</v>
      </c>
      <c r="V2880" s="72">
        <f>+U2880*0.75</f>
        <v>1354.3064999999999</v>
      </c>
      <c r="W2880" s="72">
        <f>+U2880-V2880</f>
        <v>451.43550000000005</v>
      </c>
      <c r="X2880" s="72">
        <v>0</v>
      </c>
      <c r="Y2880" s="14">
        <f t="shared" si="741"/>
        <v>0</v>
      </c>
      <c r="Z2880" s="11" t="s">
        <v>26</v>
      </c>
      <c r="AA2880" s="12" t="s">
        <v>31</v>
      </c>
    </row>
    <row r="2881" spans="1:27" x14ac:dyDescent="0.25">
      <c r="A2881" s="10">
        <v>45700</v>
      </c>
      <c r="B2881" s="11" t="s">
        <v>5290</v>
      </c>
      <c r="C2881" s="11" t="s">
        <v>5291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2">
        <f t="shared" ref="R2881" si="744">L2881*O2881</f>
        <v>1037.5</v>
      </c>
      <c r="S2881" s="72">
        <v>0</v>
      </c>
      <c r="T2881" s="72">
        <f t="shared" ref="T2881" si="745">L2881*S2881</f>
        <v>0</v>
      </c>
      <c r="U2881" s="72">
        <f t="shared" ref="U2881" si="746">R2881-T2881</f>
        <v>1037.5</v>
      </c>
      <c r="V2881" s="72">
        <f>U2881*0</f>
        <v>0</v>
      </c>
      <c r="W2881" s="72">
        <f t="shared" ref="W2881" si="747">U2881-V2881</f>
        <v>1037.5</v>
      </c>
      <c r="X2881" s="72">
        <v>0</v>
      </c>
      <c r="Y2881" s="14">
        <f t="shared" si="741"/>
        <v>0</v>
      </c>
      <c r="Z2881" s="11" t="s">
        <v>26</v>
      </c>
      <c r="AA2881" s="12" t="s">
        <v>31</v>
      </c>
    </row>
    <row r="2882" spans="1:27" x14ac:dyDescent="0.25">
      <c r="A2882" s="10">
        <v>45700</v>
      </c>
      <c r="B2882" s="11" t="s">
        <v>5292</v>
      </c>
      <c r="C2882" s="11" t="s">
        <v>5293</v>
      </c>
      <c r="D2882" s="11">
        <v>17421</v>
      </c>
      <c r="E2882" s="11" t="s">
        <v>1217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2">
        <f>L2882*O2882</f>
        <v>1059</v>
      </c>
      <c r="S2882" s="72">
        <v>0</v>
      </c>
      <c r="T2882" s="72">
        <f>L2882*S2882</f>
        <v>0</v>
      </c>
      <c r="U2882" s="72">
        <f>R2882-T2882</f>
        <v>1059</v>
      </c>
      <c r="V2882" s="72">
        <f>U2882*0</f>
        <v>0</v>
      </c>
      <c r="W2882" s="72">
        <f>U2882-V2882</f>
        <v>1059</v>
      </c>
      <c r="X2882" s="72">
        <v>0</v>
      </c>
      <c r="Y2882" s="14">
        <f t="shared" si="741"/>
        <v>0</v>
      </c>
      <c r="Z2882" s="11" t="s">
        <v>26</v>
      </c>
      <c r="AA2882" s="12" t="s">
        <v>31</v>
      </c>
    </row>
    <row r="2883" spans="1:27" x14ac:dyDescent="0.25">
      <c r="A2883" s="10">
        <v>45700</v>
      </c>
      <c r="B2883" s="11" t="s">
        <v>5294</v>
      </c>
      <c r="C2883" s="11" t="s">
        <v>5295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35</v>
      </c>
      <c r="P2883" s="13"/>
      <c r="Q2883" s="13">
        <v>0</v>
      </c>
      <c r="R2883" s="72">
        <f>+L2883*O2883</f>
        <v>1451.1000000000001</v>
      </c>
      <c r="S2883" s="72">
        <v>0</v>
      </c>
      <c r="T2883" s="72">
        <f>+L2883*S2883</f>
        <v>0</v>
      </c>
      <c r="U2883" s="72">
        <f>+R2883-T2883</f>
        <v>1451.1000000000001</v>
      </c>
      <c r="V2883" s="72">
        <f t="shared" ref="V2883" si="748">+U2883*0</f>
        <v>0</v>
      </c>
      <c r="W2883" s="72">
        <f>+U2883-V2883</f>
        <v>1451.1000000000001</v>
      </c>
      <c r="X2883" s="72">
        <v>0</v>
      </c>
      <c r="Y2883" s="14">
        <f t="shared" si="741"/>
        <v>0</v>
      </c>
      <c r="Z2883" s="11" t="s">
        <v>26</v>
      </c>
      <c r="AA2883" s="12" t="s">
        <v>31</v>
      </c>
    </row>
    <row r="2884" spans="1:27" x14ac:dyDescent="0.25">
      <c r="A2884" s="10">
        <v>45700</v>
      </c>
      <c r="B2884" s="11" t="s">
        <v>5296</v>
      </c>
      <c r="C2884" s="11" t="s">
        <v>5297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2">
        <f>+M2884*P2884</f>
        <v>528</v>
      </c>
      <c r="S2884" s="72">
        <v>0</v>
      </c>
      <c r="T2884" s="72">
        <f>+M2884*S2884</f>
        <v>0</v>
      </c>
      <c r="U2884" s="72">
        <f t="shared" ref="U2884:U2885" si="749">+R2884-T2884</f>
        <v>528</v>
      </c>
      <c r="V2884" s="72">
        <f>+U2884*0</f>
        <v>0</v>
      </c>
      <c r="W2884" s="72">
        <f t="shared" ref="W2884:W2885" si="750">+U2884-V2884</f>
        <v>528</v>
      </c>
      <c r="X2884" s="72">
        <v>0</v>
      </c>
      <c r="Y2884" s="14">
        <f t="shared" si="741"/>
        <v>0</v>
      </c>
      <c r="Z2884" s="11" t="s">
        <v>26</v>
      </c>
      <c r="AA2884" s="12" t="s">
        <v>31</v>
      </c>
    </row>
    <row r="2885" spans="1:27" x14ac:dyDescent="0.25">
      <c r="A2885" s="10">
        <v>45700</v>
      </c>
      <c r="B2885" s="11" t="s">
        <v>5298</v>
      </c>
      <c r="C2885" s="11" t="s">
        <v>5299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2">
        <f>+M2885*P2885</f>
        <v>528</v>
      </c>
      <c r="S2885" s="72">
        <v>0</v>
      </c>
      <c r="T2885" s="72">
        <f>+M2885*S2885</f>
        <v>0</v>
      </c>
      <c r="U2885" s="72">
        <f t="shared" si="749"/>
        <v>528</v>
      </c>
      <c r="V2885" s="72">
        <f>+U2885*0</f>
        <v>0</v>
      </c>
      <c r="W2885" s="72">
        <f t="shared" si="750"/>
        <v>528</v>
      </c>
      <c r="X2885" s="72">
        <v>0</v>
      </c>
      <c r="Y2885" s="14">
        <f t="shared" si="741"/>
        <v>0</v>
      </c>
      <c r="Z2885" s="11" t="s">
        <v>26</v>
      </c>
      <c r="AA2885" s="12" t="s">
        <v>31</v>
      </c>
    </row>
    <row r="2886" spans="1:27" x14ac:dyDescent="0.25">
      <c r="A2886" s="10">
        <v>45700</v>
      </c>
      <c r="B2886" s="11" t="s">
        <v>1118</v>
      </c>
      <c r="C2886" s="11" t="s">
        <v>5300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4461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2">
        <f>L2886*O2886</f>
        <v>952.80000000000007</v>
      </c>
      <c r="S2886" s="72">
        <v>0</v>
      </c>
      <c r="T2886" s="72">
        <f>L2886*S2886</f>
        <v>0</v>
      </c>
      <c r="U2886" s="72">
        <f>R2886-T2886</f>
        <v>952.80000000000007</v>
      </c>
      <c r="V2886" s="72">
        <f>U2886*0</f>
        <v>0</v>
      </c>
      <c r="W2886" s="72">
        <f>U2886-V2886</f>
        <v>952.80000000000007</v>
      </c>
      <c r="X2886" s="72">
        <v>0</v>
      </c>
      <c r="Y2886" s="14">
        <f t="shared" si="741"/>
        <v>0</v>
      </c>
      <c r="Z2886" s="11" t="s">
        <v>26</v>
      </c>
      <c r="AA2886" s="12" t="s">
        <v>31</v>
      </c>
    </row>
    <row r="2887" spans="1:27" x14ac:dyDescent="0.25">
      <c r="A2887" s="10">
        <v>45700</v>
      </c>
      <c r="B2887" s="11" t="s">
        <v>5301</v>
      </c>
      <c r="C2887" s="11" t="s">
        <v>5302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4465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2">
        <f>+L2887*O2887</f>
        <v>1887.8500000000001</v>
      </c>
      <c r="S2887" s="72">
        <v>0</v>
      </c>
      <c r="T2887" s="72">
        <f>+L2887*S2887</f>
        <v>0</v>
      </c>
      <c r="U2887" s="72">
        <f>+R2887-T2887</f>
        <v>1887.8500000000001</v>
      </c>
      <c r="V2887" s="72">
        <f>+U2887*0.75</f>
        <v>1415.8875</v>
      </c>
      <c r="W2887" s="72">
        <f>+U2887-V2887</f>
        <v>471.96250000000009</v>
      </c>
      <c r="X2887" s="72">
        <v>0</v>
      </c>
      <c r="Y2887" s="14">
        <f t="shared" si="741"/>
        <v>0</v>
      </c>
      <c r="Z2887" s="11" t="s">
        <v>26</v>
      </c>
      <c r="AA2887" s="12" t="s">
        <v>31</v>
      </c>
    </row>
    <row r="2888" spans="1:27" x14ac:dyDescent="0.25">
      <c r="A2888" s="10">
        <v>45700</v>
      </c>
      <c r="B2888" s="11" t="s">
        <v>661</v>
      </c>
      <c r="C2888" s="11" t="s">
        <v>5303</v>
      </c>
      <c r="D2888" s="11">
        <v>17427</v>
      </c>
      <c r="E2888" s="11" t="s">
        <v>4612</v>
      </c>
      <c r="F2888" s="11" t="s">
        <v>26</v>
      </c>
      <c r="G2888" s="11">
        <v>78351</v>
      </c>
      <c r="H2888" s="12" t="s">
        <v>4465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2">
        <f>+L2888*O2888</f>
        <v>1874.25</v>
      </c>
      <c r="S2888" s="72">
        <v>0</v>
      </c>
      <c r="T2888" s="72">
        <f>+L2888*S2888</f>
        <v>0</v>
      </c>
      <c r="U2888" s="72">
        <f>+R2888-T2888</f>
        <v>1874.25</v>
      </c>
      <c r="V2888" s="72">
        <f>+U2888*0.75</f>
        <v>1405.6875</v>
      </c>
      <c r="W2888" s="72">
        <f>+U2888-V2888</f>
        <v>468.5625</v>
      </c>
      <c r="X2888" s="72">
        <v>0</v>
      </c>
      <c r="Y2888" s="14">
        <f t="shared" si="741"/>
        <v>0</v>
      </c>
      <c r="Z2888" s="11" t="s">
        <v>26</v>
      </c>
      <c r="AA2888" s="12" t="s">
        <v>31</v>
      </c>
    </row>
    <row r="2889" spans="1:27" x14ac:dyDescent="0.25">
      <c r="A2889" s="10">
        <v>45700</v>
      </c>
      <c r="B2889" s="11" t="s">
        <v>5304</v>
      </c>
      <c r="C2889" s="11" t="s">
        <v>5305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2">
        <f>(L2889*O2889)-Q2889</f>
        <v>245.2</v>
      </c>
      <c r="S2889" s="72">
        <v>0</v>
      </c>
      <c r="T2889" s="72">
        <f t="shared" ref="T2889" si="751">+L2889*S2889</f>
        <v>0</v>
      </c>
      <c r="U2889" s="72">
        <f t="shared" ref="U2889" si="752">+R2889-T2889</f>
        <v>245.2</v>
      </c>
      <c r="V2889" s="72">
        <f t="shared" ref="V2889" si="753">+U2889*0</f>
        <v>0</v>
      </c>
      <c r="W2889" s="72">
        <f t="shared" ref="W2889" si="754">+U2889-V2889</f>
        <v>245.2</v>
      </c>
      <c r="X2889" s="72">
        <v>0</v>
      </c>
      <c r="Y2889" s="14">
        <f t="shared" si="741"/>
        <v>0</v>
      </c>
      <c r="Z2889" s="11" t="s">
        <v>26</v>
      </c>
      <c r="AA2889" s="12" t="s">
        <v>31</v>
      </c>
    </row>
    <row r="2890" spans="1:27" x14ac:dyDescent="0.25">
      <c r="A2890" s="10">
        <v>45700</v>
      </c>
      <c r="B2890" s="11" t="s">
        <v>5306</v>
      </c>
      <c r="C2890" s="11" t="s">
        <v>5307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2">
        <f>L2890*O2890</f>
        <v>1736</v>
      </c>
      <c r="S2890" s="72">
        <v>0</v>
      </c>
      <c r="T2890" s="72">
        <f>L2890*S2890</f>
        <v>0</v>
      </c>
      <c r="U2890" s="72">
        <f>R2890-T2890</f>
        <v>1736</v>
      </c>
      <c r="V2890" s="72">
        <f>U2890*0</f>
        <v>0</v>
      </c>
      <c r="W2890" s="72">
        <f>U2890-V2890</f>
        <v>1736</v>
      </c>
      <c r="X2890" s="72">
        <v>0</v>
      </c>
      <c r="Y2890" s="14">
        <f t="shared" si="741"/>
        <v>0</v>
      </c>
      <c r="Z2890" s="11" t="s">
        <v>26</v>
      </c>
      <c r="AA2890" s="12" t="s">
        <v>31</v>
      </c>
    </row>
    <row r="2891" spans="1:27" x14ac:dyDescent="0.25">
      <c r="A2891" s="10">
        <v>45700</v>
      </c>
      <c r="B2891" s="11" t="s">
        <v>5308</v>
      </c>
      <c r="C2891" s="11" t="s">
        <v>5309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4463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2">
        <f t="shared" ref="R2891" si="755">+L2891*O2891</f>
        <v>1554.8400000000001</v>
      </c>
      <c r="S2891" s="72">
        <v>0</v>
      </c>
      <c r="T2891" s="72">
        <f>+L2891*S2891</f>
        <v>0</v>
      </c>
      <c r="U2891" s="72">
        <f t="shared" ref="U2891" si="756">+R2891-T2891</f>
        <v>1554.8400000000001</v>
      </c>
      <c r="V2891" s="72">
        <f>+U2891*1</f>
        <v>1554.8400000000001</v>
      </c>
      <c r="W2891" s="72">
        <f t="shared" ref="W2891" si="757">+U2891-V2891</f>
        <v>0</v>
      </c>
      <c r="X2891" s="72">
        <v>0</v>
      </c>
      <c r="Y2891" s="14">
        <f t="shared" si="741"/>
        <v>0</v>
      </c>
      <c r="Z2891" s="11" t="s">
        <v>26</v>
      </c>
      <c r="AA2891" s="12" t="s">
        <v>31</v>
      </c>
    </row>
    <row r="2892" spans="1:27" x14ac:dyDescent="0.25">
      <c r="A2892" s="10">
        <v>45700</v>
      </c>
      <c r="B2892" s="11" t="s">
        <v>1153</v>
      </c>
      <c r="C2892" s="11" t="s">
        <v>5310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2">
        <f>M2892*P2892</f>
        <v>1550</v>
      </c>
      <c r="S2892" s="72">
        <v>0</v>
      </c>
      <c r="T2892" s="72">
        <f>M2892*S2892</f>
        <v>0</v>
      </c>
      <c r="U2892" s="72">
        <f>R2892-T2892</f>
        <v>1550</v>
      </c>
      <c r="V2892" s="72">
        <f>U2892*0</f>
        <v>0</v>
      </c>
      <c r="W2892" s="72">
        <f>U2892-V2892</f>
        <v>1550</v>
      </c>
      <c r="X2892" s="72">
        <v>0</v>
      </c>
      <c r="Y2892" s="14">
        <f t="shared" si="741"/>
        <v>0</v>
      </c>
      <c r="Z2892" s="11" t="s">
        <v>26</v>
      </c>
      <c r="AA2892" s="12" t="s">
        <v>31</v>
      </c>
    </row>
    <row r="2893" spans="1:27" x14ac:dyDescent="0.25">
      <c r="A2893" s="10">
        <v>45700</v>
      </c>
      <c r="B2893" s="11" t="s">
        <v>428</v>
      </c>
      <c r="C2893" s="11" t="s">
        <v>5311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2">
        <f>M2893*P2893</f>
        <v>1550</v>
      </c>
      <c r="S2893" s="72">
        <v>0</v>
      </c>
      <c r="T2893" s="72">
        <f>M2893*S2893</f>
        <v>0</v>
      </c>
      <c r="U2893" s="72">
        <f>R2893-T2893</f>
        <v>1550</v>
      </c>
      <c r="V2893" s="72">
        <f>U2893*0</f>
        <v>0</v>
      </c>
      <c r="W2893" s="72">
        <f>U2893-V2893</f>
        <v>1550</v>
      </c>
      <c r="X2893" s="72">
        <v>0</v>
      </c>
      <c r="Y2893" s="14">
        <f t="shared" si="741"/>
        <v>0</v>
      </c>
      <c r="Z2893" s="11" t="s">
        <v>26</v>
      </c>
      <c r="AA2893" s="12" t="s">
        <v>31</v>
      </c>
    </row>
    <row r="2894" spans="1:27" x14ac:dyDescent="0.25">
      <c r="A2894" s="10">
        <v>45700</v>
      </c>
      <c r="B2894" s="11" t="s">
        <v>280</v>
      </c>
      <c r="C2894" s="11" t="s">
        <v>5312</v>
      </c>
      <c r="D2894" s="11">
        <v>17433</v>
      </c>
      <c r="E2894" s="11" t="s">
        <v>659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2">
        <f>L2894*O2894</f>
        <v>1099.0999999999999</v>
      </c>
      <c r="S2894" s="72">
        <v>0</v>
      </c>
      <c r="T2894" s="72">
        <f>L2894*S2894</f>
        <v>0</v>
      </c>
      <c r="U2894" s="72">
        <f>R2894-T2894</f>
        <v>1099.0999999999999</v>
      </c>
      <c r="V2894" s="72">
        <f>U2894*0</f>
        <v>0</v>
      </c>
      <c r="W2894" s="72">
        <f>U2894-V2894</f>
        <v>1099.0999999999999</v>
      </c>
      <c r="X2894" s="72">
        <v>0</v>
      </c>
      <c r="Y2894" s="14">
        <f t="shared" si="741"/>
        <v>0</v>
      </c>
      <c r="Z2894" s="11" t="s">
        <v>26</v>
      </c>
      <c r="AA2894" s="12" t="s">
        <v>31</v>
      </c>
    </row>
    <row r="2895" spans="1:27" x14ac:dyDescent="0.25">
      <c r="A2895" s="10">
        <v>45700</v>
      </c>
      <c r="B2895" s="11" t="s">
        <v>5313</v>
      </c>
      <c r="C2895" s="11" t="s">
        <v>5314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4463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2">
        <f t="shared" ref="R2895" si="758">+L2895*O2895</f>
        <v>1583.12</v>
      </c>
      <c r="S2895" s="72">
        <v>0</v>
      </c>
      <c r="T2895" s="72">
        <f>+L2895*S2895</f>
        <v>0</v>
      </c>
      <c r="U2895" s="72">
        <f>+R2895-T2895</f>
        <v>1583.12</v>
      </c>
      <c r="V2895" s="72">
        <f>+U2895*1</f>
        <v>1583.12</v>
      </c>
      <c r="W2895" s="72">
        <f>+U2895-V2895</f>
        <v>0</v>
      </c>
      <c r="X2895" s="72">
        <v>0</v>
      </c>
      <c r="Y2895" s="14">
        <f t="shared" si="741"/>
        <v>0</v>
      </c>
      <c r="Z2895" s="11" t="s">
        <v>26</v>
      </c>
      <c r="AA2895" s="12" t="s">
        <v>31</v>
      </c>
    </row>
    <row r="2896" spans="1:27" x14ac:dyDescent="0.25">
      <c r="A2896" s="10">
        <v>45700</v>
      </c>
      <c r="B2896" s="11" t="s">
        <v>424</v>
      </c>
      <c r="C2896" s="11" t="s">
        <v>5315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2">
        <f>L2896*O2896</f>
        <v>1115.9199999999998</v>
      </c>
      <c r="S2896" s="72">
        <v>0</v>
      </c>
      <c r="T2896" s="72">
        <f>L2896*S2896</f>
        <v>0</v>
      </c>
      <c r="U2896" s="72">
        <f>R2896-T2896</f>
        <v>1115.9199999999998</v>
      </c>
      <c r="V2896" s="72">
        <f>U2896*0</f>
        <v>0</v>
      </c>
      <c r="W2896" s="72">
        <f>U2896-V2896</f>
        <v>1115.9199999999998</v>
      </c>
      <c r="X2896" s="72">
        <v>0</v>
      </c>
      <c r="Y2896" s="14">
        <f t="shared" si="741"/>
        <v>0</v>
      </c>
      <c r="Z2896" s="11" t="s">
        <v>26</v>
      </c>
      <c r="AA2896" s="12" t="s">
        <v>31</v>
      </c>
    </row>
    <row r="2897" spans="1:27" x14ac:dyDescent="0.25">
      <c r="A2897" s="10">
        <v>45700</v>
      </c>
      <c r="B2897" s="11" t="s">
        <v>5316</v>
      </c>
      <c r="C2897" s="11" t="s">
        <v>5317</v>
      </c>
      <c r="D2897" s="11">
        <v>17436</v>
      </c>
      <c r="E2897" s="11" t="s">
        <v>2126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35</v>
      </c>
      <c r="P2897" s="13"/>
      <c r="Q2897" s="13">
        <v>0</v>
      </c>
      <c r="R2897" s="72">
        <f>+L2897*O2897</f>
        <v>1463</v>
      </c>
      <c r="S2897" s="72">
        <v>0</v>
      </c>
      <c r="T2897" s="72">
        <f>+L2897*S2897</f>
        <v>0</v>
      </c>
      <c r="U2897" s="72">
        <f>+R2897-T2897</f>
        <v>1463</v>
      </c>
      <c r="V2897" s="72">
        <f t="shared" ref="V2897" si="759">+U2897*0</f>
        <v>0</v>
      </c>
      <c r="W2897" s="72">
        <f>+U2897-V2897</f>
        <v>1463</v>
      </c>
      <c r="X2897" s="72">
        <v>0</v>
      </c>
      <c r="Y2897" s="14">
        <f t="shared" si="741"/>
        <v>0</v>
      </c>
      <c r="Z2897" s="11" t="s">
        <v>26</v>
      </c>
      <c r="AA2897" s="12" t="s">
        <v>31</v>
      </c>
    </row>
    <row r="2898" spans="1:27" x14ac:dyDescent="0.25">
      <c r="A2898" s="10">
        <v>45700</v>
      </c>
      <c r="B2898" s="11" t="s">
        <v>5318</v>
      </c>
      <c r="C2898" s="11" t="s">
        <v>5319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2">
        <f>L2898*O2898</f>
        <v>1581.6</v>
      </c>
      <c r="S2898" s="72">
        <v>0</v>
      </c>
      <c r="T2898" s="72">
        <f>L2898*S2898</f>
        <v>0</v>
      </c>
      <c r="U2898" s="72">
        <f>R2898-T2898</f>
        <v>1581.6</v>
      </c>
      <c r="V2898" s="72">
        <f>U2898*0</f>
        <v>0</v>
      </c>
      <c r="W2898" s="72">
        <f>U2898-V2898</f>
        <v>1581.6</v>
      </c>
      <c r="X2898" s="72">
        <v>0</v>
      </c>
      <c r="Y2898" s="14">
        <f t="shared" si="741"/>
        <v>0</v>
      </c>
      <c r="Z2898" s="11" t="s">
        <v>26</v>
      </c>
      <c r="AA2898" s="12" t="s">
        <v>31</v>
      </c>
    </row>
    <row r="2899" spans="1:27" x14ac:dyDescent="0.25">
      <c r="A2899" s="10">
        <v>45700</v>
      </c>
      <c r="B2899" s="11" t="s">
        <v>310</v>
      </c>
      <c r="C2899" s="11" t="s">
        <v>5320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2">
        <f t="shared" ref="R2899" si="760">L2899*O2899</f>
        <v>1017</v>
      </c>
      <c r="S2899" s="72">
        <v>0</v>
      </c>
      <c r="T2899" s="72">
        <f t="shared" ref="T2899" si="761">L2899*S2899</f>
        <v>0</v>
      </c>
      <c r="U2899" s="72">
        <f t="shared" ref="U2899" si="762">R2899-T2899</f>
        <v>1017</v>
      </c>
      <c r="V2899" s="72">
        <f>U2899*0</f>
        <v>0</v>
      </c>
      <c r="W2899" s="72">
        <f t="shared" ref="W2899" si="763">U2899-V2899</f>
        <v>1017</v>
      </c>
      <c r="X2899" s="72">
        <v>0</v>
      </c>
      <c r="Y2899" s="14">
        <f t="shared" si="741"/>
        <v>0</v>
      </c>
      <c r="Z2899" s="11" t="s">
        <v>26</v>
      </c>
      <c r="AA2899" s="12" t="s">
        <v>31</v>
      </c>
    </row>
    <row r="2900" spans="1:27" x14ac:dyDescent="0.25">
      <c r="A2900" s="10">
        <v>45700</v>
      </c>
      <c r="B2900" s="11" t="s">
        <v>694</v>
      </c>
      <c r="C2900" s="11" t="s">
        <v>5321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4461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2">
        <f>L2900*O2900</f>
        <v>929.4</v>
      </c>
      <c r="S2900" s="72">
        <v>0</v>
      </c>
      <c r="T2900" s="72">
        <f>L2900*S2900</f>
        <v>0</v>
      </c>
      <c r="U2900" s="72">
        <f>R2900-T2900</f>
        <v>929.4</v>
      </c>
      <c r="V2900" s="72">
        <f>U2900*0</f>
        <v>0</v>
      </c>
      <c r="W2900" s="72">
        <f>U2900-V2900</f>
        <v>929.4</v>
      </c>
      <c r="X2900" s="72">
        <v>0</v>
      </c>
      <c r="Y2900" s="14">
        <f t="shared" si="741"/>
        <v>0</v>
      </c>
      <c r="Z2900" s="11" t="s">
        <v>26</v>
      </c>
      <c r="AA2900" s="12" t="s">
        <v>31</v>
      </c>
    </row>
    <row r="2901" spans="1:27" x14ac:dyDescent="0.25">
      <c r="A2901" s="10">
        <v>45700</v>
      </c>
      <c r="B2901" s="11" t="s">
        <v>5322</v>
      </c>
      <c r="C2901" s="11" t="s">
        <v>5323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4465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2">
        <f>+L2901*O2901</f>
        <v>1921.0853999999999</v>
      </c>
      <c r="S2901" s="72">
        <v>0</v>
      </c>
      <c r="T2901" s="72">
        <f>+L2901*S2901</f>
        <v>0</v>
      </c>
      <c r="U2901" s="72">
        <f>+R2901-T2901</f>
        <v>1921.0853999999999</v>
      </c>
      <c r="V2901" s="72">
        <f>+U2901*0.75</f>
        <v>1440.81405</v>
      </c>
      <c r="W2901" s="72">
        <f>+U2901-V2901</f>
        <v>480.27134999999998</v>
      </c>
      <c r="X2901" s="72">
        <v>0</v>
      </c>
      <c r="Y2901" s="14">
        <f t="shared" si="741"/>
        <v>0</v>
      </c>
      <c r="Z2901" s="11" t="s">
        <v>26</v>
      </c>
      <c r="AA2901" s="12" t="s">
        <v>31</v>
      </c>
    </row>
    <row r="2902" spans="1:27" x14ac:dyDescent="0.25">
      <c r="A2902" s="10">
        <v>45700</v>
      </c>
      <c r="B2902" s="11" t="s">
        <v>2926</v>
      </c>
      <c r="C2902" s="11" t="s">
        <v>5324</v>
      </c>
      <c r="D2902" s="11">
        <v>17441</v>
      </c>
      <c r="E2902" s="11" t="s">
        <v>5049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35</v>
      </c>
      <c r="P2902" s="13"/>
      <c r="Q2902" s="13">
        <v>0</v>
      </c>
      <c r="R2902" s="72">
        <f>+L2902*O2902</f>
        <v>1505</v>
      </c>
      <c r="S2902" s="72">
        <v>0</v>
      </c>
      <c r="T2902" s="72">
        <f>+L2902*S2902</f>
        <v>0</v>
      </c>
      <c r="U2902" s="72">
        <f>+R2902-T2902</f>
        <v>1505</v>
      </c>
      <c r="V2902" s="72">
        <f t="shared" ref="V2902" si="764">+U2902*0</f>
        <v>0</v>
      </c>
      <c r="W2902" s="72">
        <f>+U2902-V2902</f>
        <v>1505</v>
      </c>
      <c r="X2902" s="72">
        <v>0</v>
      </c>
      <c r="Y2902" s="14">
        <f t="shared" si="741"/>
        <v>0</v>
      </c>
      <c r="Z2902" s="11" t="s">
        <v>26</v>
      </c>
      <c r="AA2902" s="12" t="s">
        <v>31</v>
      </c>
    </row>
    <row r="2903" spans="1:27" x14ac:dyDescent="0.25">
      <c r="A2903" s="10">
        <v>45700</v>
      </c>
      <c r="B2903" s="11" t="s">
        <v>5325</v>
      </c>
      <c r="C2903" s="11" t="s">
        <v>5326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1926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2">
        <f>M2903*P2903</f>
        <v>1350</v>
      </c>
      <c r="S2903" s="72">
        <v>0</v>
      </c>
      <c r="T2903" s="72">
        <f>M2903*S2903</f>
        <v>0</v>
      </c>
      <c r="U2903" s="72">
        <f t="shared" ref="U2903" si="765">R2903-T2903</f>
        <v>1350</v>
      </c>
      <c r="V2903" s="72">
        <f>U2903*1</f>
        <v>1350</v>
      </c>
      <c r="W2903" s="72">
        <f>U2903-V2903</f>
        <v>0</v>
      </c>
      <c r="X2903" s="72">
        <v>0</v>
      </c>
      <c r="Y2903" s="14">
        <f t="shared" si="741"/>
        <v>0</v>
      </c>
      <c r="Z2903" s="11" t="s">
        <v>26</v>
      </c>
      <c r="AA2903" s="12" t="s">
        <v>31</v>
      </c>
    </row>
    <row r="2904" spans="1:27" x14ac:dyDescent="0.25">
      <c r="A2904" s="10">
        <v>45700</v>
      </c>
      <c r="B2904" s="11" t="s">
        <v>5327</v>
      </c>
      <c r="C2904" s="11" t="s">
        <v>5328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2">
        <f>(L2904*O2904)-Q2904</f>
        <v>248</v>
      </c>
      <c r="S2904" s="72">
        <v>0</v>
      </c>
      <c r="T2904" s="72">
        <f t="shared" ref="T2904" si="766">+L2904*S2904</f>
        <v>0</v>
      </c>
      <c r="U2904" s="72">
        <f t="shared" ref="U2904:U2905" si="767">+R2904-T2904</f>
        <v>248</v>
      </c>
      <c r="V2904" s="72">
        <f t="shared" ref="V2904:V2905" si="768">+U2904*0</f>
        <v>0</v>
      </c>
      <c r="W2904" s="72">
        <f t="shared" ref="W2904:W2905" si="769">+U2904-V2904</f>
        <v>248</v>
      </c>
      <c r="X2904" s="72">
        <v>0</v>
      </c>
      <c r="Y2904" s="14">
        <f t="shared" si="741"/>
        <v>0</v>
      </c>
      <c r="Z2904" s="11" t="s">
        <v>26</v>
      </c>
      <c r="AA2904" s="12" t="s">
        <v>31</v>
      </c>
    </row>
    <row r="2905" spans="1:27" x14ac:dyDescent="0.25">
      <c r="A2905" s="10">
        <v>45700</v>
      </c>
      <c r="B2905" s="11" t="s">
        <v>734</v>
      </c>
      <c r="C2905" s="11" t="s">
        <v>5329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2">
        <f>+M2905*P2905</f>
        <v>1600</v>
      </c>
      <c r="S2905" s="72">
        <v>0</v>
      </c>
      <c r="T2905" s="72">
        <f>+M2905*S2905</f>
        <v>0</v>
      </c>
      <c r="U2905" s="72">
        <f t="shared" si="767"/>
        <v>1600</v>
      </c>
      <c r="V2905" s="72">
        <f t="shared" si="768"/>
        <v>0</v>
      </c>
      <c r="W2905" s="72">
        <f t="shared" si="769"/>
        <v>1600</v>
      </c>
      <c r="X2905" s="72">
        <v>0</v>
      </c>
      <c r="Y2905" s="14">
        <f t="shared" si="741"/>
        <v>0</v>
      </c>
      <c r="Z2905" s="11" t="s">
        <v>26</v>
      </c>
      <c r="AA2905" s="12" t="s">
        <v>31</v>
      </c>
    </row>
    <row r="2906" spans="1:27" x14ac:dyDescent="0.25">
      <c r="A2906" s="10">
        <v>45700</v>
      </c>
      <c r="B2906" s="11" t="s">
        <v>5330</v>
      </c>
      <c r="C2906" s="11" t="s">
        <v>5331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2">
        <f>M2906*P2906</f>
        <v>1500</v>
      </c>
      <c r="S2906" s="72">
        <v>0</v>
      </c>
      <c r="T2906" s="72">
        <f>M2906*S2906</f>
        <v>0</v>
      </c>
      <c r="U2906" s="72">
        <f>R2906-T2906</f>
        <v>1500</v>
      </c>
      <c r="V2906" s="72">
        <f>U2906*0</f>
        <v>0</v>
      </c>
      <c r="W2906" s="72">
        <f>U2906-V2906</f>
        <v>1500</v>
      </c>
      <c r="X2906" s="72">
        <v>0</v>
      </c>
      <c r="Y2906" s="14">
        <f t="shared" si="741"/>
        <v>0</v>
      </c>
      <c r="Z2906" s="11" t="s">
        <v>26</v>
      </c>
      <c r="AA2906" s="12" t="s">
        <v>31</v>
      </c>
    </row>
    <row r="2907" spans="1:27" x14ac:dyDescent="0.25">
      <c r="A2907" s="10">
        <v>45700</v>
      </c>
      <c r="B2907" s="11" t="s">
        <v>5290</v>
      </c>
      <c r="C2907" s="11" t="s">
        <v>5332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2">
        <f>+M2907*P2907</f>
        <v>1012.5</v>
      </c>
      <c r="S2907" s="72">
        <v>0</v>
      </c>
      <c r="T2907" s="72">
        <f>+M2907*S2907</f>
        <v>0</v>
      </c>
      <c r="U2907" s="72">
        <f t="shared" ref="U2907:U2909" si="770">+R2907-T2907</f>
        <v>1012.5</v>
      </c>
      <c r="V2907" s="72">
        <f t="shared" ref="V2907" si="771">+U2907*0</f>
        <v>0</v>
      </c>
      <c r="W2907" s="72">
        <f t="shared" ref="W2907:W2909" si="772">+U2907-V2907</f>
        <v>1012.5</v>
      </c>
      <c r="X2907" s="72">
        <v>0</v>
      </c>
      <c r="Y2907" s="14">
        <f t="shared" si="741"/>
        <v>0</v>
      </c>
      <c r="Z2907" s="11" t="s">
        <v>26</v>
      </c>
      <c r="AA2907" s="12" t="s">
        <v>31</v>
      </c>
    </row>
    <row r="2908" spans="1:27" x14ac:dyDescent="0.25">
      <c r="A2908" s="10">
        <v>45700</v>
      </c>
      <c r="B2908" s="11" t="s">
        <v>5333</v>
      </c>
      <c r="C2908" s="11" t="s">
        <v>5334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4440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2">
        <f>+L2908*O2908</f>
        <v>1604.6999999999998</v>
      </c>
      <c r="S2908" s="72">
        <v>0</v>
      </c>
      <c r="T2908" s="72">
        <f>+L2908*S2908</f>
        <v>0</v>
      </c>
      <c r="U2908" s="72">
        <f t="shared" si="770"/>
        <v>1604.6999999999998</v>
      </c>
      <c r="V2908" s="72">
        <f>+U2908*1</f>
        <v>1604.6999999999998</v>
      </c>
      <c r="W2908" s="72">
        <f t="shared" si="772"/>
        <v>0</v>
      </c>
      <c r="X2908" s="72">
        <v>0</v>
      </c>
      <c r="Y2908" s="14">
        <f t="shared" si="741"/>
        <v>0</v>
      </c>
      <c r="Z2908" s="11" t="s">
        <v>26</v>
      </c>
      <c r="AA2908" s="12" t="s">
        <v>31</v>
      </c>
    </row>
    <row r="2909" spans="1:27" x14ac:dyDescent="0.25">
      <c r="A2909" s="10">
        <v>45700</v>
      </c>
      <c r="B2909" s="11" t="s">
        <v>5335</v>
      </c>
      <c r="C2909" s="11" t="s">
        <v>5336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2">
        <f>M2909*P2909</f>
        <v>1380</v>
      </c>
      <c r="S2909" s="72">
        <v>0</v>
      </c>
      <c r="T2909" s="72">
        <f>M2909*S2909</f>
        <v>0</v>
      </c>
      <c r="U2909" s="72">
        <f t="shared" si="770"/>
        <v>1380</v>
      </c>
      <c r="V2909" s="72">
        <f>+U2909*0</f>
        <v>0</v>
      </c>
      <c r="W2909" s="72">
        <f t="shared" si="772"/>
        <v>1380</v>
      </c>
      <c r="X2909" s="72">
        <v>0</v>
      </c>
      <c r="Y2909" s="14">
        <f t="shared" si="741"/>
        <v>0</v>
      </c>
      <c r="Z2909" s="11" t="s">
        <v>26</v>
      </c>
      <c r="AA2909" s="12" t="s">
        <v>31</v>
      </c>
    </row>
    <row r="2910" spans="1:27" x14ac:dyDescent="0.25">
      <c r="A2910" s="10">
        <v>45700</v>
      </c>
      <c r="B2910" s="11" t="s">
        <v>5337</v>
      </c>
      <c r="C2910" s="11" t="s">
        <v>5338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35</v>
      </c>
      <c r="P2910" s="13"/>
      <c r="Q2910" s="13">
        <v>0</v>
      </c>
      <c r="R2910" s="72">
        <f>+L2910*O2910</f>
        <v>1542.8</v>
      </c>
      <c r="S2910" s="72">
        <v>0</v>
      </c>
      <c r="T2910" s="72">
        <f>+L2910*S2910</f>
        <v>0</v>
      </c>
      <c r="U2910" s="72">
        <f>+R2910-T2910</f>
        <v>1542.8</v>
      </c>
      <c r="V2910" s="72">
        <f t="shared" ref="V2910" si="773">+U2910*0</f>
        <v>0</v>
      </c>
      <c r="W2910" s="72">
        <f>+U2910-V2910</f>
        <v>1542.8</v>
      </c>
      <c r="X2910" s="72">
        <v>0</v>
      </c>
      <c r="Y2910" s="14">
        <f t="shared" si="741"/>
        <v>0</v>
      </c>
      <c r="Z2910" s="11" t="s">
        <v>26</v>
      </c>
      <c r="AA2910" s="12" t="s">
        <v>31</v>
      </c>
    </row>
    <row r="2911" spans="1:27" x14ac:dyDescent="0.25">
      <c r="A2911" s="10">
        <v>45700</v>
      </c>
      <c r="B2911" s="11" t="s">
        <v>5290</v>
      </c>
      <c r="C2911" s="11" t="s">
        <v>5339</v>
      </c>
      <c r="D2911" s="11">
        <v>17450</v>
      </c>
      <c r="E2911" s="11" t="s">
        <v>4612</v>
      </c>
      <c r="F2911" s="11" t="s">
        <v>26</v>
      </c>
      <c r="G2911" s="11">
        <v>78352</v>
      </c>
      <c r="H2911" s="12" t="s">
        <v>4465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2">
        <f>+L2911*O2911</f>
        <v>576.9</v>
      </c>
      <c r="S2911" s="72">
        <v>0</v>
      </c>
      <c r="T2911" s="72">
        <f>+L2911*S2911</f>
        <v>0</v>
      </c>
      <c r="U2911" s="72">
        <f>+R2911-T2911</f>
        <v>576.9</v>
      </c>
      <c r="V2911" s="72">
        <f>+U2911*0.75</f>
        <v>432.67499999999995</v>
      </c>
      <c r="W2911" s="72">
        <f>+U2911-V2911</f>
        <v>144.22500000000002</v>
      </c>
      <c r="X2911" s="72">
        <v>0</v>
      </c>
      <c r="Y2911" s="14">
        <f t="shared" si="741"/>
        <v>0</v>
      </c>
      <c r="Z2911" s="11" t="s">
        <v>26</v>
      </c>
      <c r="AA2911" s="12" t="s">
        <v>31</v>
      </c>
    </row>
    <row r="2912" spans="1:27" x14ac:dyDescent="0.25">
      <c r="A2912" s="10">
        <v>45700</v>
      </c>
      <c r="B2912" s="11" t="s">
        <v>5340</v>
      </c>
      <c r="C2912" s="11" t="s">
        <v>5341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2">
        <f>M2912*P2912</f>
        <v>1500</v>
      </c>
      <c r="S2912" s="72">
        <v>0</v>
      </c>
      <c r="T2912" s="72">
        <f>M2912*S2912</f>
        <v>0</v>
      </c>
      <c r="U2912" s="72">
        <f t="shared" ref="U2912:U2913" si="774">+R2912-T2912</f>
        <v>1500</v>
      </c>
      <c r="V2912" s="72">
        <f>+U2912*0</f>
        <v>0</v>
      </c>
      <c r="W2912" s="72">
        <f t="shared" ref="W2912:W2913" si="775">+U2912-V2912</f>
        <v>1500</v>
      </c>
      <c r="X2912" s="72">
        <v>0</v>
      </c>
      <c r="Y2912" s="14">
        <f t="shared" si="741"/>
        <v>0</v>
      </c>
      <c r="Z2912" s="11" t="s">
        <v>26</v>
      </c>
      <c r="AA2912" s="12" t="s">
        <v>31</v>
      </c>
    </row>
    <row r="2913" spans="1:27" x14ac:dyDescent="0.25">
      <c r="A2913" s="10">
        <v>45700</v>
      </c>
      <c r="B2913" s="11" t="s">
        <v>5342</v>
      </c>
      <c r="C2913" s="11" t="s">
        <v>5343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4440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2">
        <f>+L2913*O2913</f>
        <v>1662.3</v>
      </c>
      <c r="S2913" s="72">
        <v>0</v>
      </c>
      <c r="T2913" s="72">
        <f>+L2913*S2913</f>
        <v>0</v>
      </c>
      <c r="U2913" s="72">
        <f t="shared" si="774"/>
        <v>1662.3</v>
      </c>
      <c r="V2913" s="72">
        <f>+U2913*1</f>
        <v>1662.3</v>
      </c>
      <c r="W2913" s="72">
        <f t="shared" si="775"/>
        <v>0</v>
      </c>
      <c r="X2913" s="72">
        <v>0</v>
      </c>
      <c r="Y2913" s="14">
        <f t="shared" si="741"/>
        <v>0</v>
      </c>
      <c r="Z2913" s="11" t="s">
        <v>26</v>
      </c>
      <c r="AA2913" s="12" t="s">
        <v>31</v>
      </c>
    </row>
    <row r="2914" spans="1:27" x14ac:dyDescent="0.25">
      <c r="A2914" s="10">
        <v>45700</v>
      </c>
      <c r="B2914" s="11" t="s">
        <v>1385</v>
      </c>
      <c r="C2914" s="11" t="s">
        <v>5344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4465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2">
        <f>+L2914*O2914</f>
        <v>579.29999999999995</v>
      </c>
      <c r="S2914" s="72">
        <v>0</v>
      </c>
      <c r="T2914" s="72">
        <f>+L2914*S2914</f>
        <v>0</v>
      </c>
      <c r="U2914" s="72">
        <f>+R2914-T2914</f>
        <v>579.29999999999995</v>
      </c>
      <c r="V2914" s="72">
        <f>+U2914*0.75</f>
        <v>434.47499999999997</v>
      </c>
      <c r="W2914" s="72">
        <f>+U2914-V2914</f>
        <v>144.82499999999999</v>
      </c>
      <c r="X2914" s="72">
        <v>0</v>
      </c>
      <c r="Y2914" s="14">
        <f t="shared" si="741"/>
        <v>0</v>
      </c>
      <c r="Z2914" s="11" t="s">
        <v>26</v>
      </c>
      <c r="AA2914" s="12" t="s">
        <v>31</v>
      </c>
    </row>
    <row r="2915" spans="1:27" x14ac:dyDescent="0.25">
      <c r="A2915" s="10">
        <v>45700</v>
      </c>
      <c r="B2915" s="11" t="s">
        <v>302</v>
      </c>
      <c r="C2915" s="11" t="s">
        <v>5345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2">
        <f>(L2915*O2915)-Q2915</f>
        <v>249.20000000000002</v>
      </c>
      <c r="S2915" s="72">
        <v>0</v>
      </c>
      <c r="T2915" s="72">
        <f t="shared" ref="T2915" si="776">+L2915*S2915</f>
        <v>0</v>
      </c>
      <c r="U2915" s="72">
        <f t="shared" ref="U2915" si="777">+R2915-T2915</f>
        <v>249.20000000000002</v>
      </c>
      <c r="V2915" s="72">
        <f t="shared" ref="V2915:V2916" si="778">+U2915*0</f>
        <v>0</v>
      </c>
      <c r="W2915" s="72">
        <f t="shared" ref="W2915" si="779">+U2915-V2915</f>
        <v>249.20000000000002</v>
      </c>
      <c r="X2915" s="72">
        <v>0</v>
      </c>
      <c r="Y2915" s="14">
        <f t="shared" si="741"/>
        <v>0</v>
      </c>
      <c r="Z2915" s="11" t="s">
        <v>26</v>
      </c>
      <c r="AA2915" s="12" t="s">
        <v>31</v>
      </c>
    </row>
    <row r="2916" spans="1:27" x14ac:dyDescent="0.25">
      <c r="A2916" s="10">
        <v>45700</v>
      </c>
      <c r="B2916" s="11" t="s">
        <v>5346</v>
      </c>
      <c r="C2916" s="11" t="s">
        <v>5347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2">
        <f>+L2916*O2916</f>
        <v>1624</v>
      </c>
      <c r="S2916" s="72">
        <v>0</v>
      </c>
      <c r="T2916" s="72">
        <f>+L2916*S2916</f>
        <v>0</v>
      </c>
      <c r="U2916" s="72">
        <f>+R2916-T2916</f>
        <v>1624</v>
      </c>
      <c r="V2916" s="72">
        <f t="shared" si="778"/>
        <v>0</v>
      </c>
      <c r="W2916" s="72">
        <f>+U2916-V2916</f>
        <v>1624</v>
      </c>
      <c r="X2916" s="72">
        <v>0</v>
      </c>
      <c r="Y2916" s="14">
        <f t="shared" si="741"/>
        <v>0</v>
      </c>
      <c r="Z2916" s="11" t="s">
        <v>26</v>
      </c>
      <c r="AA2916" s="12" t="s">
        <v>31</v>
      </c>
    </row>
    <row r="2917" spans="1:27" x14ac:dyDescent="0.25">
      <c r="A2917" s="10">
        <v>45700</v>
      </c>
      <c r="B2917" s="11" t="s">
        <v>5348</v>
      </c>
      <c r="C2917" s="11" t="s">
        <v>5349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4439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2">
        <f>L2917*O2917</f>
        <v>3554.82</v>
      </c>
      <c r="S2917" s="72">
        <v>38</v>
      </c>
      <c r="T2917" s="72">
        <f>L2917*S2917</f>
        <v>1552.68</v>
      </c>
      <c r="U2917" s="72">
        <f>R2917-T2917</f>
        <v>2002.14</v>
      </c>
      <c r="V2917" s="72">
        <f>U2917*1</f>
        <v>2002.14</v>
      </c>
      <c r="W2917" s="72">
        <f>U2917-V2917</f>
        <v>0</v>
      </c>
      <c r="X2917" s="72">
        <f>L2917*36</f>
        <v>1470.96</v>
      </c>
      <c r="Y2917" s="73">
        <f>+T2917-X2917</f>
        <v>81.720000000000027</v>
      </c>
      <c r="Z2917" s="12" t="s">
        <v>140</v>
      </c>
      <c r="AA2917" s="12" t="s">
        <v>78</v>
      </c>
    </row>
    <row r="2918" spans="1:27" x14ac:dyDescent="0.25">
      <c r="A2918" s="10">
        <v>45700</v>
      </c>
      <c r="B2918" s="11" t="s">
        <v>5350</v>
      </c>
      <c r="C2918" s="11" t="s">
        <v>5351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2">
        <f>+M2918*P2918</f>
        <v>576</v>
      </c>
      <c r="S2918" s="72">
        <v>0</v>
      </c>
      <c r="T2918" s="72">
        <f>+M2918*S2918</f>
        <v>0</v>
      </c>
      <c r="U2918" s="72">
        <f t="shared" ref="U2918:U2919" si="780">+R2918-T2918</f>
        <v>576</v>
      </c>
      <c r="V2918" s="72">
        <f>+U2918*0</f>
        <v>0</v>
      </c>
      <c r="W2918" s="72">
        <f t="shared" ref="W2918:W2919" si="781">+U2918-V2918</f>
        <v>576</v>
      </c>
      <c r="X2918" s="72">
        <v>0</v>
      </c>
      <c r="Y2918" s="14">
        <f t="shared" ref="Y2918:Y2921" si="782">T2918-X2918</f>
        <v>0</v>
      </c>
      <c r="Z2918" s="11" t="s">
        <v>26</v>
      </c>
      <c r="AA2918" s="12" t="s">
        <v>31</v>
      </c>
    </row>
    <row r="2919" spans="1:27" x14ac:dyDescent="0.25">
      <c r="A2919" s="10">
        <v>45700</v>
      </c>
      <c r="B2919" s="11" t="s">
        <v>5352</v>
      </c>
      <c r="C2919" s="11" t="s">
        <v>5353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2">
        <f>+M2919*P2919</f>
        <v>552</v>
      </c>
      <c r="S2919" s="72">
        <v>0</v>
      </c>
      <c r="T2919" s="72">
        <f>+M2919*S2919</f>
        <v>0</v>
      </c>
      <c r="U2919" s="72">
        <f t="shared" si="780"/>
        <v>552</v>
      </c>
      <c r="V2919" s="72">
        <f>+U2919*0</f>
        <v>0</v>
      </c>
      <c r="W2919" s="72">
        <f t="shared" si="781"/>
        <v>552</v>
      </c>
      <c r="X2919" s="72">
        <v>0</v>
      </c>
      <c r="Y2919" s="14">
        <f t="shared" si="782"/>
        <v>0</v>
      </c>
      <c r="Z2919" s="11" t="s">
        <v>26</v>
      </c>
      <c r="AA2919" s="12" t="s">
        <v>31</v>
      </c>
    </row>
    <row r="2920" spans="1:27" x14ac:dyDescent="0.25">
      <c r="A2920" s="10">
        <v>45700</v>
      </c>
      <c r="B2920" s="11" t="s">
        <v>5354</v>
      </c>
      <c r="C2920" s="11" t="s">
        <v>5355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2">
        <f>M2920*P2920</f>
        <v>600</v>
      </c>
      <c r="S2920" s="72">
        <v>0</v>
      </c>
      <c r="T2920" s="72">
        <f>M2920*S2920</f>
        <v>0</v>
      </c>
      <c r="U2920" s="72">
        <f t="shared" ref="U2920" si="783">R2920-T2920</f>
        <v>600</v>
      </c>
      <c r="V2920" s="72">
        <f>U2920*0</f>
        <v>0</v>
      </c>
      <c r="W2920" s="72">
        <f>+U2920-V2920</f>
        <v>600</v>
      </c>
      <c r="X2920" s="72">
        <v>0</v>
      </c>
      <c r="Y2920" s="14">
        <f t="shared" si="782"/>
        <v>0</v>
      </c>
      <c r="Z2920" s="11" t="s">
        <v>26</v>
      </c>
      <c r="AA2920" s="12" t="s">
        <v>31</v>
      </c>
    </row>
    <row r="2921" spans="1:27" x14ac:dyDescent="0.25">
      <c r="A2921" s="10">
        <v>45700</v>
      </c>
      <c r="B2921" s="11" t="s">
        <v>5356</v>
      </c>
      <c r="C2921" s="11" t="s">
        <v>5357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2">
        <f>(L2921*O2921)-Q2921</f>
        <v>193.6</v>
      </c>
      <c r="S2921" s="72">
        <v>0</v>
      </c>
      <c r="T2921" s="72">
        <f t="shared" ref="T2921:T2922" si="784">+L2921*S2921</f>
        <v>0</v>
      </c>
      <c r="U2921" s="72">
        <f t="shared" ref="U2921:U2922" si="785">+R2921-T2921</f>
        <v>193.6</v>
      </c>
      <c r="V2921" s="72">
        <f t="shared" ref="V2921" si="786">+U2921*0</f>
        <v>0</v>
      </c>
      <c r="W2921" s="72">
        <f t="shared" ref="W2921:W2922" si="787">+U2921-V2921</f>
        <v>193.6</v>
      </c>
      <c r="X2921" s="72">
        <v>0</v>
      </c>
      <c r="Y2921" s="14">
        <f t="shared" si="782"/>
        <v>0</v>
      </c>
      <c r="Z2921" s="11" t="s">
        <v>26</v>
      </c>
      <c r="AA2921" s="12" t="s">
        <v>31</v>
      </c>
    </row>
    <row r="2922" spans="1:27" x14ac:dyDescent="0.25">
      <c r="A2922" s="10">
        <v>45700</v>
      </c>
      <c r="B2922" s="11" t="s">
        <v>5358</v>
      </c>
      <c r="C2922" s="11" t="s">
        <v>5359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2">
        <f>(L2922*O2922)-Q2922</f>
        <v>267.3</v>
      </c>
      <c r="S2922" s="72">
        <v>0</v>
      </c>
      <c r="T2922" s="72">
        <f t="shared" si="784"/>
        <v>0</v>
      </c>
      <c r="U2922" s="72">
        <f t="shared" si="785"/>
        <v>267.3</v>
      </c>
      <c r="V2922" s="72">
        <f>+U2922*0</f>
        <v>0</v>
      </c>
      <c r="W2922" s="72">
        <f t="shared" si="787"/>
        <v>267.3</v>
      </c>
      <c r="X2922" s="72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x14ac:dyDescent="0.25">
      <c r="A2923" s="10">
        <v>45700</v>
      </c>
      <c r="B2923" s="11" t="s">
        <v>5360</v>
      </c>
      <c r="C2923" s="11" t="s">
        <v>5361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2">
        <f>+L2923*O2923</f>
        <v>4031.2999999999997</v>
      </c>
      <c r="S2923" s="72">
        <v>40</v>
      </c>
      <c r="T2923" s="72">
        <f>L2923*S2923</f>
        <v>1772</v>
      </c>
      <c r="U2923" s="72">
        <f t="shared" ref="U2923" si="788">R2923-T2923</f>
        <v>2259.2999999999997</v>
      </c>
      <c r="V2923" s="72">
        <f>U2923*1</f>
        <v>2259.2999999999997</v>
      </c>
      <c r="W2923" s="72">
        <f t="shared" ref="W2923" si="789">U2923-V2923</f>
        <v>0</v>
      </c>
      <c r="X2923" s="72">
        <f>L2923*37</f>
        <v>1639.1</v>
      </c>
      <c r="Y2923" s="73">
        <f>+T2923-X2923</f>
        <v>132.90000000000009</v>
      </c>
      <c r="Z2923" s="12" t="s">
        <v>41</v>
      </c>
      <c r="AA2923" s="12" t="s">
        <v>79</v>
      </c>
    </row>
    <row r="2924" spans="1:27" x14ac:dyDescent="0.25">
      <c r="A2924" s="10">
        <v>45700</v>
      </c>
      <c r="B2924" s="11" t="s">
        <v>5362</v>
      </c>
      <c r="C2924" s="11" t="s">
        <v>5363</v>
      </c>
      <c r="D2924" s="11">
        <v>17463</v>
      </c>
      <c r="E2924" s="11" t="s">
        <v>2126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35</v>
      </c>
      <c r="P2924" s="13"/>
      <c r="Q2924" s="13">
        <v>0</v>
      </c>
      <c r="R2924" s="72">
        <f>+L2924*O2924</f>
        <v>1502.2</v>
      </c>
      <c r="S2924" s="72">
        <v>0</v>
      </c>
      <c r="T2924" s="72">
        <f>+L2924*S2924</f>
        <v>0</v>
      </c>
      <c r="U2924" s="72">
        <f>+R2924-T2924</f>
        <v>1502.2</v>
      </c>
      <c r="V2924" s="72">
        <f t="shared" ref="V2924:V2926" si="790">+U2924*0</f>
        <v>0</v>
      </c>
      <c r="W2924" s="72">
        <f>+U2924-V2924</f>
        <v>1502.2</v>
      </c>
      <c r="X2924" s="72">
        <v>0</v>
      </c>
      <c r="Y2924" s="14">
        <f t="shared" ref="Y2924:Y2926" si="791">T2924-X2924</f>
        <v>0</v>
      </c>
      <c r="Z2924" s="11" t="s">
        <v>26</v>
      </c>
      <c r="AA2924" s="12" t="s">
        <v>31</v>
      </c>
    </row>
    <row r="2925" spans="1:27" x14ac:dyDescent="0.25">
      <c r="A2925" s="10">
        <v>45700</v>
      </c>
      <c r="B2925" s="11" t="s">
        <v>5364</v>
      </c>
      <c r="C2925" s="11" t="s">
        <v>5365</v>
      </c>
      <c r="D2925" s="11">
        <v>17464</v>
      </c>
      <c r="E2925" s="11" t="s">
        <v>5366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2">
        <f>(L2925*O2925)-Q2925</f>
        <v>1023</v>
      </c>
      <c r="S2925" s="72">
        <v>0</v>
      </c>
      <c r="T2925" s="72">
        <f t="shared" ref="T2925:T2927" si="792">+L2925*S2925</f>
        <v>0</v>
      </c>
      <c r="U2925" s="72">
        <f t="shared" ref="U2925:U2927" si="793">+R2925-T2925</f>
        <v>1023</v>
      </c>
      <c r="V2925" s="72">
        <f t="shared" si="790"/>
        <v>0</v>
      </c>
      <c r="W2925" s="72">
        <f t="shared" ref="W2925:W2927" si="794">+U2925-V2925</f>
        <v>1023</v>
      </c>
      <c r="X2925" s="72">
        <v>0</v>
      </c>
      <c r="Y2925" s="14">
        <f t="shared" si="791"/>
        <v>0</v>
      </c>
      <c r="Z2925" s="11" t="s">
        <v>26</v>
      </c>
      <c r="AA2925" s="12" t="s">
        <v>31</v>
      </c>
    </row>
    <row r="2926" spans="1:27" x14ac:dyDescent="0.25">
      <c r="A2926" s="10">
        <v>45700</v>
      </c>
      <c r="B2926" s="11" t="s">
        <v>5367</v>
      </c>
      <c r="C2926" s="11" t="s">
        <v>5368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2">
        <f>(L2926*O2926)-Q2926</f>
        <v>235.2</v>
      </c>
      <c r="S2926" s="72">
        <v>0</v>
      </c>
      <c r="T2926" s="72">
        <f t="shared" si="792"/>
        <v>0</v>
      </c>
      <c r="U2926" s="72">
        <f t="shared" si="793"/>
        <v>235.2</v>
      </c>
      <c r="V2926" s="72">
        <f t="shared" si="790"/>
        <v>0</v>
      </c>
      <c r="W2926" s="72">
        <f t="shared" si="794"/>
        <v>235.2</v>
      </c>
      <c r="X2926" s="72">
        <v>0</v>
      </c>
      <c r="Y2926" s="14">
        <f t="shared" si="791"/>
        <v>0</v>
      </c>
      <c r="Z2926" s="11" t="s">
        <v>26</v>
      </c>
      <c r="AA2926" s="12" t="s">
        <v>31</v>
      </c>
    </row>
    <row r="2927" spans="1:27" x14ac:dyDescent="0.25">
      <c r="A2927" s="10">
        <v>45700</v>
      </c>
      <c r="B2927" s="11" t="s">
        <v>5369</v>
      </c>
      <c r="C2927" s="11" t="s">
        <v>5370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2">
        <f>(L2927*O2927)-Q2927</f>
        <v>302.39999999999998</v>
      </c>
      <c r="S2927" s="72">
        <v>0</v>
      </c>
      <c r="T2927" s="72">
        <f t="shared" si="792"/>
        <v>0</v>
      </c>
      <c r="U2927" s="72">
        <f t="shared" si="793"/>
        <v>302.39999999999998</v>
      </c>
      <c r="V2927" s="72">
        <f>+U2927*0</f>
        <v>0</v>
      </c>
      <c r="W2927" s="72">
        <f t="shared" si="794"/>
        <v>302.39999999999998</v>
      </c>
      <c r="X2927" s="72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x14ac:dyDescent="0.25">
      <c r="A2928" s="10">
        <v>45700</v>
      </c>
      <c r="B2928" s="11" t="s">
        <v>5371</v>
      </c>
      <c r="C2928" s="11" t="s">
        <v>5372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2">
        <f>L2928*O2928</f>
        <v>588.6</v>
      </c>
      <c r="S2928" s="72">
        <v>0</v>
      </c>
      <c r="T2928" s="72">
        <f>L2928*S2928</f>
        <v>0</v>
      </c>
      <c r="U2928" s="72">
        <f>R2928-T2928</f>
        <v>588.6</v>
      </c>
      <c r="V2928" s="72">
        <f>U2928*0</f>
        <v>0</v>
      </c>
      <c r="W2928" s="72">
        <f>U2928-V2928</f>
        <v>588.6</v>
      </c>
      <c r="X2928" s="72">
        <v>0</v>
      </c>
      <c r="Y2928" s="14">
        <f t="shared" ref="Y2928" si="795">T2928-X2928</f>
        <v>0</v>
      </c>
      <c r="Z2928" s="11" t="s">
        <v>26</v>
      </c>
      <c r="AA2928" s="12" t="s">
        <v>31</v>
      </c>
    </row>
    <row r="2929" spans="1:27" x14ac:dyDescent="0.25">
      <c r="A2929" s="10">
        <v>45700</v>
      </c>
      <c r="B2929" s="11" t="s">
        <v>5373</v>
      </c>
      <c r="C2929" s="11" t="s">
        <v>5374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2">
        <f>+L2929*O2929</f>
        <v>3656.38</v>
      </c>
      <c r="S2929" s="72">
        <v>40</v>
      </c>
      <c r="T2929" s="72">
        <f>L2929*S2929</f>
        <v>1607.2</v>
      </c>
      <c r="U2929" s="72">
        <f t="shared" ref="U2929" si="796">R2929-T2929</f>
        <v>2049.1800000000003</v>
      </c>
      <c r="V2929" s="72">
        <f>U2929*1</f>
        <v>2049.1800000000003</v>
      </c>
      <c r="W2929" s="72">
        <f t="shared" ref="W2929" si="797">U2929-V2929</f>
        <v>0</v>
      </c>
      <c r="X2929" s="72">
        <f>L2929*37</f>
        <v>1486.66</v>
      </c>
      <c r="Y2929" s="73">
        <f>+T2929-X2929</f>
        <v>120.53999999999996</v>
      </c>
      <c r="Z2929" s="12" t="s">
        <v>41</v>
      </c>
      <c r="AA2929" s="12" t="s">
        <v>79</v>
      </c>
    </row>
    <row r="2930" spans="1:27" x14ac:dyDescent="0.25">
      <c r="A2930" s="10">
        <v>45700</v>
      </c>
      <c r="B2930" s="11" t="s">
        <v>5375</v>
      </c>
      <c r="C2930" s="11" t="s">
        <v>5376</v>
      </c>
      <c r="D2930" s="11">
        <v>17469</v>
      </c>
      <c r="E2930" s="11" t="s">
        <v>4340</v>
      </c>
      <c r="F2930" s="11" t="s">
        <v>26</v>
      </c>
      <c r="G2930" s="11">
        <v>2959</v>
      </c>
      <c r="H2930" s="12" t="s">
        <v>4459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2">
        <f>L2930*O2930</f>
        <v>1679.1599999999999</v>
      </c>
      <c r="S2930" s="72">
        <v>0</v>
      </c>
      <c r="T2930" s="72">
        <f>L2930*S2930</f>
        <v>0</v>
      </c>
      <c r="U2930" s="72">
        <f>R2930-T2930</f>
        <v>1679.1599999999999</v>
      </c>
      <c r="V2930" s="72">
        <f>U2930*1</f>
        <v>1679.1599999999999</v>
      </c>
      <c r="W2930" s="72">
        <f>U2930-V2930</f>
        <v>0</v>
      </c>
      <c r="X2930" s="72">
        <v>0</v>
      </c>
      <c r="Y2930" s="73">
        <f>T2930-X2930</f>
        <v>0</v>
      </c>
      <c r="Z2930" s="11" t="s">
        <v>26</v>
      </c>
      <c r="AA2930" s="12" t="s">
        <v>31</v>
      </c>
    </row>
    <row r="2931" spans="1:27" x14ac:dyDescent="0.25">
      <c r="A2931" s="10">
        <v>45700</v>
      </c>
      <c r="B2931" s="11" t="s">
        <v>4351</v>
      </c>
      <c r="C2931" s="11" t="s">
        <v>5377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2">
        <f>L2931*O2931</f>
        <v>1717.6</v>
      </c>
      <c r="S2931" s="72">
        <v>0</v>
      </c>
      <c r="T2931" s="72">
        <f>L2931*S2931</f>
        <v>0</v>
      </c>
      <c r="U2931" s="72">
        <f>R2931-T2931</f>
        <v>1717.6</v>
      </c>
      <c r="V2931" s="72">
        <f>U2931*0</f>
        <v>0</v>
      </c>
      <c r="W2931" s="72">
        <f>U2931-V2931</f>
        <v>1717.6</v>
      </c>
      <c r="X2931" s="72">
        <v>0</v>
      </c>
      <c r="Y2931" s="14">
        <f t="shared" ref="Y2931" si="799">T2931-X2931</f>
        <v>0</v>
      </c>
      <c r="Z2931" s="11" t="s">
        <v>26</v>
      </c>
      <c r="AA2931" s="12" t="s">
        <v>31</v>
      </c>
    </row>
    <row r="2932" spans="1:27" x14ac:dyDescent="0.25">
      <c r="A2932" s="10">
        <v>45700</v>
      </c>
      <c r="B2932" s="11" t="s">
        <v>5378</v>
      </c>
      <c r="C2932" s="11" t="s">
        <v>5379</v>
      </c>
      <c r="D2932" s="11">
        <v>17471</v>
      </c>
      <c r="E2932" s="11" t="s">
        <v>3654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2">
        <f>(L2932*O2932)-Q2932</f>
        <v>418.50000000000006</v>
      </c>
      <c r="S2932" s="72">
        <v>0</v>
      </c>
      <c r="T2932" s="72">
        <f t="shared" ref="T2932:T2933" si="800">+L2932*S2932</f>
        <v>0</v>
      </c>
      <c r="U2932" s="72">
        <f t="shared" ref="U2932:U2934" si="801">+R2932-T2932</f>
        <v>418.50000000000006</v>
      </c>
      <c r="V2932" s="72">
        <f>+U2932*0</f>
        <v>0</v>
      </c>
      <c r="W2932" s="72">
        <f t="shared" ref="W2932:W2934" si="802">+U2932-V2932</f>
        <v>418.50000000000006</v>
      </c>
      <c r="X2932" s="72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x14ac:dyDescent="0.25">
      <c r="A2933" s="10">
        <v>45700</v>
      </c>
      <c r="B2933" s="11" t="s">
        <v>5380</v>
      </c>
      <c r="C2933" s="11" t="s">
        <v>5381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2">
        <f>(L2933*O2933)-Q2933</f>
        <v>222.39999999999998</v>
      </c>
      <c r="S2933" s="72">
        <v>0</v>
      </c>
      <c r="T2933" s="72">
        <f t="shared" si="800"/>
        <v>0</v>
      </c>
      <c r="U2933" s="72">
        <f t="shared" si="801"/>
        <v>222.39999999999998</v>
      </c>
      <c r="V2933" s="72">
        <f t="shared" ref="V2933" si="803">+U2933*0</f>
        <v>0</v>
      </c>
      <c r="W2933" s="72">
        <f t="shared" si="802"/>
        <v>222.39999999999998</v>
      </c>
      <c r="X2933" s="72">
        <v>0</v>
      </c>
      <c r="Y2933" s="14">
        <f t="shared" ref="Y2933:Y2939" si="804">T2933-X2933</f>
        <v>0</v>
      </c>
      <c r="Z2933" s="11" t="s">
        <v>26</v>
      </c>
      <c r="AA2933" s="12" t="s">
        <v>31</v>
      </c>
    </row>
    <row r="2934" spans="1:27" x14ac:dyDescent="0.25">
      <c r="A2934" s="10">
        <v>45700</v>
      </c>
      <c r="B2934" s="11" t="s">
        <v>5382</v>
      </c>
      <c r="C2934" s="11" t="s">
        <v>5383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2">
        <f>+M2934*P2934</f>
        <v>1500</v>
      </c>
      <c r="S2934" s="72">
        <v>0</v>
      </c>
      <c r="T2934" s="72">
        <f>+M2934*S2934</f>
        <v>0</v>
      </c>
      <c r="U2934" s="72">
        <f t="shared" si="801"/>
        <v>1500</v>
      </c>
      <c r="V2934" s="72">
        <f>+U2934*0</f>
        <v>0</v>
      </c>
      <c r="W2934" s="72">
        <f t="shared" si="802"/>
        <v>1500</v>
      </c>
      <c r="X2934" s="72">
        <v>0</v>
      </c>
      <c r="Y2934" s="14">
        <f t="shared" si="804"/>
        <v>0</v>
      </c>
      <c r="Z2934" s="11" t="s">
        <v>26</v>
      </c>
      <c r="AA2934" s="12" t="s">
        <v>31</v>
      </c>
    </row>
    <row r="2935" spans="1:27" x14ac:dyDescent="0.25">
      <c r="A2935" s="10">
        <v>45700</v>
      </c>
      <c r="B2935" s="11" t="s">
        <v>470</v>
      </c>
      <c r="C2935" s="11" t="s">
        <v>5384</v>
      </c>
      <c r="D2935" s="11">
        <v>17474</v>
      </c>
      <c r="E2935" s="11" t="s">
        <v>5049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35</v>
      </c>
      <c r="P2935" s="13"/>
      <c r="Q2935" s="13">
        <v>0</v>
      </c>
      <c r="R2935" s="72">
        <f>+L2935*O2935</f>
        <v>1451.1000000000001</v>
      </c>
      <c r="S2935" s="72">
        <v>0</v>
      </c>
      <c r="T2935" s="72">
        <f>+L2935*S2935</f>
        <v>0</v>
      </c>
      <c r="U2935" s="72">
        <f>+R2935-T2935</f>
        <v>1451.1000000000001</v>
      </c>
      <c r="V2935" s="72">
        <f t="shared" ref="V2935:V2936" si="805">+U2935*0</f>
        <v>0</v>
      </c>
      <c r="W2935" s="72">
        <f>+U2935-V2935</f>
        <v>1451.1000000000001</v>
      </c>
      <c r="X2935" s="72">
        <v>0</v>
      </c>
      <c r="Y2935" s="14">
        <f t="shared" si="804"/>
        <v>0</v>
      </c>
      <c r="Z2935" s="11" t="s">
        <v>26</v>
      </c>
      <c r="AA2935" s="12" t="s">
        <v>31</v>
      </c>
    </row>
    <row r="2936" spans="1:27" x14ac:dyDescent="0.25">
      <c r="A2936" s="10">
        <v>45700</v>
      </c>
      <c r="B2936" s="11" t="s">
        <v>2722</v>
      </c>
      <c r="C2936" s="11" t="s">
        <v>5385</v>
      </c>
      <c r="D2936" s="11">
        <v>17475</v>
      </c>
      <c r="E2936" s="11" t="s">
        <v>5386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35</v>
      </c>
      <c r="P2936" s="13"/>
      <c r="Q2936" s="13">
        <v>0</v>
      </c>
      <c r="R2936" s="72">
        <f>+L2936*O2936</f>
        <v>1501.5</v>
      </c>
      <c r="S2936" s="72">
        <v>0</v>
      </c>
      <c r="T2936" s="72">
        <f>+L2936*S2936</f>
        <v>0</v>
      </c>
      <c r="U2936" s="72">
        <f>+R2936-T2936</f>
        <v>1501.5</v>
      </c>
      <c r="V2936" s="72">
        <f t="shared" si="805"/>
        <v>0</v>
      </c>
      <c r="W2936" s="72">
        <f>+U2936-V2936</f>
        <v>1501.5</v>
      </c>
      <c r="X2936" s="72">
        <v>0</v>
      </c>
      <c r="Y2936" s="14">
        <f t="shared" si="804"/>
        <v>0</v>
      </c>
      <c r="Z2936" s="11" t="s">
        <v>26</v>
      </c>
      <c r="AA2936" s="12" t="s">
        <v>31</v>
      </c>
    </row>
    <row r="2937" spans="1:27" x14ac:dyDescent="0.25">
      <c r="A2937" s="10">
        <v>45700</v>
      </c>
      <c r="B2937" s="11" t="s">
        <v>5387</v>
      </c>
      <c r="C2937" s="11" t="s">
        <v>5388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2">
        <f>M2937*P2937</f>
        <v>1500</v>
      </c>
      <c r="S2937" s="72">
        <v>0</v>
      </c>
      <c r="T2937" s="72">
        <f>M2937*S2937</f>
        <v>0</v>
      </c>
      <c r="U2937" s="72">
        <f>R2937-T2937</f>
        <v>1500</v>
      </c>
      <c r="V2937" s="72">
        <f>U2937*0</f>
        <v>0</v>
      </c>
      <c r="W2937" s="72">
        <f>U2937-V2937</f>
        <v>1500</v>
      </c>
      <c r="X2937" s="72">
        <v>0</v>
      </c>
      <c r="Y2937" s="14">
        <f t="shared" si="804"/>
        <v>0</v>
      </c>
      <c r="Z2937" s="11" t="s">
        <v>26</v>
      </c>
      <c r="AA2937" s="12" t="s">
        <v>31</v>
      </c>
    </row>
    <row r="2938" spans="1:27" x14ac:dyDescent="0.25">
      <c r="A2938" s="10">
        <v>45700</v>
      </c>
      <c r="B2938" s="11" t="s">
        <v>4031</v>
      </c>
      <c r="C2938" s="11" t="s">
        <v>5389</v>
      </c>
      <c r="D2938" s="11">
        <v>17477</v>
      </c>
      <c r="E2938" s="11" t="s">
        <v>5390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2">
        <f>M2938*P2938</f>
        <v>1500</v>
      </c>
      <c r="S2938" s="72">
        <v>0</v>
      </c>
      <c r="T2938" s="72">
        <f>M2938*S2938</f>
        <v>0</v>
      </c>
      <c r="U2938" s="72">
        <f>R2938-T2938</f>
        <v>1500</v>
      </c>
      <c r="V2938" s="72">
        <f>U2938*0</f>
        <v>0</v>
      </c>
      <c r="W2938" s="72">
        <f>+U2938-V2938</f>
        <v>1500</v>
      </c>
      <c r="X2938" s="72">
        <v>0</v>
      </c>
      <c r="Y2938" s="14">
        <f t="shared" si="804"/>
        <v>0</v>
      </c>
      <c r="Z2938" s="11" t="s">
        <v>26</v>
      </c>
      <c r="AA2938" s="12" t="s">
        <v>31</v>
      </c>
    </row>
    <row r="2939" spans="1:27" x14ac:dyDescent="0.25">
      <c r="A2939" s="10">
        <v>45701</v>
      </c>
      <c r="B2939" s="11" t="s">
        <v>316</v>
      </c>
      <c r="C2939" s="11" t="s">
        <v>5391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2">
        <f>M2939*P2939</f>
        <v>1550</v>
      </c>
      <c r="S2939" s="72">
        <v>0</v>
      </c>
      <c r="T2939" s="72">
        <f>M2939*S2939</f>
        <v>0</v>
      </c>
      <c r="U2939" s="72">
        <f>R2939-T2939</f>
        <v>1550</v>
      </c>
      <c r="V2939" s="72">
        <f>U2939*0</f>
        <v>0</v>
      </c>
      <c r="W2939" s="72">
        <f>U2939-V2939</f>
        <v>1550</v>
      </c>
      <c r="X2939" s="72">
        <v>0</v>
      </c>
      <c r="Y2939" s="14">
        <f t="shared" si="804"/>
        <v>0</v>
      </c>
      <c r="Z2939" s="11" t="s">
        <v>26</v>
      </c>
      <c r="AA2939" s="12" t="s">
        <v>31</v>
      </c>
    </row>
    <row r="2940" spans="1:27" x14ac:dyDescent="0.25">
      <c r="A2940" s="10">
        <v>45701</v>
      </c>
      <c r="B2940" s="11" t="s">
        <v>3030</v>
      </c>
      <c r="C2940" s="11" t="s">
        <v>5392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4439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2">
        <f>L2940*O2940</f>
        <v>3601.7999999999997</v>
      </c>
      <c r="S2940" s="72">
        <v>38</v>
      </c>
      <c r="T2940" s="72">
        <f>L2940*S2940</f>
        <v>1573.2</v>
      </c>
      <c r="U2940" s="72">
        <f>R2940-T2940</f>
        <v>2028.5999999999997</v>
      </c>
      <c r="V2940" s="72">
        <f>U2940*1</f>
        <v>2028.5999999999997</v>
      </c>
      <c r="W2940" s="72">
        <f>U2940-V2940</f>
        <v>0</v>
      </c>
      <c r="X2940" s="72">
        <f>L2940*36</f>
        <v>1490.3999999999999</v>
      </c>
      <c r="Y2940" s="73">
        <f>+T2940-X2940</f>
        <v>82.800000000000182</v>
      </c>
      <c r="Z2940" s="12" t="s">
        <v>6345</v>
      </c>
      <c r="AA2940" s="12" t="s">
        <v>78</v>
      </c>
    </row>
    <row r="2941" spans="1:27" x14ac:dyDescent="0.25">
      <c r="A2941" s="10">
        <v>45701</v>
      </c>
      <c r="B2941" s="11" t="s">
        <v>5393</v>
      </c>
      <c r="C2941" s="11" t="s">
        <v>5394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2">
        <f>L2941*O2941</f>
        <v>1558.4</v>
      </c>
      <c r="S2941" s="72">
        <v>0</v>
      </c>
      <c r="T2941" s="72">
        <f>L2941*S2941</f>
        <v>0</v>
      </c>
      <c r="U2941" s="72">
        <f>R2941-T2941</f>
        <v>1558.4</v>
      </c>
      <c r="V2941" s="72">
        <f>U2941*0</f>
        <v>0</v>
      </c>
      <c r="W2941" s="72">
        <f>U2941-V2941</f>
        <v>1558.4</v>
      </c>
      <c r="X2941" s="72">
        <v>0</v>
      </c>
      <c r="Y2941" s="14">
        <f t="shared" ref="Y2941" si="807">T2941-X2941</f>
        <v>0</v>
      </c>
      <c r="Z2941" s="11" t="s">
        <v>26</v>
      </c>
      <c r="AA2941" s="12" t="s">
        <v>31</v>
      </c>
    </row>
    <row r="2942" spans="1:27" x14ac:dyDescent="0.25">
      <c r="A2942" s="10">
        <v>45701</v>
      </c>
      <c r="B2942" s="11" t="s">
        <v>5395</v>
      </c>
      <c r="C2942" s="11" t="s">
        <v>5396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2">
        <f>+L2942*O2942</f>
        <v>3836.5599999999995</v>
      </c>
      <c r="S2942" s="72">
        <v>40</v>
      </c>
      <c r="T2942" s="72">
        <f>L2942*S2942</f>
        <v>1686.3999999999999</v>
      </c>
      <c r="U2942" s="72">
        <f t="shared" ref="U2942" si="808">R2942-T2942</f>
        <v>2150.16</v>
      </c>
      <c r="V2942" s="72">
        <f>U2942*1</f>
        <v>2150.16</v>
      </c>
      <c r="W2942" s="72">
        <f t="shared" ref="W2942" si="809">U2942-V2942</f>
        <v>0</v>
      </c>
      <c r="X2942" s="72">
        <f>L2942*36</f>
        <v>1517.7599999999998</v>
      </c>
      <c r="Y2942" s="73">
        <f>+T2942-X2942</f>
        <v>168.6400000000001</v>
      </c>
      <c r="Z2942" s="12" t="s">
        <v>141</v>
      </c>
      <c r="AA2942" s="12" t="s">
        <v>79</v>
      </c>
    </row>
    <row r="2943" spans="1:27" x14ac:dyDescent="0.25">
      <c r="A2943" s="10">
        <v>45701</v>
      </c>
      <c r="B2943" s="11" t="s">
        <v>5397</v>
      </c>
      <c r="C2943" s="11" t="s">
        <v>5398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4440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2">
        <f>+L2943*O2943</f>
        <v>1610.9999999999998</v>
      </c>
      <c r="S2943" s="72">
        <v>0</v>
      </c>
      <c r="T2943" s="72">
        <f>+L2943*S2943</f>
        <v>0</v>
      </c>
      <c r="U2943" s="72">
        <f t="shared" ref="U2943" si="810">+R2943-T2943</f>
        <v>1610.9999999999998</v>
      </c>
      <c r="V2943" s="72">
        <f>+U2943*1</f>
        <v>1610.9999999999998</v>
      </c>
      <c r="W2943" s="72">
        <f t="shared" ref="W2943" si="811">+U2943-V2943</f>
        <v>0</v>
      </c>
      <c r="X2943" s="72">
        <v>0</v>
      </c>
      <c r="Y2943" s="14">
        <f t="shared" ref="Y2943:Y3006" si="812">T2943-X2943</f>
        <v>0</v>
      </c>
      <c r="Z2943" s="11" t="s">
        <v>26</v>
      </c>
      <c r="AA2943" s="12" t="s">
        <v>31</v>
      </c>
    </row>
    <row r="2944" spans="1:27" x14ac:dyDescent="0.25">
      <c r="A2944" s="10">
        <v>45701</v>
      </c>
      <c r="B2944" s="11" t="s">
        <v>4157</v>
      </c>
      <c r="C2944" s="11" t="s">
        <v>5399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2">
        <f>+L2944*O2944</f>
        <v>1682.4</v>
      </c>
      <c r="S2944" s="72">
        <v>0</v>
      </c>
      <c r="T2944" s="72">
        <f>+L2944*S2944</f>
        <v>0</v>
      </c>
      <c r="U2944" s="72">
        <f>+R2944-T2944</f>
        <v>1682.4</v>
      </c>
      <c r="V2944" s="72">
        <f t="shared" ref="V2944" si="813">+U2944*0</f>
        <v>0</v>
      </c>
      <c r="W2944" s="72">
        <f>+U2944-V2944</f>
        <v>1682.4</v>
      </c>
      <c r="X2944" s="72">
        <v>0</v>
      </c>
      <c r="Y2944" s="14">
        <f t="shared" si="812"/>
        <v>0</v>
      </c>
      <c r="Z2944" s="11" t="s">
        <v>26</v>
      </c>
      <c r="AA2944" s="12" t="s">
        <v>31</v>
      </c>
    </row>
    <row r="2945" spans="1:27" x14ac:dyDescent="0.25">
      <c r="A2945" s="10">
        <v>45701</v>
      </c>
      <c r="B2945" s="11" t="s">
        <v>5400</v>
      </c>
      <c r="C2945" s="11" t="s">
        <v>5401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4465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2">
        <f>+L2945*O2945</f>
        <v>1789.8775999999998</v>
      </c>
      <c r="S2945" s="72">
        <v>0</v>
      </c>
      <c r="T2945" s="72">
        <f>+L2945*S2945</f>
        <v>0</v>
      </c>
      <c r="U2945" s="72">
        <f>+R2945-T2945</f>
        <v>1789.8775999999998</v>
      </c>
      <c r="V2945" s="72">
        <f>+U2945*0.75</f>
        <v>1342.4081999999999</v>
      </c>
      <c r="W2945" s="72">
        <f>+U2945-V2945</f>
        <v>447.46939999999995</v>
      </c>
      <c r="X2945" s="72">
        <v>0</v>
      </c>
      <c r="Y2945" s="14">
        <f t="shared" si="812"/>
        <v>0</v>
      </c>
      <c r="Z2945" s="11" t="s">
        <v>26</v>
      </c>
      <c r="AA2945" s="12" t="s">
        <v>31</v>
      </c>
    </row>
    <row r="2946" spans="1:27" x14ac:dyDescent="0.25">
      <c r="A2946" s="10">
        <v>45701</v>
      </c>
      <c r="B2946" s="11" t="s">
        <v>5402</v>
      </c>
      <c r="C2946" s="11" t="s">
        <v>5403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4439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2">
        <f>L2946*O2946</f>
        <v>3779.8199999999997</v>
      </c>
      <c r="S2946" s="72">
        <v>38</v>
      </c>
      <c r="T2946" s="72">
        <f>L2946*S2946</f>
        <v>1730.52</v>
      </c>
      <c r="U2946" s="72">
        <f>R2946-T2946</f>
        <v>2049.2999999999997</v>
      </c>
      <c r="V2946" s="72">
        <f>U2946*1</f>
        <v>2049.2999999999997</v>
      </c>
      <c r="W2946" s="72">
        <f>U2946-V2946</f>
        <v>0</v>
      </c>
      <c r="X2946" s="72">
        <f>L2946*37</f>
        <v>1684.98</v>
      </c>
      <c r="Y2946" s="73">
        <f>+T2946-X2946</f>
        <v>45.539999999999964</v>
      </c>
      <c r="Z2946" s="12" t="s">
        <v>41</v>
      </c>
      <c r="AA2946" s="12" t="s">
        <v>78</v>
      </c>
    </row>
    <row r="2947" spans="1:27" x14ac:dyDescent="0.25">
      <c r="A2947" s="10">
        <v>45701</v>
      </c>
      <c r="B2947" s="11" t="s">
        <v>1286</v>
      </c>
      <c r="C2947" s="11" t="s">
        <v>5404</v>
      </c>
      <c r="D2947" s="11">
        <v>17486</v>
      </c>
      <c r="E2947" s="11" t="s">
        <v>4612</v>
      </c>
      <c r="F2947" s="11" t="s">
        <v>26</v>
      </c>
      <c r="G2947" s="11">
        <v>78353</v>
      </c>
      <c r="H2947" s="12" t="s">
        <v>4465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2">
        <f>+L2947*O2947</f>
        <v>609.9</v>
      </c>
      <c r="S2947" s="72">
        <v>0</v>
      </c>
      <c r="T2947" s="72">
        <f>+L2947*S2947</f>
        <v>0</v>
      </c>
      <c r="U2947" s="72">
        <f>+R2947-T2947</f>
        <v>609.9</v>
      </c>
      <c r="V2947" s="72">
        <f>+U2947*0.75</f>
        <v>457.42499999999995</v>
      </c>
      <c r="W2947" s="72">
        <f>+U2947-V2947</f>
        <v>152.47500000000002</v>
      </c>
      <c r="X2947" s="72">
        <v>0</v>
      </c>
      <c r="Y2947" s="14">
        <f t="shared" si="812"/>
        <v>0</v>
      </c>
      <c r="Z2947" s="11" t="s">
        <v>26</v>
      </c>
      <c r="AA2947" s="12" t="s">
        <v>31</v>
      </c>
    </row>
    <row r="2948" spans="1:27" x14ac:dyDescent="0.25">
      <c r="A2948" s="10">
        <v>45701</v>
      </c>
      <c r="B2948" s="11" t="s">
        <v>5405</v>
      </c>
      <c r="C2948" s="11" t="s">
        <v>5406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2">
        <f>M2948*P2948</f>
        <v>1740</v>
      </c>
      <c r="S2948" s="72">
        <v>0</v>
      </c>
      <c r="T2948" s="72">
        <f>M2948*S2948</f>
        <v>0</v>
      </c>
      <c r="U2948" s="72">
        <f t="shared" ref="U2948" si="814">+R2948-T2948</f>
        <v>1740</v>
      </c>
      <c r="V2948" s="72">
        <f>+U2948*0</f>
        <v>0</v>
      </c>
      <c r="W2948" s="72">
        <f t="shared" ref="W2948" si="815">+U2948-V2948</f>
        <v>1740</v>
      </c>
      <c r="X2948" s="72">
        <v>0</v>
      </c>
      <c r="Y2948" s="14">
        <f t="shared" si="812"/>
        <v>0</v>
      </c>
      <c r="Z2948" s="11" t="s">
        <v>26</v>
      </c>
      <c r="AA2948" s="12" t="s">
        <v>31</v>
      </c>
    </row>
    <row r="2949" spans="1:27" x14ac:dyDescent="0.25">
      <c r="A2949" s="10">
        <v>45701</v>
      </c>
      <c r="B2949" s="11" t="s">
        <v>5407</v>
      </c>
      <c r="C2949" s="11" t="s">
        <v>5408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4465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2">
        <f>+L2949*O2949</f>
        <v>609</v>
      </c>
      <c r="S2949" s="72">
        <v>0</v>
      </c>
      <c r="T2949" s="72">
        <f>+L2949*S2949</f>
        <v>0</v>
      </c>
      <c r="U2949" s="72">
        <f>+R2949-T2949</f>
        <v>609</v>
      </c>
      <c r="V2949" s="72">
        <f>+U2949*0.75</f>
        <v>456.75</v>
      </c>
      <c r="W2949" s="72">
        <f>+U2949-V2949</f>
        <v>152.25</v>
      </c>
      <c r="X2949" s="72">
        <v>0</v>
      </c>
      <c r="Y2949" s="14">
        <f t="shared" si="812"/>
        <v>0</v>
      </c>
      <c r="Z2949" s="11" t="s">
        <v>26</v>
      </c>
      <c r="AA2949" s="12" t="s">
        <v>31</v>
      </c>
    </row>
    <row r="2950" spans="1:27" x14ac:dyDescent="0.25">
      <c r="A2950" s="10">
        <v>45701</v>
      </c>
      <c r="B2950" s="11" t="s">
        <v>5409</v>
      </c>
      <c r="C2950" s="11" t="s">
        <v>5410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2">
        <f>M2950*P2950</f>
        <v>1680</v>
      </c>
      <c r="S2950" s="72">
        <v>0</v>
      </c>
      <c r="T2950" s="72">
        <f>M2950*S2950</f>
        <v>0</v>
      </c>
      <c r="U2950" s="72">
        <f t="shared" ref="U2950" si="816">+R2950-T2950</f>
        <v>1680</v>
      </c>
      <c r="V2950" s="72">
        <f>+U2950*0</f>
        <v>0</v>
      </c>
      <c r="W2950" s="72">
        <f t="shared" ref="W2950" si="817">+U2950-V2950</f>
        <v>1680</v>
      </c>
      <c r="X2950" s="72">
        <v>0</v>
      </c>
      <c r="Y2950" s="14">
        <f t="shared" si="812"/>
        <v>0</v>
      </c>
      <c r="Z2950" s="11" t="s">
        <v>26</v>
      </c>
      <c r="AA2950" s="12" t="s">
        <v>31</v>
      </c>
    </row>
    <row r="2951" spans="1:27" x14ac:dyDescent="0.25">
      <c r="A2951" s="10">
        <v>45701</v>
      </c>
      <c r="B2951" s="11" t="s">
        <v>5411</v>
      </c>
      <c r="C2951" s="11" t="s">
        <v>5412</v>
      </c>
      <c r="D2951" s="11">
        <v>17490</v>
      </c>
      <c r="E2951" s="11" t="s">
        <v>1217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2">
        <f>M2951*P2951</f>
        <v>1600</v>
      </c>
      <c r="S2951" s="72">
        <v>0</v>
      </c>
      <c r="T2951" s="72">
        <f>M2951*S2951</f>
        <v>0</v>
      </c>
      <c r="U2951" s="72">
        <f>R2951-T2951</f>
        <v>1600</v>
      </c>
      <c r="V2951" s="72">
        <f t="shared" ref="V2951" si="818">U2951*0</f>
        <v>0</v>
      </c>
      <c r="W2951" s="72">
        <f t="shared" ref="W2951" si="819">U2951-V2951</f>
        <v>1600</v>
      </c>
      <c r="X2951" s="72">
        <v>0</v>
      </c>
      <c r="Y2951" s="14">
        <f t="shared" si="812"/>
        <v>0</v>
      </c>
      <c r="Z2951" s="11" t="s">
        <v>26</v>
      </c>
      <c r="AA2951" s="12" t="s">
        <v>31</v>
      </c>
    </row>
    <row r="2952" spans="1:27" x14ac:dyDescent="0.25">
      <c r="A2952" s="10">
        <v>45701</v>
      </c>
      <c r="B2952" s="11" t="s">
        <v>1381</v>
      </c>
      <c r="C2952" s="11" t="s">
        <v>5413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2">
        <f>L2952*O2952</f>
        <v>1109.5</v>
      </c>
      <c r="S2952" s="72">
        <v>0</v>
      </c>
      <c r="T2952" s="72">
        <f t="shared" ref="T2952" si="820">L2952*S2952</f>
        <v>0</v>
      </c>
      <c r="U2952" s="72">
        <f>R2952-T2952</f>
        <v>1109.5</v>
      </c>
      <c r="V2952" s="72">
        <f>U2952*0</f>
        <v>0</v>
      </c>
      <c r="W2952" s="72">
        <f>U2952-V2952</f>
        <v>1109.5</v>
      </c>
      <c r="X2952" s="72">
        <v>0</v>
      </c>
      <c r="Y2952" s="14">
        <f t="shared" si="812"/>
        <v>0</v>
      </c>
      <c r="Z2952" s="11" t="s">
        <v>26</v>
      </c>
      <c r="AA2952" s="12" t="s">
        <v>31</v>
      </c>
    </row>
    <row r="2953" spans="1:27" x14ac:dyDescent="0.25">
      <c r="A2953" s="10">
        <v>45701</v>
      </c>
      <c r="B2953" s="11" t="s">
        <v>5414</v>
      </c>
      <c r="C2953" s="11" t="s">
        <v>5415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2">
        <f>M2953*P2953</f>
        <v>1093.5</v>
      </c>
      <c r="S2953" s="72">
        <v>0</v>
      </c>
      <c r="T2953" s="72">
        <f>M2953*S2953</f>
        <v>0</v>
      </c>
      <c r="U2953" s="72">
        <f>+R2953-T2953</f>
        <v>1093.5</v>
      </c>
      <c r="V2953" s="72">
        <f t="shared" ref="V2953" si="821">+U2953*0</f>
        <v>0</v>
      </c>
      <c r="W2953" s="72">
        <f>+U2953-V2953</f>
        <v>1093.5</v>
      </c>
      <c r="X2953" s="72">
        <v>0</v>
      </c>
      <c r="Y2953" s="14">
        <f t="shared" si="812"/>
        <v>0</v>
      </c>
      <c r="Z2953" s="11" t="s">
        <v>26</v>
      </c>
      <c r="AA2953" s="12" t="s">
        <v>31</v>
      </c>
    </row>
    <row r="2954" spans="1:27" x14ac:dyDescent="0.25">
      <c r="A2954" s="10">
        <v>45701</v>
      </c>
      <c r="B2954" s="11" t="s">
        <v>5416</v>
      </c>
      <c r="C2954" s="11" t="s">
        <v>5417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2">
        <f>L2954*O2954</f>
        <v>1108</v>
      </c>
      <c r="S2954" s="72">
        <v>0</v>
      </c>
      <c r="T2954" s="72">
        <f t="shared" ref="T2954" si="822">L2954*S2954</f>
        <v>0</v>
      </c>
      <c r="U2954" s="72">
        <f>R2954-T2954</f>
        <v>1108</v>
      </c>
      <c r="V2954" s="72">
        <f>U2954*0</f>
        <v>0</v>
      </c>
      <c r="W2954" s="72">
        <f>U2954-V2954</f>
        <v>1108</v>
      </c>
      <c r="X2954" s="72">
        <v>0</v>
      </c>
      <c r="Y2954" s="14">
        <f t="shared" si="812"/>
        <v>0</v>
      </c>
      <c r="Z2954" s="11" t="s">
        <v>26</v>
      </c>
      <c r="AA2954" s="12" t="s">
        <v>31</v>
      </c>
    </row>
    <row r="2955" spans="1:27" x14ac:dyDescent="0.25">
      <c r="A2955" s="10">
        <v>45701</v>
      </c>
      <c r="B2955" s="11" t="s">
        <v>5418</v>
      </c>
      <c r="C2955" s="11" t="s">
        <v>5419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2">
        <f>M2955*P2955</f>
        <v>1093.5</v>
      </c>
      <c r="S2955" s="72">
        <v>0</v>
      </c>
      <c r="T2955" s="72">
        <f>M2955*S2955</f>
        <v>0</v>
      </c>
      <c r="U2955" s="72">
        <f>+R2955-T2955</f>
        <v>1093.5</v>
      </c>
      <c r="V2955" s="72">
        <f t="shared" ref="V2955" si="823">+U2955*0</f>
        <v>0</v>
      </c>
      <c r="W2955" s="72">
        <f>+U2955-V2955</f>
        <v>1093.5</v>
      </c>
      <c r="X2955" s="72">
        <v>0</v>
      </c>
      <c r="Y2955" s="14">
        <f t="shared" si="812"/>
        <v>0</v>
      </c>
      <c r="Z2955" s="11" t="s">
        <v>26</v>
      </c>
      <c r="AA2955" s="12" t="s">
        <v>31</v>
      </c>
    </row>
    <row r="2956" spans="1:27" x14ac:dyDescent="0.25">
      <c r="A2956" s="10">
        <v>45701</v>
      </c>
      <c r="B2956" s="11" t="s">
        <v>1116</v>
      </c>
      <c r="C2956" s="11" t="s">
        <v>5420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4465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2">
        <f>+L2956*O2956</f>
        <v>626.4</v>
      </c>
      <c r="S2956" s="72">
        <v>0</v>
      </c>
      <c r="T2956" s="72">
        <f>+L2956*S2956</f>
        <v>0</v>
      </c>
      <c r="U2956" s="72">
        <f>+R2956-T2956</f>
        <v>626.4</v>
      </c>
      <c r="V2956" s="72">
        <f>+U2956*0.75</f>
        <v>469.79999999999995</v>
      </c>
      <c r="W2956" s="72">
        <f>+U2956-V2956</f>
        <v>156.60000000000002</v>
      </c>
      <c r="X2956" s="72">
        <v>0</v>
      </c>
      <c r="Y2956" s="14">
        <f t="shared" si="812"/>
        <v>0</v>
      </c>
      <c r="Z2956" s="11" t="s">
        <v>26</v>
      </c>
      <c r="AA2956" s="12" t="s">
        <v>31</v>
      </c>
    </row>
    <row r="2957" spans="1:27" x14ac:dyDescent="0.25">
      <c r="A2957" s="10">
        <v>45701</v>
      </c>
      <c r="B2957" s="11" t="s">
        <v>5421</v>
      </c>
      <c r="C2957" s="11" t="s">
        <v>5422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2">
        <f>(L2957*O2957)-Q2957</f>
        <v>329</v>
      </c>
      <c r="S2957" s="72">
        <v>0</v>
      </c>
      <c r="T2957" s="72">
        <f t="shared" ref="T2957" si="824">+L2957*S2957</f>
        <v>0</v>
      </c>
      <c r="U2957" s="72">
        <f t="shared" ref="U2957" si="825">+R2957-T2957</f>
        <v>329</v>
      </c>
      <c r="V2957" s="72">
        <f t="shared" ref="V2957" si="826">+U2957*0</f>
        <v>0</v>
      </c>
      <c r="W2957" s="72">
        <f t="shared" ref="W2957" si="827">+U2957-V2957</f>
        <v>329</v>
      </c>
      <c r="X2957" s="72">
        <v>0</v>
      </c>
      <c r="Y2957" s="14">
        <f t="shared" si="812"/>
        <v>0</v>
      </c>
      <c r="Z2957" s="11" t="s">
        <v>26</v>
      </c>
      <c r="AA2957" s="12" t="s">
        <v>31</v>
      </c>
    </row>
    <row r="2958" spans="1:27" x14ac:dyDescent="0.25">
      <c r="A2958" s="10">
        <v>45701</v>
      </c>
      <c r="B2958" s="11" t="s">
        <v>1387</v>
      </c>
      <c r="C2958" s="11" t="s">
        <v>5423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2">
        <f>M2958*P2958</f>
        <v>1600</v>
      </c>
      <c r="S2958" s="72">
        <v>0</v>
      </c>
      <c r="T2958" s="72">
        <f>M2958*S2958</f>
        <v>0</v>
      </c>
      <c r="U2958" s="72">
        <f>R2958-T2958</f>
        <v>1600</v>
      </c>
      <c r="V2958" s="72">
        <f>U2958*0</f>
        <v>0</v>
      </c>
      <c r="W2958" s="72">
        <f>+U2958-V2958</f>
        <v>1600</v>
      </c>
      <c r="X2958" s="72">
        <v>0</v>
      </c>
      <c r="Y2958" s="14">
        <f t="shared" si="812"/>
        <v>0</v>
      </c>
      <c r="Z2958" s="11" t="s">
        <v>26</v>
      </c>
      <c r="AA2958" s="12" t="s">
        <v>31</v>
      </c>
    </row>
    <row r="2959" spans="1:27" x14ac:dyDescent="0.25">
      <c r="A2959" s="10">
        <v>45701</v>
      </c>
      <c r="B2959" s="11" t="s">
        <v>5424</v>
      </c>
      <c r="C2959" s="11" t="s">
        <v>5425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4440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2">
        <f>+L2959*O2959</f>
        <v>1573.2</v>
      </c>
      <c r="S2959" s="72">
        <v>0</v>
      </c>
      <c r="T2959" s="72">
        <f>+L2959*S2959</f>
        <v>0</v>
      </c>
      <c r="U2959" s="72">
        <f t="shared" ref="U2959" si="828">+R2959-T2959</f>
        <v>1573.2</v>
      </c>
      <c r="V2959" s="72">
        <f>+U2959*1</f>
        <v>1573.2</v>
      </c>
      <c r="W2959" s="72">
        <f t="shared" ref="W2959" si="829">+U2959-V2959</f>
        <v>0</v>
      </c>
      <c r="X2959" s="72">
        <v>0</v>
      </c>
      <c r="Y2959" s="14">
        <f t="shared" si="812"/>
        <v>0</v>
      </c>
      <c r="Z2959" s="11" t="s">
        <v>26</v>
      </c>
      <c r="AA2959" s="12" t="s">
        <v>31</v>
      </c>
    </row>
    <row r="2960" spans="1:27" x14ac:dyDescent="0.25">
      <c r="A2960" s="10">
        <v>45701</v>
      </c>
      <c r="B2960" s="11" t="s">
        <v>5426</v>
      </c>
      <c r="C2960" s="11" t="s">
        <v>5427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2">
        <f>M2960*P2960</f>
        <v>1500</v>
      </c>
      <c r="S2960" s="72">
        <v>0</v>
      </c>
      <c r="T2960" s="72">
        <f>M2960*S2960</f>
        <v>0</v>
      </c>
      <c r="U2960" s="72">
        <f>R2960-T2960</f>
        <v>1500</v>
      </c>
      <c r="V2960" s="72">
        <f>U2960*0</f>
        <v>0</v>
      </c>
      <c r="W2960" s="72">
        <f>U2960-V2960</f>
        <v>1500</v>
      </c>
      <c r="X2960" s="72">
        <v>0</v>
      </c>
      <c r="Y2960" s="14">
        <f t="shared" si="812"/>
        <v>0</v>
      </c>
      <c r="Z2960" s="11" t="s">
        <v>26</v>
      </c>
      <c r="AA2960" s="12" t="s">
        <v>31</v>
      </c>
    </row>
    <row r="2961" spans="1:27" x14ac:dyDescent="0.25">
      <c r="A2961" s="10">
        <v>45701</v>
      </c>
      <c r="B2961" s="11" t="s">
        <v>695</v>
      </c>
      <c r="C2961" s="11" t="s">
        <v>5428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1926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2">
        <f>M2961*P2961</f>
        <v>1350</v>
      </c>
      <c r="S2961" s="72">
        <v>0</v>
      </c>
      <c r="T2961" s="72">
        <f>M2961*S2961</f>
        <v>0</v>
      </c>
      <c r="U2961" s="72">
        <f t="shared" ref="U2961" si="830">R2961-T2961</f>
        <v>1350</v>
      </c>
      <c r="V2961" s="72">
        <f>U2961*1</f>
        <v>1350</v>
      </c>
      <c r="W2961" s="72">
        <f>U2961-V2961</f>
        <v>0</v>
      </c>
      <c r="X2961" s="72">
        <v>0</v>
      </c>
      <c r="Y2961" s="14">
        <f t="shared" si="812"/>
        <v>0</v>
      </c>
      <c r="Z2961" s="11" t="s">
        <v>26</v>
      </c>
      <c r="AA2961" s="12" t="s">
        <v>31</v>
      </c>
    </row>
    <row r="2962" spans="1:27" x14ac:dyDescent="0.25">
      <c r="A2962" s="10">
        <v>45701</v>
      </c>
      <c r="B2962" s="11" t="s">
        <v>5429</v>
      </c>
      <c r="C2962" s="11" t="s">
        <v>5430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2">
        <f>(L2962*O2962)-Q2962</f>
        <v>738</v>
      </c>
      <c r="S2962" s="72">
        <v>0</v>
      </c>
      <c r="T2962" s="72">
        <f t="shared" ref="T2962" si="831">+L2962*S2962</f>
        <v>0</v>
      </c>
      <c r="U2962" s="72">
        <f t="shared" ref="U2962" si="832">+R2962-T2962</f>
        <v>738</v>
      </c>
      <c r="V2962" s="72">
        <f t="shared" ref="V2962" si="833">+U2962*0</f>
        <v>0</v>
      </c>
      <c r="W2962" s="72">
        <f t="shared" ref="W2962" si="834">+U2962-V2962</f>
        <v>738</v>
      </c>
      <c r="X2962" s="72">
        <v>0</v>
      </c>
      <c r="Y2962" s="14">
        <f t="shared" si="812"/>
        <v>0</v>
      </c>
      <c r="Z2962" s="11" t="s">
        <v>26</v>
      </c>
      <c r="AA2962" s="12" t="s">
        <v>31</v>
      </c>
    </row>
    <row r="2963" spans="1:27" x14ac:dyDescent="0.25">
      <c r="A2963" s="10">
        <v>45701</v>
      </c>
      <c r="B2963" s="11" t="s">
        <v>5431</v>
      </c>
      <c r="C2963" s="11" t="s">
        <v>5432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4465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2">
        <f>+L2963*O2963</f>
        <v>2054.4500000000003</v>
      </c>
      <c r="S2963" s="72">
        <v>0</v>
      </c>
      <c r="T2963" s="72">
        <f>+L2963*S2963</f>
        <v>0</v>
      </c>
      <c r="U2963" s="72">
        <f>+R2963-T2963</f>
        <v>2054.4500000000003</v>
      </c>
      <c r="V2963" s="72">
        <f>+U2963*0.75</f>
        <v>1540.8375000000001</v>
      </c>
      <c r="W2963" s="72">
        <f>+U2963-V2963</f>
        <v>513.61250000000018</v>
      </c>
      <c r="X2963" s="72">
        <v>0</v>
      </c>
      <c r="Y2963" s="14">
        <f t="shared" si="812"/>
        <v>0</v>
      </c>
      <c r="Z2963" s="11" t="s">
        <v>26</v>
      </c>
      <c r="AA2963" s="12" t="s">
        <v>31</v>
      </c>
    </row>
    <row r="2964" spans="1:27" x14ac:dyDescent="0.25">
      <c r="A2964" s="10">
        <v>45701</v>
      </c>
      <c r="B2964" s="11" t="s">
        <v>5433</v>
      </c>
      <c r="C2964" s="11" t="s">
        <v>5434</v>
      </c>
      <c r="D2964" s="11">
        <v>17503</v>
      </c>
      <c r="E2964" s="11" t="s">
        <v>5435</v>
      </c>
      <c r="F2964" s="11" t="s">
        <v>26</v>
      </c>
      <c r="G2964" s="11">
        <v>44332</v>
      </c>
      <c r="H2964" s="12" t="s">
        <v>4440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2">
        <f>+L2964*O2964</f>
        <v>1565.1000000000001</v>
      </c>
      <c r="S2964" s="72">
        <v>0</v>
      </c>
      <c r="T2964" s="72">
        <f>+L2964*S2964</f>
        <v>0</v>
      </c>
      <c r="U2964" s="72">
        <f t="shared" ref="U2964" si="835">+R2964-T2964</f>
        <v>1565.1000000000001</v>
      </c>
      <c r="V2964" s="72">
        <f>+U2964*1</f>
        <v>1565.1000000000001</v>
      </c>
      <c r="W2964" s="72">
        <f t="shared" ref="W2964" si="836">+U2964-V2964</f>
        <v>0</v>
      </c>
      <c r="X2964" s="72">
        <v>0</v>
      </c>
      <c r="Y2964" s="14">
        <f t="shared" si="812"/>
        <v>0</v>
      </c>
      <c r="Z2964" s="11" t="s">
        <v>26</v>
      </c>
      <c r="AA2964" s="12" t="s">
        <v>31</v>
      </c>
    </row>
    <row r="2965" spans="1:27" x14ac:dyDescent="0.25">
      <c r="A2965" s="10">
        <v>45701</v>
      </c>
      <c r="B2965" s="11" t="s">
        <v>5436</v>
      </c>
      <c r="C2965" s="11" t="s">
        <v>5437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4463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2">
        <f t="shared" ref="R2965" si="837">+L2965*O2965</f>
        <v>1543.52</v>
      </c>
      <c r="S2965" s="72">
        <v>0</v>
      </c>
      <c r="T2965" s="72">
        <f>+L2965*S2965</f>
        <v>0</v>
      </c>
      <c r="U2965" s="72">
        <f>+R2965-T2965</f>
        <v>1543.52</v>
      </c>
      <c r="V2965" s="72">
        <f>+U2965*1</f>
        <v>1543.52</v>
      </c>
      <c r="W2965" s="72">
        <f>+U2965-V2965</f>
        <v>0</v>
      </c>
      <c r="X2965" s="72">
        <v>0</v>
      </c>
      <c r="Y2965" s="14">
        <f t="shared" si="812"/>
        <v>0</v>
      </c>
      <c r="Z2965" s="11" t="s">
        <v>26</v>
      </c>
      <c r="AA2965" s="12" t="s">
        <v>31</v>
      </c>
    </row>
    <row r="2966" spans="1:27" x14ac:dyDescent="0.25">
      <c r="A2966" s="10">
        <v>45701</v>
      </c>
      <c r="B2966" s="11" t="s">
        <v>5438</v>
      </c>
      <c r="C2966" s="11" t="s">
        <v>5439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2">
        <f>+L2966*O2966</f>
        <v>3934.84</v>
      </c>
      <c r="S2966" s="72">
        <v>40</v>
      </c>
      <c r="T2966" s="72">
        <f>L2966*S2966</f>
        <v>1729.6000000000001</v>
      </c>
      <c r="U2966" s="72">
        <f t="shared" ref="U2966" si="838">R2966-T2966</f>
        <v>2205.2399999999998</v>
      </c>
      <c r="V2966" s="72">
        <f>U2966*1</f>
        <v>2205.2399999999998</v>
      </c>
      <c r="W2966" s="72">
        <f t="shared" ref="W2966" si="839">U2966-V2966</f>
        <v>0</v>
      </c>
      <c r="X2966" s="72">
        <f>L2966*36</f>
        <v>1556.64</v>
      </c>
      <c r="Y2966" s="73">
        <f>+T2966-X2966</f>
        <v>172.96000000000004</v>
      </c>
      <c r="Z2966" s="12" t="s">
        <v>141</v>
      </c>
      <c r="AA2966" s="12" t="s">
        <v>79</v>
      </c>
    </row>
    <row r="2967" spans="1:27" x14ac:dyDescent="0.25">
      <c r="A2967" s="10">
        <v>45701</v>
      </c>
      <c r="B2967" s="11" t="s">
        <v>5440</v>
      </c>
      <c r="C2967" s="11" t="s">
        <v>5441</v>
      </c>
      <c r="D2967" s="11">
        <v>17506</v>
      </c>
      <c r="E2967" s="11" t="s">
        <v>5226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2">
        <f>(L2967*O2967)-Q2967</f>
        <v>556.48</v>
      </c>
      <c r="S2967" s="72">
        <v>0</v>
      </c>
      <c r="T2967" s="72">
        <f t="shared" ref="T2967" si="840">+L2967*S2967</f>
        <v>0</v>
      </c>
      <c r="U2967" s="72">
        <f t="shared" ref="U2967" si="841">+R2967-T2967</f>
        <v>556.48</v>
      </c>
      <c r="V2967" s="72">
        <f>+U2967*0</f>
        <v>0</v>
      </c>
      <c r="W2967" s="72">
        <f t="shared" ref="W2967" si="842">+U2967-V2967</f>
        <v>556.48</v>
      </c>
      <c r="X2967" s="72">
        <v>0</v>
      </c>
      <c r="Y2967" s="14">
        <f t="shared" si="812"/>
        <v>0</v>
      </c>
      <c r="Z2967" s="11" t="s">
        <v>26</v>
      </c>
      <c r="AA2967" s="12" t="s">
        <v>31</v>
      </c>
    </row>
    <row r="2968" spans="1:27" x14ac:dyDescent="0.25">
      <c r="A2968" s="10">
        <v>45701</v>
      </c>
      <c r="B2968" s="11" t="s">
        <v>5442</v>
      </c>
      <c r="C2968" s="11" t="s">
        <v>5443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2">
        <f>+L2968*O2968</f>
        <v>1640.8000000000002</v>
      </c>
      <c r="S2968" s="72">
        <v>0</v>
      </c>
      <c r="T2968" s="72">
        <f>+L2968*S2968</f>
        <v>0</v>
      </c>
      <c r="U2968" s="72">
        <f>+R2968-T2968</f>
        <v>1640.8000000000002</v>
      </c>
      <c r="V2968" s="72">
        <f t="shared" ref="V2968:V2969" si="843">+U2968*0</f>
        <v>0</v>
      </c>
      <c r="W2968" s="72">
        <f>+U2968-V2968</f>
        <v>1640.8000000000002</v>
      </c>
      <c r="X2968" s="72">
        <v>0</v>
      </c>
      <c r="Y2968" s="14">
        <f t="shared" si="812"/>
        <v>0</v>
      </c>
      <c r="Z2968" s="11" t="s">
        <v>26</v>
      </c>
      <c r="AA2968" s="12" t="s">
        <v>31</v>
      </c>
    </row>
    <row r="2969" spans="1:27" x14ac:dyDescent="0.25">
      <c r="A2969" s="10">
        <v>45701</v>
      </c>
      <c r="B2969" s="11" t="s">
        <v>342</v>
      </c>
      <c r="C2969" s="11" t="s">
        <v>5444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35</v>
      </c>
      <c r="P2969" s="13"/>
      <c r="Q2969" s="13">
        <v>0</v>
      </c>
      <c r="R2969" s="72">
        <f>+L2969*O2969</f>
        <v>1516.9</v>
      </c>
      <c r="S2969" s="72">
        <v>0</v>
      </c>
      <c r="T2969" s="72">
        <f>+L2969*S2969</f>
        <v>0</v>
      </c>
      <c r="U2969" s="72">
        <f>+R2969-T2969</f>
        <v>1516.9</v>
      </c>
      <c r="V2969" s="72">
        <f t="shared" si="843"/>
        <v>0</v>
      </c>
      <c r="W2969" s="72">
        <f>+U2969-V2969</f>
        <v>1516.9</v>
      </c>
      <c r="X2969" s="72">
        <v>0</v>
      </c>
      <c r="Y2969" s="14">
        <f t="shared" si="812"/>
        <v>0</v>
      </c>
      <c r="Z2969" s="11" t="s">
        <v>26</v>
      </c>
      <c r="AA2969" s="12" t="s">
        <v>31</v>
      </c>
    </row>
    <row r="2970" spans="1:27" x14ac:dyDescent="0.25">
      <c r="A2970" s="10">
        <v>45701</v>
      </c>
      <c r="B2970" s="11" t="s">
        <v>5445</v>
      </c>
      <c r="C2970" s="11" t="s">
        <v>5446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4465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2">
        <f>+L2970*O2970</f>
        <v>606</v>
      </c>
      <c r="S2970" s="72">
        <v>0</v>
      </c>
      <c r="T2970" s="72">
        <f>+L2970*S2970</f>
        <v>0</v>
      </c>
      <c r="U2970" s="72">
        <f>+R2970-T2970</f>
        <v>606</v>
      </c>
      <c r="V2970" s="72">
        <f>+U2970*0.75</f>
        <v>454.5</v>
      </c>
      <c r="W2970" s="72">
        <f>+U2970-V2970</f>
        <v>151.5</v>
      </c>
      <c r="X2970" s="72">
        <v>0</v>
      </c>
      <c r="Y2970" s="14">
        <f t="shared" si="812"/>
        <v>0</v>
      </c>
      <c r="Z2970" s="11" t="s">
        <v>26</v>
      </c>
      <c r="AA2970" s="12" t="s">
        <v>31</v>
      </c>
    </row>
    <row r="2971" spans="1:27" x14ac:dyDescent="0.25">
      <c r="A2971" s="10">
        <v>45701</v>
      </c>
      <c r="B2971" s="11" t="s">
        <v>5447</v>
      </c>
      <c r="C2971" s="11" t="s">
        <v>5448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6345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2">
        <f>L2971*O2971</f>
        <v>1367.65</v>
      </c>
      <c r="S2971" s="72">
        <v>0</v>
      </c>
      <c r="T2971" s="72">
        <f>+L2971*S2971</f>
        <v>0</v>
      </c>
      <c r="U2971" s="72">
        <f>R2971-T2971</f>
        <v>1367.65</v>
      </c>
      <c r="V2971" s="72">
        <f>U2971*0</f>
        <v>0</v>
      </c>
      <c r="W2971" s="72">
        <f>U2971-V2971</f>
        <v>1367.65</v>
      </c>
      <c r="X2971" s="72"/>
      <c r="Y2971" s="14">
        <f t="shared" si="812"/>
        <v>0</v>
      </c>
      <c r="Z2971" s="11" t="s">
        <v>26</v>
      </c>
      <c r="AA2971" s="12" t="s">
        <v>31</v>
      </c>
    </row>
    <row r="2972" spans="1:27" x14ac:dyDescent="0.25">
      <c r="A2972" s="10">
        <v>45701</v>
      </c>
      <c r="B2972" s="11" t="s">
        <v>2519</v>
      </c>
      <c r="C2972" s="11" t="s">
        <v>5449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4465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2">
        <f>+L2972*O2972</f>
        <v>585.6</v>
      </c>
      <c r="S2972" s="72">
        <v>0</v>
      </c>
      <c r="T2972" s="72">
        <f>+L2972*S2972</f>
        <v>0</v>
      </c>
      <c r="U2972" s="72">
        <f>+R2972-T2972</f>
        <v>585.6</v>
      </c>
      <c r="V2972" s="72">
        <f>+U2972*0.75</f>
        <v>439.20000000000005</v>
      </c>
      <c r="W2972" s="72">
        <f>+U2972-V2972</f>
        <v>146.39999999999998</v>
      </c>
      <c r="X2972" s="72">
        <v>0</v>
      </c>
      <c r="Y2972" s="14">
        <f t="shared" si="812"/>
        <v>0</v>
      </c>
      <c r="Z2972" s="11" t="s">
        <v>26</v>
      </c>
      <c r="AA2972" s="12" t="s">
        <v>31</v>
      </c>
    </row>
    <row r="2973" spans="1:27" x14ac:dyDescent="0.25">
      <c r="A2973" s="10">
        <v>45701</v>
      </c>
      <c r="B2973" s="11" t="s">
        <v>5450</v>
      </c>
      <c r="C2973" s="11" t="s">
        <v>5451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4439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2">
        <f>L2973*O2973</f>
        <v>3559.0400000000004</v>
      </c>
      <c r="S2973" s="72">
        <v>38</v>
      </c>
      <c r="T2973" s="72">
        <f>L2973*S2973</f>
        <v>1629.44</v>
      </c>
      <c r="U2973" s="72">
        <f>R2973-T2973</f>
        <v>1929.6000000000004</v>
      </c>
      <c r="V2973" s="72">
        <f>U2973*1</f>
        <v>1929.6000000000004</v>
      </c>
      <c r="W2973" s="72">
        <f>U2973-V2973</f>
        <v>0</v>
      </c>
      <c r="X2973" s="72">
        <f>L2973*36</f>
        <v>1543.68</v>
      </c>
      <c r="Y2973" s="73">
        <f>+T2973-X2973</f>
        <v>85.759999999999991</v>
      </c>
      <c r="Z2973" s="12" t="s">
        <v>6345</v>
      </c>
      <c r="AA2973" s="12" t="s">
        <v>78</v>
      </c>
    </row>
    <row r="2974" spans="1:27" x14ac:dyDescent="0.25">
      <c r="A2974" s="10">
        <v>45701</v>
      </c>
      <c r="B2974" s="11" t="s">
        <v>5452</v>
      </c>
      <c r="C2974" s="11" t="s">
        <v>5453</v>
      </c>
      <c r="D2974" s="11">
        <v>17513</v>
      </c>
      <c r="E2974" s="11" t="s">
        <v>1217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2">
        <f>M2974*P2974</f>
        <v>1500</v>
      </c>
      <c r="S2974" s="72">
        <v>0</v>
      </c>
      <c r="T2974" s="72">
        <f>M2974*S2974</f>
        <v>0</v>
      </c>
      <c r="U2974" s="72">
        <f>R2974-T2974</f>
        <v>1500</v>
      </c>
      <c r="V2974" s="72">
        <f>U2974*0</f>
        <v>0</v>
      </c>
      <c r="W2974" s="72">
        <f>U2974-V2974</f>
        <v>1500</v>
      </c>
      <c r="X2974" s="72">
        <v>0</v>
      </c>
      <c r="Y2974" s="14">
        <f t="shared" si="812"/>
        <v>0</v>
      </c>
      <c r="Z2974" s="11" t="s">
        <v>26</v>
      </c>
      <c r="AA2974" s="12" t="s">
        <v>31</v>
      </c>
    </row>
    <row r="2975" spans="1:27" x14ac:dyDescent="0.25">
      <c r="A2975" s="10">
        <v>45701</v>
      </c>
      <c r="B2975" s="11" t="s">
        <v>5454</v>
      </c>
      <c r="C2975" s="11" t="s">
        <v>5455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2">
        <f>M2975*P2975</f>
        <v>1450</v>
      </c>
      <c r="S2975" s="72">
        <v>0</v>
      </c>
      <c r="T2975" s="72">
        <f>M2975*S2975</f>
        <v>0</v>
      </c>
      <c r="U2975" s="72">
        <f>R2975-T2975</f>
        <v>1450</v>
      </c>
      <c r="V2975" s="72">
        <f t="shared" ref="V2975:V2976" si="844">U2975*0</f>
        <v>0</v>
      </c>
      <c r="W2975" s="72">
        <f t="shared" ref="W2975:W2976" si="845">U2975-V2975</f>
        <v>1450</v>
      </c>
      <c r="X2975" s="72">
        <v>0</v>
      </c>
      <c r="Y2975" s="14">
        <f t="shared" si="812"/>
        <v>0</v>
      </c>
      <c r="Z2975" s="11" t="s">
        <v>26</v>
      </c>
      <c r="AA2975" s="12" t="s">
        <v>31</v>
      </c>
    </row>
    <row r="2976" spans="1:27" x14ac:dyDescent="0.25">
      <c r="A2976" s="10">
        <v>45701</v>
      </c>
      <c r="B2976" s="11" t="s">
        <v>450</v>
      </c>
      <c r="C2976" s="11" t="s">
        <v>5456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2">
        <f>M2976*P2976</f>
        <v>1450</v>
      </c>
      <c r="S2976" s="72">
        <v>0</v>
      </c>
      <c r="T2976" s="72">
        <f>M2976*S2976</f>
        <v>0</v>
      </c>
      <c r="U2976" s="72">
        <f>R2976-T2976</f>
        <v>1450</v>
      </c>
      <c r="V2976" s="72">
        <f t="shared" si="844"/>
        <v>0</v>
      </c>
      <c r="W2976" s="72">
        <f t="shared" si="845"/>
        <v>1450</v>
      </c>
      <c r="X2976" s="72">
        <v>0</v>
      </c>
      <c r="Y2976" s="14">
        <f t="shared" si="812"/>
        <v>0</v>
      </c>
      <c r="Z2976" s="11" t="s">
        <v>26</v>
      </c>
      <c r="AA2976" s="12" t="s">
        <v>31</v>
      </c>
    </row>
    <row r="2977" spans="1:27" x14ac:dyDescent="0.25">
      <c r="A2977" s="10">
        <v>45701</v>
      </c>
      <c r="B2977" s="11" t="s">
        <v>2722</v>
      </c>
      <c r="C2977" s="11" t="s">
        <v>5457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2">
        <f>L2977*O2977</f>
        <v>1695.2</v>
      </c>
      <c r="S2977" s="72">
        <v>0</v>
      </c>
      <c r="T2977" s="72">
        <f>L2977*S2977</f>
        <v>0</v>
      </c>
      <c r="U2977" s="72">
        <f>R2977-T2977</f>
        <v>1695.2</v>
      </c>
      <c r="V2977" s="72">
        <f>U2977*0</f>
        <v>0</v>
      </c>
      <c r="W2977" s="72">
        <f>U2977-V2977</f>
        <v>1695.2</v>
      </c>
      <c r="X2977" s="72">
        <v>0</v>
      </c>
      <c r="Y2977" s="14">
        <f t="shared" si="812"/>
        <v>0</v>
      </c>
      <c r="Z2977" s="11" t="s">
        <v>26</v>
      </c>
      <c r="AA2977" s="12" t="s">
        <v>31</v>
      </c>
    </row>
    <row r="2978" spans="1:27" x14ac:dyDescent="0.25">
      <c r="A2978" s="10">
        <v>45701</v>
      </c>
      <c r="B2978" s="11" t="s">
        <v>5458</v>
      </c>
      <c r="C2978" s="11" t="s">
        <v>5459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2">
        <f>(L2978*O2978)-Q2978</f>
        <v>400</v>
      </c>
      <c r="S2978" s="72">
        <v>0</v>
      </c>
      <c r="T2978" s="72">
        <f t="shared" ref="T2978" si="846">+L2978*S2978</f>
        <v>0</v>
      </c>
      <c r="U2978" s="72">
        <f t="shared" ref="U2978" si="847">+R2978-T2978</f>
        <v>400</v>
      </c>
      <c r="V2978" s="72">
        <f t="shared" ref="V2978" si="848">+U2978*0</f>
        <v>0</v>
      </c>
      <c r="W2978" s="72">
        <f t="shared" ref="W2978" si="849">+U2978-V2978</f>
        <v>400</v>
      </c>
      <c r="X2978" s="72">
        <v>0</v>
      </c>
      <c r="Y2978" s="14">
        <f t="shared" si="812"/>
        <v>0</v>
      </c>
      <c r="Z2978" s="11" t="s">
        <v>26</v>
      </c>
      <c r="AA2978" s="12" t="s">
        <v>31</v>
      </c>
    </row>
    <row r="2979" spans="1:27" x14ac:dyDescent="0.25">
      <c r="A2979" s="10">
        <v>45701</v>
      </c>
      <c r="B2979" s="11" t="s">
        <v>452</v>
      </c>
      <c r="C2979" s="11" t="s">
        <v>5460</v>
      </c>
      <c r="D2979" s="11">
        <v>17519</v>
      </c>
      <c r="E2979" s="11" t="s">
        <v>4340</v>
      </c>
      <c r="F2979" s="11" t="s">
        <v>26</v>
      </c>
      <c r="G2979" s="11">
        <v>2961</v>
      </c>
      <c r="H2979" s="12" t="s">
        <v>4459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2">
        <f>L2979*O2979</f>
        <v>1735.1200000000001</v>
      </c>
      <c r="S2979" s="72">
        <v>0</v>
      </c>
      <c r="T2979" s="72">
        <f>L2979*S2979</f>
        <v>0</v>
      </c>
      <c r="U2979" s="72">
        <f>R2979-T2979</f>
        <v>1735.1200000000001</v>
      </c>
      <c r="V2979" s="72">
        <f>U2979*1</f>
        <v>1735.1200000000001</v>
      </c>
      <c r="W2979" s="72">
        <f>U2979-V2979</f>
        <v>0</v>
      </c>
      <c r="X2979" s="72">
        <v>0</v>
      </c>
      <c r="Y2979" s="14">
        <f t="shared" si="812"/>
        <v>0</v>
      </c>
      <c r="Z2979" s="11" t="s">
        <v>26</v>
      </c>
      <c r="AA2979" s="12" t="s">
        <v>31</v>
      </c>
    </row>
    <row r="2980" spans="1:27" x14ac:dyDescent="0.25">
      <c r="A2980" s="10">
        <v>45701</v>
      </c>
      <c r="B2980" s="11" t="s">
        <v>5461</v>
      </c>
      <c r="C2980" s="11" t="s">
        <v>5462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2">
        <f>(L2980*O2980)-Q2980</f>
        <v>295</v>
      </c>
      <c r="S2980" s="72">
        <v>0</v>
      </c>
      <c r="T2980" s="72">
        <f t="shared" ref="T2980" si="850">+L2980*S2980</f>
        <v>0</v>
      </c>
      <c r="U2980" s="72">
        <f t="shared" ref="U2980" si="851">+R2980-T2980</f>
        <v>295</v>
      </c>
      <c r="V2980" s="72">
        <f t="shared" ref="V2980" si="852">+U2980*0</f>
        <v>0</v>
      </c>
      <c r="W2980" s="72">
        <f t="shared" ref="W2980" si="853">+U2980-V2980</f>
        <v>295</v>
      </c>
      <c r="X2980" s="72">
        <v>0</v>
      </c>
      <c r="Y2980" s="14">
        <f t="shared" si="812"/>
        <v>0</v>
      </c>
      <c r="Z2980" s="11" t="s">
        <v>26</v>
      </c>
      <c r="AA2980" s="12" t="s">
        <v>31</v>
      </c>
    </row>
    <row r="2981" spans="1:27" x14ac:dyDescent="0.25">
      <c r="A2981" s="10">
        <v>45701</v>
      </c>
      <c r="B2981" s="11" t="s">
        <v>1444</v>
      </c>
      <c r="C2981" s="11" t="s">
        <v>5463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1926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2">
        <f>M2981*P2981</f>
        <v>1350</v>
      </c>
      <c r="S2981" s="72">
        <v>0</v>
      </c>
      <c r="T2981" s="72">
        <f>M2981*S2981</f>
        <v>0</v>
      </c>
      <c r="U2981" s="72">
        <f t="shared" ref="U2981" si="854">R2981-T2981</f>
        <v>1350</v>
      </c>
      <c r="V2981" s="72">
        <f>U2981*1</f>
        <v>1350</v>
      </c>
      <c r="W2981" s="72">
        <f>U2981-V2981</f>
        <v>0</v>
      </c>
      <c r="X2981" s="72">
        <v>0</v>
      </c>
      <c r="Y2981" s="14">
        <f t="shared" si="812"/>
        <v>0</v>
      </c>
      <c r="Z2981" s="11" t="s">
        <v>26</v>
      </c>
      <c r="AA2981" s="12" t="s">
        <v>31</v>
      </c>
    </row>
    <row r="2982" spans="1:27" x14ac:dyDescent="0.25">
      <c r="A2982" s="10">
        <v>45701</v>
      </c>
      <c r="B2982" s="11" t="s">
        <v>750</v>
      </c>
      <c r="C2982" s="11" t="s">
        <v>5464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4440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2">
        <f>+L2982*O2982</f>
        <v>1601.1</v>
      </c>
      <c r="S2982" s="72">
        <v>0</v>
      </c>
      <c r="T2982" s="72">
        <f>+L2982*S2982</f>
        <v>0</v>
      </c>
      <c r="U2982" s="72">
        <f t="shared" ref="U2982" si="855">+R2982-T2982</f>
        <v>1601.1</v>
      </c>
      <c r="V2982" s="72">
        <f>+U2982*1</f>
        <v>1601.1</v>
      </c>
      <c r="W2982" s="72">
        <f t="shared" ref="W2982" si="856">+U2982-V2982</f>
        <v>0</v>
      </c>
      <c r="X2982" s="72">
        <v>0</v>
      </c>
      <c r="Y2982" s="14">
        <f t="shared" si="812"/>
        <v>0</v>
      </c>
      <c r="Z2982" s="11" t="s">
        <v>26</v>
      </c>
      <c r="AA2982" s="12" t="s">
        <v>31</v>
      </c>
    </row>
    <row r="2983" spans="1:27" x14ac:dyDescent="0.25">
      <c r="A2983" s="10">
        <v>45701</v>
      </c>
      <c r="B2983" s="11" t="s">
        <v>723</v>
      </c>
      <c r="C2983" s="11" t="s">
        <v>5465</v>
      </c>
      <c r="D2983" s="11">
        <v>17523</v>
      </c>
      <c r="E2983" s="11" t="s">
        <v>659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2">
        <f>L2983*O2983</f>
        <v>592.5</v>
      </c>
      <c r="S2983" s="72">
        <v>0</v>
      </c>
      <c r="T2983" s="72">
        <f>L2983*S2983</f>
        <v>0</v>
      </c>
      <c r="U2983" s="72">
        <f>R2983-T2983</f>
        <v>592.5</v>
      </c>
      <c r="V2983" s="72">
        <f>U2983*0</f>
        <v>0</v>
      </c>
      <c r="W2983" s="72">
        <f>U2983-V2983</f>
        <v>592.5</v>
      </c>
      <c r="X2983" s="72">
        <v>0</v>
      </c>
      <c r="Y2983" s="14">
        <f t="shared" si="812"/>
        <v>0</v>
      </c>
      <c r="Z2983" s="11" t="s">
        <v>26</v>
      </c>
      <c r="AA2983" s="12" t="s">
        <v>31</v>
      </c>
    </row>
    <row r="2984" spans="1:27" x14ac:dyDescent="0.25">
      <c r="A2984" s="10">
        <v>45701</v>
      </c>
      <c r="B2984" s="11" t="s">
        <v>5466</v>
      </c>
      <c r="C2984" s="11" t="s">
        <v>5467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2">
        <f>M2984*P2984</f>
        <v>1600</v>
      </c>
      <c r="S2984" s="72">
        <v>0</v>
      </c>
      <c r="T2984" s="72">
        <f>M2984*S2984</f>
        <v>0</v>
      </c>
      <c r="U2984" s="72">
        <f>R2984-T2984</f>
        <v>1600</v>
      </c>
      <c r="V2984" s="72">
        <f>U2984*0</f>
        <v>0</v>
      </c>
      <c r="W2984" s="72">
        <f>+U2984-V2984</f>
        <v>1600</v>
      </c>
      <c r="X2984" s="72">
        <v>0</v>
      </c>
      <c r="Y2984" s="14">
        <f t="shared" si="812"/>
        <v>0</v>
      </c>
      <c r="Z2984" s="11" t="s">
        <v>26</v>
      </c>
      <c r="AA2984" s="12" t="s">
        <v>31</v>
      </c>
    </row>
    <row r="2985" spans="1:27" x14ac:dyDescent="0.25">
      <c r="A2985" s="10">
        <v>45701</v>
      </c>
      <c r="B2985" s="11" t="s">
        <v>1825</v>
      </c>
      <c r="C2985" s="11" t="s">
        <v>5468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2">
        <f>L2985*O2985</f>
        <v>1039.5</v>
      </c>
      <c r="S2985" s="72">
        <v>0</v>
      </c>
      <c r="T2985" s="72">
        <f>L2985*S2985</f>
        <v>0</v>
      </c>
      <c r="U2985" s="72">
        <f>R2985-T2985</f>
        <v>1039.5</v>
      </c>
      <c r="V2985" s="72">
        <f>U2985*0</f>
        <v>0</v>
      </c>
      <c r="W2985" s="72">
        <f>U2985-V2985</f>
        <v>1039.5</v>
      </c>
      <c r="X2985" s="72">
        <v>0</v>
      </c>
      <c r="Y2985" s="14">
        <f t="shared" si="812"/>
        <v>0</v>
      </c>
      <c r="Z2985" s="11" t="s">
        <v>26</v>
      </c>
      <c r="AA2985" s="12" t="s">
        <v>31</v>
      </c>
    </row>
    <row r="2986" spans="1:27" x14ac:dyDescent="0.25">
      <c r="A2986" s="10">
        <v>45701</v>
      </c>
      <c r="B2986" s="11" t="s">
        <v>374</v>
      </c>
      <c r="C2986" s="11" t="s">
        <v>5469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4440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2">
        <f>+L2986*O2986</f>
        <v>649.40000000000009</v>
      </c>
      <c r="S2986" s="72">
        <v>0</v>
      </c>
      <c r="T2986" s="72">
        <f>+L2986*S2986</f>
        <v>0</v>
      </c>
      <c r="U2986" s="72">
        <f t="shared" ref="U2986" si="857">+R2986-T2986</f>
        <v>649.40000000000009</v>
      </c>
      <c r="V2986" s="72">
        <f>+U2986*1</f>
        <v>649.40000000000009</v>
      </c>
      <c r="W2986" s="72">
        <f t="shared" ref="W2986" si="858">+U2986-V2986</f>
        <v>0</v>
      </c>
      <c r="X2986" s="72">
        <v>0</v>
      </c>
      <c r="Y2986" s="14">
        <f t="shared" si="812"/>
        <v>0</v>
      </c>
      <c r="Z2986" s="11" t="s">
        <v>26</v>
      </c>
      <c r="AA2986" s="12" t="s">
        <v>31</v>
      </c>
    </row>
    <row r="2987" spans="1:27" x14ac:dyDescent="0.25">
      <c r="A2987" s="10">
        <v>45701</v>
      </c>
      <c r="B2987" s="11" t="s">
        <v>5470</v>
      </c>
      <c r="C2987" s="11" t="s">
        <v>5471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2">
        <f>+L2987*O2987</f>
        <v>3967.6</v>
      </c>
      <c r="S2987" s="72">
        <v>40</v>
      </c>
      <c r="T2987" s="72">
        <f>L2987*S2987</f>
        <v>1744</v>
      </c>
      <c r="U2987" s="72">
        <f t="shared" ref="U2987" si="859">R2987-T2987</f>
        <v>2223.6</v>
      </c>
      <c r="V2987" s="72">
        <f>U2987*1</f>
        <v>2223.6</v>
      </c>
      <c r="W2987" s="72">
        <f t="shared" ref="W2987" si="860">U2987-V2987</f>
        <v>0</v>
      </c>
      <c r="X2987" s="72">
        <f>L2987*36</f>
        <v>1569.6000000000001</v>
      </c>
      <c r="Y2987" s="73">
        <f>+T2987-X2987</f>
        <v>174.39999999999986</v>
      </c>
      <c r="Z2987" s="12" t="s">
        <v>141</v>
      </c>
      <c r="AA2987" s="12" t="s">
        <v>79</v>
      </c>
    </row>
    <row r="2988" spans="1:27" x14ac:dyDescent="0.25">
      <c r="A2988" s="10">
        <v>45701</v>
      </c>
      <c r="B2988" s="11" t="s">
        <v>5472</v>
      </c>
      <c r="C2988" s="11" t="s">
        <v>5473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2">
        <f>+M2988*P2988</f>
        <v>1500</v>
      </c>
      <c r="S2988" s="72">
        <v>0</v>
      </c>
      <c r="T2988" s="72">
        <f>+M2988*S2988</f>
        <v>0</v>
      </c>
      <c r="U2988" s="72">
        <f t="shared" ref="U2988" si="861">+R2988-T2988</f>
        <v>1500</v>
      </c>
      <c r="V2988" s="72">
        <f>+U2988*0</f>
        <v>0</v>
      </c>
      <c r="W2988" s="72">
        <f t="shared" ref="W2988" si="862">+U2988-V2988</f>
        <v>1500</v>
      </c>
      <c r="X2988" s="72">
        <v>0</v>
      </c>
      <c r="Y2988" s="14">
        <f t="shared" si="812"/>
        <v>0</v>
      </c>
      <c r="Z2988" s="11" t="s">
        <v>26</v>
      </c>
      <c r="AA2988" s="12" t="s">
        <v>31</v>
      </c>
    </row>
    <row r="2989" spans="1:27" x14ac:dyDescent="0.25">
      <c r="A2989" s="10">
        <v>45701</v>
      </c>
      <c r="B2989" s="11" t="s">
        <v>5474</v>
      </c>
      <c r="C2989" s="11" t="s">
        <v>5475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2">
        <f>M2989*P2989</f>
        <v>1450</v>
      </c>
      <c r="S2989" s="72">
        <v>0</v>
      </c>
      <c r="T2989" s="72">
        <f>M2989*S2989</f>
        <v>0</v>
      </c>
      <c r="U2989" s="72">
        <f>R2989-T2989</f>
        <v>1450</v>
      </c>
      <c r="V2989" s="72">
        <f>U2989*0</f>
        <v>0</v>
      </c>
      <c r="W2989" s="72">
        <f>U2989-V2989</f>
        <v>1450</v>
      </c>
      <c r="X2989" s="72">
        <v>0</v>
      </c>
      <c r="Y2989" s="14">
        <f t="shared" si="812"/>
        <v>0</v>
      </c>
      <c r="Z2989" s="11" t="s">
        <v>26</v>
      </c>
      <c r="AA2989" s="12" t="s">
        <v>31</v>
      </c>
    </row>
    <row r="2990" spans="1:27" x14ac:dyDescent="0.25">
      <c r="A2990" s="10">
        <v>45701</v>
      </c>
      <c r="B2990" s="11" t="s">
        <v>5476</v>
      </c>
      <c r="C2990" s="11" t="s">
        <v>5477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2">
        <f>+M2990*P2990</f>
        <v>1500</v>
      </c>
      <c r="S2990" s="72">
        <v>0</v>
      </c>
      <c r="T2990" s="72">
        <f>+M2990*S2990</f>
        <v>0</v>
      </c>
      <c r="U2990" s="72">
        <f t="shared" ref="U2990:U2992" si="863">+R2990-T2990</f>
        <v>1500</v>
      </c>
      <c r="V2990" s="72">
        <f>+U2990*0</f>
        <v>0</v>
      </c>
      <c r="W2990" s="72">
        <f t="shared" ref="W2990:W2992" si="864">+U2990-V2990</f>
        <v>1500</v>
      </c>
      <c r="X2990" s="72">
        <v>0</v>
      </c>
      <c r="Y2990" s="14">
        <f t="shared" si="812"/>
        <v>0</v>
      </c>
      <c r="Z2990" s="11" t="s">
        <v>26</v>
      </c>
      <c r="AA2990" s="12" t="s">
        <v>31</v>
      </c>
    </row>
    <row r="2991" spans="1:27" x14ac:dyDescent="0.25">
      <c r="A2991" s="10">
        <v>45701</v>
      </c>
      <c r="B2991" s="11" t="s">
        <v>345</v>
      </c>
      <c r="C2991" s="11" t="s">
        <v>5478</v>
      </c>
      <c r="D2991" s="11">
        <v>17531</v>
      </c>
      <c r="E2991" s="11" t="s">
        <v>5226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2">
        <f>(L2991*O2991)-Q2991</f>
        <v>572.76</v>
      </c>
      <c r="S2991" s="72">
        <v>0</v>
      </c>
      <c r="T2991" s="72">
        <f t="shared" ref="T2991:T2992" si="865">+L2991*S2991</f>
        <v>0</v>
      </c>
      <c r="U2991" s="72">
        <f t="shared" si="863"/>
        <v>572.76</v>
      </c>
      <c r="V2991" s="72">
        <f>+U2991*0</f>
        <v>0</v>
      </c>
      <c r="W2991" s="72">
        <f t="shared" si="864"/>
        <v>572.76</v>
      </c>
      <c r="X2991" s="72">
        <v>0</v>
      </c>
      <c r="Y2991" s="14">
        <f t="shared" si="812"/>
        <v>0</v>
      </c>
      <c r="Z2991" s="11" t="s">
        <v>26</v>
      </c>
      <c r="AA2991" s="12" t="s">
        <v>31</v>
      </c>
    </row>
    <row r="2992" spans="1:27" x14ac:dyDescent="0.25">
      <c r="A2992" s="10">
        <v>45701</v>
      </c>
      <c r="B2992" s="11" t="s">
        <v>5479</v>
      </c>
      <c r="C2992" s="11" t="s">
        <v>5480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4440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2">
        <f t="shared" ref="R2992" si="866">+L2992*O2992</f>
        <v>1591.6000000000001</v>
      </c>
      <c r="S2992" s="72">
        <v>0</v>
      </c>
      <c r="T2992" s="72">
        <f t="shared" si="865"/>
        <v>0</v>
      </c>
      <c r="U2992" s="72">
        <f t="shared" si="863"/>
        <v>1591.6000000000001</v>
      </c>
      <c r="V2992" s="72">
        <f>+U2992*1</f>
        <v>1591.6000000000001</v>
      </c>
      <c r="W2992" s="72">
        <f t="shared" si="864"/>
        <v>0</v>
      </c>
      <c r="X2992" s="72">
        <v>0</v>
      </c>
      <c r="Y2992" s="14">
        <f t="shared" si="812"/>
        <v>0</v>
      </c>
      <c r="Z2992" s="11" t="s">
        <v>26</v>
      </c>
      <c r="AA2992" s="12" t="s">
        <v>31</v>
      </c>
    </row>
    <row r="2993" spans="1:27" x14ac:dyDescent="0.25">
      <c r="A2993" s="10">
        <v>45701</v>
      </c>
      <c r="B2993" s="11" t="s">
        <v>404</v>
      </c>
      <c r="C2993" s="11" t="s">
        <v>5481</v>
      </c>
      <c r="D2993" s="11">
        <v>17533</v>
      </c>
      <c r="E2993" s="11" t="s">
        <v>3803</v>
      </c>
      <c r="F2993" s="11" t="s">
        <v>26</v>
      </c>
      <c r="G2993" s="11">
        <v>24341</v>
      </c>
      <c r="H2993" s="12" t="s">
        <v>4465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2">
        <f>+L2993*O2993</f>
        <v>596.70000000000005</v>
      </c>
      <c r="S2993" s="72">
        <v>0</v>
      </c>
      <c r="T2993" s="72">
        <f>+L2993*S2993</f>
        <v>0</v>
      </c>
      <c r="U2993" s="72">
        <f>+R2993-T2993</f>
        <v>596.70000000000005</v>
      </c>
      <c r="V2993" s="72">
        <f>+U2993*0.75</f>
        <v>447.52500000000003</v>
      </c>
      <c r="W2993" s="72">
        <f>+U2993-V2993</f>
        <v>149.17500000000001</v>
      </c>
      <c r="X2993" s="72">
        <v>0</v>
      </c>
      <c r="Y2993" s="14">
        <f t="shared" si="812"/>
        <v>0</v>
      </c>
      <c r="Z2993" s="11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5482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6345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2">
        <f>L2994*O2994</f>
        <v>1681.3000000000002</v>
      </c>
      <c r="S2994" s="72">
        <v>0</v>
      </c>
      <c r="T2994" s="72">
        <f>+L2994*S2994</f>
        <v>0</v>
      </c>
      <c r="U2994" s="72">
        <f>R2994-T2994</f>
        <v>1681.3000000000002</v>
      </c>
      <c r="V2994" s="72">
        <f>U2994*0</f>
        <v>0</v>
      </c>
      <c r="W2994" s="72">
        <f>U2994-V2994</f>
        <v>1681.3000000000002</v>
      </c>
      <c r="X2994" s="72"/>
      <c r="Y2994" s="14">
        <f t="shared" si="812"/>
        <v>0</v>
      </c>
      <c r="Z2994" s="11" t="s">
        <v>26</v>
      </c>
      <c r="AA2994" s="12" t="s">
        <v>31</v>
      </c>
    </row>
    <row r="2995" spans="1:27" x14ac:dyDescent="0.25">
      <c r="A2995" s="10">
        <v>45701</v>
      </c>
      <c r="B2995" s="11" t="s">
        <v>5483</v>
      </c>
      <c r="C2995" s="11" t="s">
        <v>5484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2">
        <f>+L2995*O2995</f>
        <v>1699.1999999999998</v>
      </c>
      <c r="S2995" s="72">
        <v>0</v>
      </c>
      <c r="T2995" s="72">
        <f>+L2995*S2995</f>
        <v>0</v>
      </c>
      <c r="U2995" s="72">
        <f>+R2995-T2995</f>
        <v>1699.1999999999998</v>
      </c>
      <c r="V2995" s="72">
        <f t="shared" ref="V2995:V2996" si="867">+U2995*0</f>
        <v>0</v>
      </c>
      <c r="W2995" s="72">
        <f>+U2995-V2995</f>
        <v>1699.1999999999998</v>
      </c>
      <c r="X2995" s="72">
        <v>0</v>
      </c>
      <c r="Y2995" s="14">
        <f t="shared" si="812"/>
        <v>0</v>
      </c>
      <c r="Z2995" s="11" t="s">
        <v>26</v>
      </c>
      <c r="AA2995" s="12" t="s">
        <v>31</v>
      </c>
    </row>
    <row r="2996" spans="1:27" x14ac:dyDescent="0.25">
      <c r="A2996" s="10">
        <v>45701</v>
      </c>
      <c r="B2996" s="11" t="s">
        <v>5485</v>
      </c>
      <c r="C2996" s="11" t="s">
        <v>5486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2">
        <f>(L2996*O2996)-Q2996</f>
        <v>300</v>
      </c>
      <c r="S2996" s="72">
        <v>0</v>
      </c>
      <c r="T2996" s="72">
        <f t="shared" ref="T2996" si="868">+L2996*S2996</f>
        <v>0</v>
      </c>
      <c r="U2996" s="72">
        <f t="shared" ref="U2996" si="869">+R2996-T2996</f>
        <v>300</v>
      </c>
      <c r="V2996" s="72">
        <f t="shared" si="867"/>
        <v>0</v>
      </c>
      <c r="W2996" s="72">
        <f t="shared" ref="W2996" si="870">+U2996-V2996</f>
        <v>300</v>
      </c>
      <c r="X2996" s="72">
        <v>0</v>
      </c>
      <c r="Y2996" s="14">
        <f t="shared" si="812"/>
        <v>0</v>
      </c>
      <c r="Z2996" s="11" t="s">
        <v>26</v>
      </c>
      <c r="AA2996" s="12" t="s">
        <v>31</v>
      </c>
    </row>
    <row r="2997" spans="1:27" x14ac:dyDescent="0.25">
      <c r="A2997" s="10">
        <v>45701</v>
      </c>
      <c r="B2997" s="11" t="s">
        <v>5487</v>
      </c>
      <c r="C2997" s="11" t="s">
        <v>5488</v>
      </c>
      <c r="D2997" s="11">
        <v>17537</v>
      </c>
      <c r="E2997" s="11" t="s">
        <v>5489</v>
      </c>
      <c r="F2997" s="11" t="s">
        <v>26</v>
      </c>
      <c r="G2997" s="11">
        <v>112858</v>
      </c>
      <c r="H2997" s="12" t="s">
        <v>4463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2">
        <f t="shared" ref="R2997" si="871">+L2997*O2997</f>
        <v>1528.5600000000002</v>
      </c>
      <c r="S2997" s="72">
        <v>0</v>
      </c>
      <c r="T2997" s="72">
        <f>+L2997*S2997</f>
        <v>0</v>
      </c>
      <c r="U2997" s="72">
        <f>+R2997-T2997</f>
        <v>1528.5600000000002</v>
      </c>
      <c r="V2997" s="72">
        <f>+U2997*1</f>
        <v>1528.5600000000002</v>
      </c>
      <c r="W2997" s="72">
        <f>+U2997-V2997</f>
        <v>0</v>
      </c>
      <c r="X2997" s="72">
        <v>0</v>
      </c>
      <c r="Y2997" s="14">
        <f t="shared" si="812"/>
        <v>0</v>
      </c>
      <c r="Z2997" s="11" t="s">
        <v>26</v>
      </c>
      <c r="AA2997" s="12" t="s">
        <v>31</v>
      </c>
    </row>
    <row r="2998" spans="1:27" x14ac:dyDescent="0.25">
      <c r="A2998" s="10">
        <v>45701</v>
      </c>
      <c r="B2998" s="11" t="s">
        <v>5490</v>
      </c>
      <c r="C2998" s="11" t="s">
        <v>5491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4464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2">
        <f>+M2998*P2998</f>
        <v>819</v>
      </c>
      <c r="S2998" s="72">
        <v>0</v>
      </c>
      <c r="T2998" s="72">
        <f>+M2998*S2998</f>
        <v>0</v>
      </c>
      <c r="U2998" s="72">
        <f t="shared" ref="U2998:U2999" si="872">+R2998-T2998</f>
        <v>819</v>
      </c>
      <c r="V2998" s="72">
        <f>+U2998*1</f>
        <v>819</v>
      </c>
      <c r="W2998" s="72">
        <f t="shared" ref="W2998:W2999" si="873">+U2998-V2998</f>
        <v>0</v>
      </c>
      <c r="X2998" s="72">
        <v>0</v>
      </c>
      <c r="Y2998" s="14">
        <f t="shared" si="812"/>
        <v>0</v>
      </c>
      <c r="Z2998" s="11" t="s">
        <v>26</v>
      </c>
      <c r="AA2998" s="12" t="s">
        <v>31</v>
      </c>
    </row>
    <row r="2999" spans="1:27" x14ac:dyDescent="0.25">
      <c r="A2999" s="10">
        <v>45701</v>
      </c>
      <c r="B2999" s="11" t="s">
        <v>1400</v>
      </c>
      <c r="C2999" s="11" t="s">
        <v>5492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2">
        <f>+M2999*P2999</f>
        <v>1600</v>
      </c>
      <c r="S2999" s="72">
        <v>0</v>
      </c>
      <c r="T2999" s="72">
        <f>+M2999*S2999</f>
        <v>0</v>
      </c>
      <c r="U2999" s="72">
        <f t="shared" si="872"/>
        <v>1600</v>
      </c>
      <c r="V2999" s="72">
        <f t="shared" ref="V2999" si="874">+U2999*0</f>
        <v>0</v>
      </c>
      <c r="W2999" s="72">
        <f t="shared" si="873"/>
        <v>1600</v>
      </c>
      <c r="X2999" s="72">
        <v>0</v>
      </c>
      <c r="Y2999" s="14">
        <f t="shared" si="812"/>
        <v>0</v>
      </c>
      <c r="Z2999" s="11" t="s">
        <v>26</v>
      </c>
      <c r="AA2999" s="12" t="s">
        <v>31</v>
      </c>
    </row>
    <row r="3000" spans="1:27" x14ac:dyDescent="0.25">
      <c r="A3000" s="10">
        <v>45701</v>
      </c>
      <c r="B3000" s="11" t="s">
        <v>465</v>
      </c>
      <c r="C3000" s="11" t="s">
        <v>5493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6345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2">
        <f>L3000*O3000</f>
        <v>1406.75</v>
      </c>
      <c r="S3000" s="72">
        <v>0</v>
      </c>
      <c r="T3000" s="72">
        <f>+L3000*S3000</f>
        <v>0</v>
      </c>
      <c r="U3000" s="72">
        <f>R3000-T3000</f>
        <v>1406.75</v>
      </c>
      <c r="V3000" s="72">
        <f>U3000*0</f>
        <v>0</v>
      </c>
      <c r="W3000" s="72">
        <f>U3000-V3000</f>
        <v>1406.75</v>
      </c>
      <c r="X3000" s="72"/>
      <c r="Y3000" s="14">
        <f t="shared" si="812"/>
        <v>0</v>
      </c>
      <c r="Z3000" s="11" t="s">
        <v>26</v>
      </c>
      <c r="AA3000" s="12" t="s">
        <v>31</v>
      </c>
    </row>
    <row r="3001" spans="1:27" x14ac:dyDescent="0.25">
      <c r="A3001" s="10">
        <v>45701</v>
      </c>
      <c r="B3001" s="11" t="s">
        <v>5494</v>
      </c>
      <c r="C3001" s="11" t="s">
        <v>5495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4439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2">
        <f>L3001*O3001</f>
        <v>3580.9199999999996</v>
      </c>
      <c r="S3001" s="72">
        <v>38</v>
      </c>
      <c r="T3001" s="72">
        <f>L3001*S3001</f>
        <v>1564.08</v>
      </c>
      <c r="U3001" s="72">
        <f>R3001-T3001</f>
        <v>2016.8399999999997</v>
      </c>
      <c r="V3001" s="72">
        <f>U3001*1</f>
        <v>2016.8399999999997</v>
      </c>
      <c r="W3001" s="72">
        <f>U3001-V3001</f>
        <v>0</v>
      </c>
      <c r="X3001" s="72">
        <f>L3001*37</f>
        <v>1522.9199999999998</v>
      </c>
      <c r="Y3001" s="73">
        <f>+T3001-X3001</f>
        <v>41.160000000000082</v>
      </c>
      <c r="Z3001" s="12" t="s">
        <v>41</v>
      </c>
      <c r="AA3001" s="12" t="s">
        <v>78</v>
      </c>
    </row>
    <row r="3002" spans="1:27" x14ac:dyDescent="0.25">
      <c r="A3002" s="10">
        <v>45701</v>
      </c>
      <c r="B3002" s="11" t="s">
        <v>323</v>
      </c>
      <c r="C3002" s="11" t="s">
        <v>5496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2">
        <f>M3002*P3002</f>
        <v>1550</v>
      </c>
      <c r="S3002" s="72">
        <v>0</v>
      </c>
      <c r="T3002" s="72">
        <f>M3002*S3002</f>
        <v>0</v>
      </c>
      <c r="U3002" s="72">
        <f>R3002-T3002</f>
        <v>1550</v>
      </c>
      <c r="V3002" s="72">
        <f>U3002*0</f>
        <v>0</v>
      </c>
      <c r="W3002" s="72">
        <f>U3002-V3002</f>
        <v>1550</v>
      </c>
      <c r="X3002" s="72">
        <v>0</v>
      </c>
      <c r="Y3002" s="14">
        <f t="shared" si="812"/>
        <v>0</v>
      </c>
      <c r="Z3002" s="11" t="s">
        <v>26</v>
      </c>
      <c r="AA3002" s="12" t="s">
        <v>31</v>
      </c>
    </row>
    <row r="3003" spans="1:27" x14ac:dyDescent="0.25">
      <c r="A3003" s="10">
        <v>45701</v>
      </c>
      <c r="B3003" s="11" t="s">
        <v>5497</v>
      </c>
      <c r="C3003" s="11" t="s">
        <v>5498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4440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2">
        <f>+L3003*O3003</f>
        <v>1527.3</v>
      </c>
      <c r="S3003" s="72">
        <v>0</v>
      </c>
      <c r="T3003" s="72">
        <f>+L3003*S3003</f>
        <v>0</v>
      </c>
      <c r="U3003" s="72">
        <f t="shared" ref="U3003:U3004" si="875">+R3003-T3003</f>
        <v>1527.3</v>
      </c>
      <c r="V3003" s="72">
        <f>+U3003*1</f>
        <v>1527.3</v>
      </c>
      <c r="W3003" s="72">
        <f t="shared" ref="W3003:W3004" si="876">+U3003-V3003</f>
        <v>0</v>
      </c>
      <c r="X3003" s="72">
        <v>0</v>
      </c>
      <c r="Y3003" s="14">
        <f t="shared" si="812"/>
        <v>0</v>
      </c>
      <c r="Z3003" s="11" t="s">
        <v>26</v>
      </c>
      <c r="AA3003" s="12" t="s">
        <v>31</v>
      </c>
    </row>
    <row r="3004" spans="1:27" x14ac:dyDescent="0.25">
      <c r="A3004" s="10">
        <v>45701</v>
      </c>
      <c r="B3004" s="11" t="s">
        <v>708</v>
      </c>
      <c r="C3004" s="11" t="s">
        <v>5499</v>
      </c>
      <c r="D3004" s="11">
        <v>17545</v>
      </c>
      <c r="E3004" s="11" t="s">
        <v>5226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2">
        <f>(L3004*O3004)-Q3004</f>
        <v>546.86</v>
      </c>
      <c r="S3004" s="72">
        <v>0</v>
      </c>
      <c r="T3004" s="72">
        <f t="shared" ref="T3004" si="878">+L3004*S3004</f>
        <v>0</v>
      </c>
      <c r="U3004" s="72">
        <f t="shared" si="875"/>
        <v>546.86</v>
      </c>
      <c r="V3004" s="72">
        <f>+U3004*0</f>
        <v>0</v>
      </c>
      <c r="W3004" s="72">
        <f t="shared" si="876"/>
        <v>546.86</v>
      </c>
      <c r="X3004" s="72">
        <v>0</v>
      </c>
      <c r="Y3004" s="14">
        <f t="shared" si="812"/>
        <v>0</v>
      </c>
      <c r="Z3004" s="11" t="s">
        <v>26</v>
      </c>
      <c r="AA3004" s="12" t="s">
        <v>31</v>
      </c>
    </row>
    <row r="3005" spans="1:27" x14ac:dyDescent="0.25">
      <c r="A3005" s="10">
        <v>45701</v>
      </c>
      <c r="B3005" s="11" t="s">
        <v>5500</v>
      </c>
      <c r="C3005" s="11" t="s">
        <v>5501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4463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2">
        <f t="shared" ref="R3005" si="879">+L3005*O3005</f>
        <v>1606.88</v>
      </c>
      <c r="S3005" s="72">
        <v>0</v>
      </c>
      <c r="T3005" s="72">
        <f>+L3005*S3005</f>
        <v>0</v>
      </c>
      <c r="U3005" s="72">
        <f>+R3005-T3005</f>
        <v>1606.88</v>
      </c>
      <c r="V3005" s="72">
        <f>+U3005*1</f>
        <v>1606.88</v>
      </c>
      <c r="W3005" s="72">
        <f>+U3005-V3005</f>
        <v>0</v>
      </c>
      <c r="X3005" s="72">
        <v>0</v>
      </c>
      <c r="Y3005" s="14">
        <f t="shared" si="812"/>
        <v>0</v>
      </c>
      <c r="Z3005" s="11" t="s">
        <v>26</v>
      </c>
      <c r="AA3005" s="12" t="s">
        <v>31</v>
      </c>
    </row>
    <row r="3006" spans="1:27" x14ac:dyDescent="0.25">
      <c r="A3006" s="10">
        <v>45701</v>
      </c>
      <c r="B3006" s="11" t="s">
        <v>5502</v>
      </c>
      <c r="C3006" s="11" t="s">
        <v>5503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2">
        <f>L3006*O3006</f>
        <v>1006.5</v>
      </c>
      <c r="S3006" s="72">
        <v>0</v>
      </c>
      <c r="T3006" s="72">
        <f>L3006*S3006</f>
        <v>0</v>
      </c>
      <c r="U3006" s="72">
        <f>R3006-T3006</f>
        <v>1006.5</v>
      </c>
      <c r="V3006" s="72">
        <f>U3006*0</f>
        <v>0</v>
      </c>
      <c r="W3006" s="72">
        <f>U3006-V3006</f>
        <v>1006.5</v>
      </c>
      <c r="X3006" s="72">
        <v>0</v>
      </c>
      <c r="Y3006" s="14">
        <f t="shared" si="812"/>
        <v>0</v>
      </c>
      <c r="Z3006" s="11" t="s">
        <v>26</v>
      </c>
      <c r="AA3006" s="12" t="s">
        <v>31</v>
      </c>
    </row>
    <row r="3007" spans="1:27" x14ac:dyDescent="0.25">
      <c r="A3007" s="10">
        <v>45701</v>
      </c>
      <c r="B3007" s="11" t="s">
        <v>5504</v>
      </c>
      <c r="C3007" s="11" t="s">
        <v>5505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2">
        <f>+M3007*P3007</f>
        <v>1500</v>
      </c>
      <c r="S3007" s="72">
        <v>0</v>
      </c>
      <c r="T3007" s="72">
        <f>+M3007*S3007</f>
        <v>0</v>
      </c>
      <c r="U3007" s="72">
        <f t="shared" ref="U3007" si="880">+R3007-T3007</f>
        <v>1500</v>
      </c>
      <c r="V3007" s="72">
        <f>+U3007*0</f>
        <v>0</v>
      </c>
      <c r="W3007" s="72">
        <f t="shared" ref="W3007" si="881">+U3007-V3007</f>
        <v>1500</v>
      </c>
      <c r="X3007" s="72">
        <v>0</v>
      </c>
      <c r="Y3007" s="14">
        <f t="shared" ref="Y3007:Y3017" si="882">T3007-X3007</f>
        <v>0</v>
      </c>
      <c r="Z3007" s="11" t="s">
        <v>26</v>
      </c>
      <c r="AA3007" s="12" t="s">
        <v>31</v>
      </c>
    </row>
    <row r="3008" spans="1:27" x14ac:dyDescent="0.25">
      <c r="A3008" s="10">
        <v>45701</v>
      </c>
      <c r="B3008" s="11" t="s">
        <v>5506</v>
      </c>
      <c r="C3008" s="11" t="s">
        <v>5507</v>
      </c>
      <c r="D3008" s="11">
        <v>17549</v>
      </c>
      <c r="E3008" s="11" t="s">
        <v>2081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2">
        <f t="shared" ref="R3008" si="883">L3008*O3008</f>
        <v>1157</v>
      </c>
      <c r="S3008" s="72">
        <v>0</v>
      </c>
      <c r="T3008" s="72">
        <f t="shared" ref="T3008:T3009" si="884">L3008*S3008</f>
        <v>0</v>
      </c>
      <c r="U3008" s="72">
        <f t="shared" ref="U3008" si="885">R3008-T3008</f>
        <v>1157</v>
      </c>
      <c r="V3008" s="72">
        <f>U3008*0</f>
        <v>0</v>
      </c>
      <c r="W3008" s="72">
        <f t="shared" ref="W3008" si="886">U3008-V3008</f>
        <v>1157</v>
      </c>
      <c r="X3008" s="72">
        <v>0</v>
      </c>
      <c r="Y3008" s="14">
        <f t="shared" si="882"/>
        <v>0</v>
      </c>
      <c r="Z3008" s="11" t="s">
        <v>26</v>
      </c>
      <c r="AA3008" s="12" t="s">
        <v>31</v>
      </c>
    </row>
    <row r="3009" spans="1:27" x14ac:dyDescent="0.25">
      <c r="A3009" s="10">
        <v>45701</v>
      </c>
      <c r="B3009" s="11" t="s">
        <v>5508</v>
      </c>
      <c r="C3009" s="11" t="s">
        <v>5509</v>
      </c>
      <c r="D3009" s="11">
        <v>17550</v>
      </c>
      <c r="E3009" s="11" t="s">
        <v>2070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2">
        <f>L3009*O3009</f>
        <v>1002</v>
      </c>
      <c r="S3009" s="72">
        <v>0</v>
      </c>
      <c r="T3009" s="72">
        <f t="shared" si="884"/>
        <v>0</v>
      </c>
      <c r="U3009" s="72">
        <f>R3009-T3009</f>
        <v>1002</v>
      </c>
      <c r="V3009" s="72">
        <f>U3009*0</f>
        <v>0</v>
      </c>
      <c r="W3009" s="72">
        <f>U3009-V3009</f>
        <v>1002</v>
      </c>
      <c r="X3009" s="72">
        <v>0</v>
      </c>
      <c r="Y3009" s="14">
        <f t="shared" si="882"/>
        <v>0</v>
      </c>
      <c r="Z3009" s="11" t="s">
        <v>26</v>
      </c>
      <c r="AA3009" s="12" t="s">
        <v>31</v>
      </c>
    </row>
    <row r="3010" spans="1:27" x14ac:dyDescent="0.25">
      <c r="A3010" s="10">
        <v>45701</v>
      </c>
      <c r="B3010" s="11" t="s">
        <v>5510</v>
      </c>
      <c r="C3010" s="11" t="s">
        <v>5511</v>
      </c>
      <c r="D3010" s="11">
        <v>17551</v>
      </c>
      <c r="E3010" s="11" t="s">
        <v>5512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2">
        <f>L3010*O3010</f>
        <v>1640.8000000000002</v>
      </c>
      <c r="S3010" s="72">
        <v>0</v>
      </c>
      <c r="T3010" s="72">
        <f>L3010*S3010</f>
        <v>0</v>
      </c>
      <c r="U3010" s="72">
        <f>R3010-T3010</f>
        <v>1640.8000000000002</v>
      </c>
      <c r="V3010" s="72">
        <f>U3010*0</f>
        <v>0</v>
      </c>
      <c r="W3010" s="72">
        <f>U3010-V3010</f>
        <v>1640.8000000000002</v>
      </c>
      <c r="X3010" s="72">
        <v>0</v>
      </c>
      <c r="Y3010" s="14">
        <f t="shared" si="882"/>
        <v>0</v>
      </c>
      <c r="Z3010" s="11" t="s">
        <v>26</v>
      </c>
      <c r="AA3010" s="12" t="s">
        <v>31</v>
      </c>
    </row>
    <row r="3011" spans="1:27" x14ac:dyDescent="0.25">
      <c r="A3011" s="10">
        <v>45701</v>
      </c>
      <c r="B3011" s="11" t="s">
        <v>5513</v>
      </c>
      <c r="C3011" s="11" t="s">
        <v>5514</v>
      </c>
      <c r="D3011" s="11">
        <v>17552</v>
      </c>
      <c r="E3011" s="11" t="s">
        <v>5236</v>
      </c>
      <c r="F3011" s="11" t="s">
        <v>26</v>
      </c>
      <c r="G3011" s="11">
        <v>56920</v>
      </c>
      <c r="H3011" s="12" t="s">
        <v>4440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2">
        <f>+L3011*O3011</f>
        <v>1572.3</v>
      </c>
      <c r="S3011" s="72">
        <v>0</v>
      </c>
      <c r="T3011" s="72">
        <f>+L3011*S3011</f>
        <v>0</v>
      </c>
      <c r="U3011" s="72">
        <f t="shared" ref="U3011:U3012" si="887">+R3011-T3011</f>
        <v>1572.3</v>
      </c>
      <c r="V3011" s="72">
        <f>+U3011*1</f>
        <v>1572.3</v>
      </c>
      <c r="W3011" s="72">
        <f t="shared" ref="W3011:W3012" si="888">+U3011-V3011</f>
        <v>0</v>
      </c>
      <c r="X3011" s="72">
        <v>0</v>
      </c>
      <c r="Y3011" s="14">
        <f t="shared" si="882"/>
        <v>0</v>
      </c>
      <c r="Z3011" s="11" t="s">
        <v>26</v>
      </c>
      <c r="AA3011" s="12" t="s">
        <v>31</v>
      </c>
    </row>
    <row r="3012" spans="1:27" x14ac:dyDescent="0.25">
      <c r="A3012" s="10">
        <v>45701</v>
      </c>
      <c r="B3012" s="11" t="s">
        <v>320</v>
      </c>
      <c r="C3012" s="11" t="s">
        <v>5515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2">
        <f>(L3012*O3012)-Q3012</f>
        <v>264</v>
      </c>
      <c r="S3012" s="72">
        <v>0</v>
      </c>
      <c r="T3012" s="72">
        <f t="shared" ref="T3012" si="889">+L3012*S3012</f>
        <v>0</v>
      </c>
      <c r="U3012" s="72">
        <f t="shared" si="887"/>
        <v>264</v>
      </c>
      <c r="V3012" s="72">
        <f t="shared" ref="V3012" si="890">+U3012*0</f>
        <v>0</v>
      </c>
      <c r="W3012" s="72">
        <f t="shared" si="888"/>
        <v>264</v>
      </c>
      <c r="X3012" s="72">
        <v>0</v>
      </c>
      <c r="Y3012" s="14">
        <f t="shared" si="882"/>
        <v>0</v>
      </c>
      <c r="Z3012" s="11" t="s">
        <v>26</v>
      </c>
      <c r="AA3012" s="12" t="s">
        <v>31</v>
      </c>
    </row>
    <row r="3013" spans="1:27" x14ac:dyDescent="0.25">
      <c r="A3013" s="10">
        <v>45701</v>
      </c>
      <c r="B3013" s="11" t="s">
        <v>4303</v>
      </c>
      <c r="C3013" s="11" t="s">
        <v>5516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2">
        <f>M3013*P3013</f>
        <v>1600</v>
      </c>
      <c r="S3013" s="72">
        <v>0</v>
      </c>
      <c r="T3013" s="72">
        <f>M3013*S3013</f>
        <v>0</v>
      </c>
      <c r="U3013" s="72">
        <f>R3013-T3013</f>
        <v>1600</v>
      </c>
      <c r="V3013" s="72">
        <f t="shared" ref="V3013" si="891">U3013*0</f>
        <v>0</v>
      </c>
      <c r="W3013" s="72">
        <f t="shared" ref="W3013" si="892">U3013-V3013</f>
        <v>1600</v>
      </c>
      <c r="X3013" s="72">
        <v>0</v>
      </c>
      <c r="Y3013" s="14">
        <f t="shared" si="882"/>
        <v>0</v>
      </c>
      <c r="Z3013" s="11" t="s">
        <v>26</v>
      </c>
      <c r="AA3013" s="12" t="s">
        <v>31</v>
      </c>
    </row>
    <row r="3014" spans="1:27" x14ac:dyDescent="0.25">
      <c r="A3014" s="10">
        <v>45701</v>
      </c>
      <c r="B3014" s="11" t="s">
        <v>5517</v>
      </c>
      <c r="C3014" s="11" t="s">
        <v>5518</v>
      </c>
      <c r="D3014" s="11">
        <v>17555</v>
      </c>
      <c r="E3014" s="11" t="s">
        <v>1298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2">
        <f>L3014*O3014</f>
        <v>1508</v>
      </c>
      <c r="S3014" s="72">
        <v>0</v>
      </c>
      <c r="T3014" s="72">
        <f>L3014*S3014</f>
        <v>0</v>
      </c>
      <c r="U3014" s="72">
        <f>R3014-T3014</f>
        <v>1508</v>
      </c>
      <c r="V3014" s="72">
        <f>U3014*0</f>
        <v>0</v>
      </c>
      <c r="W3014" s="72">
        <f>U3014-V3014</f>
        <v>1508</v>
      </c>
      <c r="X3014" s="72">
        <v>0</v>
      </c>
      <c r="Y3014" s="14">
        <f t="shared" si="882"/>
        <v>0</v>
      </c>
      <c r="Z3014" s="11" t="s">
        <v>26</v>
      </c>
      <c r="AA3014" s="12" t="s">
        <v>31</v>
      </c>
    </row>
    <row r="3015" spans="1:27" x14ac:dyDescent="0.25">
      <c r="A3015" s="10">
        <v>45702</v>
      </c>
      <c r="B3015" s="11" t="s">
        <v>5519</v>
      </c>
      <c r="C3015" s="11" t="s">
        <v>5520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2">
        <f>M3015*P3015</f>
        <v>1550</v>
      </c>
      <c r="S3015" s="72">
        <v>0</v>
      </c>
      <c r="T3015" s="72">
        <f>M3015*S3015</f>
        <v>0</v>
      </c>
      <c r="U3015" s="72">
        <f>R3015-T3015</f>
        <v>1550</v>
      </c>
      <c r="V3015" s="72">
        <f>U3015*0</f>
        <v>0</v>
      </c>
      <c r="W3015" s="72">
        <f>U3015-V3015</f>
        <v>1550</v>
      </c>
      <c r="X3015" s="72">
        <v>0</v>
      </c>
      <c r="Y3015" s="14">
        <f t="shared" si="882"/>
        <v>0</v>
      </c>
      <c r="Z3015" s="11" t="s">
        <v>26</v>
      </c>
      <c r="AA3015" s="12" t="s">
        <v>31</v>
      </c>
    </row>
    <row r="3016" spans="1:27" x14ac:dyDescent="0.25">
      <c r="A3016" s="10">
        <v>45702</v>
      </c>
      <c r="B3016" s="11" t="s">
        <v>2679</v>
      </c>
      <c r="C3016" s="11" t="s">
        <v>5521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2">
        <f>L3016*O3016</f>
        <v>1493.6000000000001</v>
      </c>
      <c r="S3016" s="72">
        <v>0</v>
      </c>
      <c r="T3016" s="72">
        <f>L3016*S3016</f>
        <v>0</v>
      </c>
      <c r="U3016" s="72">
        <f>R3016-T3016</f>
        <v>1493.6000000000001</v>
      </c>
      <c r="V3016" s="72">
        <f>U3016*0</f>
        <v>0</v>
      </c>
      <c r="W3016" s="72">
        <f>U3016-V3016</f>
        <v>1493.6000000000001</v>
      </c>
      <c r="X3016" s="72">
        <v>0</v>
      </c>
      <c r="Y3016" s="14">
        <f t="shared" si="882"/>
        <v>0</v>
      </c>
      <c r="Z3016" s="11" t="s">
        <v>26</v>
      </c>
      <c r="AA3016" s="12" t="s">
        <v>31</v>
      </c>
    </row>
    <row r="3017" spans="1:27" x14ac:dyDescent="0.25">
      <c r="A3017" s="10">
        <v>45702</v>
      </c>
      <c r="B3017" s="11" t="s">
        <v>363</v>
      </c>
      <c r="C3017" s="11" t="s">
        <v>5522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4465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2">
        <f>+L3017*O3017</f>
        <v>1748.8167999999998</v>
      </c>
      <c r="S3017" s="72">
        <v>0</v>
      </c>
      <c r="T3017" s="72">
        <f>+L3017*S3017</f>
        <v>0</v>
      </c>
      <c r="U3017" s="72">
        <f>+R3017-T3017</f>
        <v>1748.8167999999998</v>
      </c>
      <c r="V3017" s="72">
        <f>+U3017*0.75</f>
        <v>1311.6125999999999</v>
      </c>
      <c r="W3017" s="72">
        <f>+U3017-V3017</f>
        <v>437.2041999999999</v>
      </c>
      <c r="X3017" s="72">
        <v>0</v>
      </c>
      <c r="Y3017" s="14">
        <f t="shared" si="882"/>
        <v>0</v>
      </c>
      <c r="Z3017" s="11" t="s">
        <v>26</v>
      </c>
      <c r="AA3017" s="12" t="s">
        <v>31</v>
      </c>
    </row>
    <row r="3018" spans="1:27" x14ac:dyDescent="0.25">
      <c r="A3018" s="10">
        <v>45702</v>
      </c>
      <c r="B3018" s="11" t="s">
        <v>474</v>
      </c>
      <c r="C3018" s="11" t="s">
        <v>5523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2">
        <f>+L3018*O3018</f>
        <v>3869.32</v>
      </c>
      <c r="S3018" s="72">
        <v>40</v>
      </c>
      <c r="T3018" s="72">
        <f>L3018*S3018</f>
        <v>1700.8000000000002</v>
      </c>
      <c r="U3018" s="72">
        <f t="shared" ref="U3018" si="894">R3018-T3018</f>
        <v>2168.52</v>
      </c>
      <c r="V3018" s="72">
        <f>U3018*1</f>
        <v>2168.52</v>
      </c>
      <c r="W3018" s="72">
        <f t="shared" ref="W3018" si="895">U3018-V3018</f>
        <v>0</v>
      </c>
      <c r="X3018" s="72">
        <f>L3018*37</f>
        <v>1573.24</v>
      </c>
      <c r="Y3018" s="73">
        <f>+T3018-X3018</f>
        <v>127.56000000000017</v>
      </c>
      <c r="Z3018" s="12" t="s">
        <v>41</v>
      </c>
      <c r="AA3018" s="12" t="s">
        <v>79</v>
      </c>
    </row>
    <row r="3019" spans="1:27" x14ac:dyDescent="0.25">
      <c r="A3019" s="10">
        <v>45702</v>
      </c>
      <c r="B3019" s="11" t="s">
        <v>5402</v>
      </c>
      <c r="C3019" s="11" t="s">
        <v>5524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4465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2">
        <f>+L3019*O3019</f>
        <v>1752.5496000000001</v>
      </c>
      <c r="S3019" s="72">
        <v>0</v>
      </c>
      <c r="T3019" s="72">
        <f>+L3019*S3019</f>
        <v>0</v>
      </c>
      <c r="U3019" s="72">
        <f>+R3019-T3019</f>
        <v>1752.5496000000001</v>
      </c>
      <c r="V3019" s="72">
        <f>+U3019*0.75</f>
        <v>1314.4122</v>
      </c>
      <c r="W3019" s="72">
        <f>+U3019-V3019</f>
        <v>438.13740000000007</v>
      </c>
      <c r="X3019" s="72">
        <v>0</v>
      </c>
      <c r="Y3019" s="14">
        <f t="shared" ref="Y3019" si="896">T3019-X3019</f>
        <v>0</v>
      </c>
      <c r="Z3019" s="11" t="s">
        <v>26</v>
      </c>
      <c r="AA3019" s="12" t="s">
        <v>31</v>
      </c>
    </row>
    <row r="3020" spans="1:27" x14ac:dyDescent="0.25">
      <c r="A3020" s="10">
        <v>45702</v>
      </c>
      <c r="B3020" s="11" t="s">
        <v>2941</v>
      </c>
      <c r="C3020" s="11" t="s">
        <v>5525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4439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2">
        <f>L3020*O3020</f>
        <v>3631.2</v>
      </c>
      <c r="S3020" s="72">
        <v>38</v>
      </c>
      <c r="T3020" s="72">
        <f t="shared" ref="T3020" si="897">L3020*S3020</f>
        <v>1623.36</v>
      </c>
      <c r="U3020" s="72">
        <f t="shared" ref="U3020" si="898">R3020-T3020</f>
        <v>2007.84</v>
      </c>
      <c r="V3020" s="72">
        <f>U3020*1</f>
        <v>2007.84</v>
      </c>
      <c r="W3020" s="72">
        <f t="shared" ref="W3020" si="899">U3020-V3020</f>
        <v>0</v>
      </c>
      <c r="X3020" s="72">
        <f>L3020*36</f>
        <v>1537.92</v>
      </c>
      <c r="Y3020" s="73">
        <f>+T3020-X3020</f>
        <v>85.439999999999827</v>
      </c>
      <c r="Z3020" s="12" t="s">
        <v>141</v>
      </c>
      <c r="AA3020" s="12" t="s">
        <v>78</v>
      </c>
    </row>
    <row r="3021" spans="1:27" x14ac:dyDescent="0.25">
      <c r="A3021" s="10">
        <v>45702</v>
      </c>
      <c r="B3021" s="11" t="s">
        <v>5526</v>
      </c>
      <c r="C3021" s="11" t="s">
        <v>5527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4440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2">
        <f t="shared" ref="R3021" si="900">+L3021*O3021</f>
        <v>1640.52</v>
      </c>
      <c r="S3021" s="72">
        <v>0</v>
      </c>
      <c r="T3021" s="72">
        <f t="shared" ref="T3021" si="901">+L3021*S3021</f>
        <v>0</v>
      </c>
      <c r="U3021" s="72">
        <f t="shared" ref="U3021" si="902">+R3021-T3021</f>
        <v>1640.52</v>
      </c>
      <c r="V3021" s="72">
        <f>+U3021*1</f>
        <v>1640.52</v>
      </c>
      <c r="W3021" s="72">
        <f t="shared" ref="W3021" si="903">+U3021-V3021</f>
        <v>0</v>
      </c>
      <c r="X3021" s="72">
        <v>0</v>
      </c>
      <c r="Y3021" s="14">
        <f t="shared" ref="Y3021:Y3024" si="904">T3021-X3021</f>
        <v>0</v>
      </c>
      <c r="Z3021" s="11" t="s">
        <v>26</v>
      </c>
      <c r="AA3021" s="12" t="s">
        <v>31</v>
      </c>
    </row>
    <row r="3022" spans="1:27" x14ac:dyDescent="0.25">
      <c r="A3022" s="10">
        <v>45702</v>
      </c>
      <c r="B3022" s="11" t="s">
        <v>5528</v>
      </c>
      <c r="C3022" s="11" t="s">
        <v>5529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6345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2">
        <f>L3022*O3022</f>
        <v>1738.25</v>
      </c>
      <c r="S3022" s="72">
        <v>0</v>
      </c>
      <c r="T3022" s="72">
        <f>+L3022*S3022</f>
        <v>0</v>
      </c>
      <c r="U3022" s="72">
        <f>R3022-T3022</f>
        <v>1738.25</v>
      </c>
      <c r="V3022" s="72">
        <f>U3022*0</f>
        <v>0</v>
      </c>
      <c r="W3022" s="72">
        <f>U3022-V3022</f>
        <v>1738.25</v>
      </c>
      <c r="X3022" s="72"/>
      <c r="Y3022" s="14">
        <f t="shared" si="904"/>
        <v>0</v>
      </c>
      <c r="Z3022" s="11" t="s">
        <v>26</v>
      </c>
      <c r="AA3022" s="12" t="s">
        <v>31</v>
      </c>
    </row>
    <row r="3023" spans="1:27" x14ac:dyDescent="0.25">
      <c r="A3023" s="10">
        <v>45702</v>
      </c>
      <c r="B3023" s="11" t="s">
        <v>247</v>
      </c>
      <c r="C3023" s="11" t="s">
        <v>5530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2">
        <f>+M3023*P3023</f>
        <v>456</v>
      </c>
      <c r="S3023" s="72">
        <v>0</v>
      </c>
      <c r="T3023" s="72">
        <f>+M3023*S3023</f>
        <v>0</v>
      </c>
      <c r="U3023" s="72">
        <f t="shared" ref="U3023:U3024" si="905">+R3023-T3023</f>
        <v>456</v>
      </c>
      <c r="V3023" s="72">
        <f>+U3023*0</f>
        <v>0</v>
      </c>
      <c r="W3023" s="72">
        <f t="shared" ref="W3023:W3024" si="906">+U3023-V3023</f>
        <v>456</v>
      </c>
      <c r="X3023" s="72">
        <v>0</v>
      </c>
      <c r="Y3023" s="14">
        <f t="shared" si="904"/>
        <v>0</v>
      </c>
      <c r="Z3023" s="11" t="s">
        <v>26</v>
      </c>
      <c r="AA3023" s="12" t="s">
        <v>31</v>
      </c>
    </row>
    <row r="3024" spans="1:27" x14ac:dyDescent="0.25">
      <c r="A3024" s="10">
        <v>45702</v>
      </c>
      <c r="B3024" s="11" t="s">
        <v>5531</v>
      </c>
      <c r="C3024" s="11" t="s">
        <v>5532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2">
        <f>+M3024*P3024</f>
        <v>456</v>
      </c>
      <c r="S3024" s="72">
        <v>0</v>
      </c>
      <c r="T3024" s="72">
        <f>+M3024*S3024</f>
        <v>0</v>
      </c>
      <c r="U3024" s="72">
        <f t="shared" si="905"/>
        <v>456</v>
      </c>
      <c r="V3024" s="72">
        <f>+U3024*0</f>
        <v>0</v>
      </c>
      <c r="W3024" s="72">
        <f t="shared" si="906"/>
        <v>456</v>
      </c>
      <c r="X3024" s="72">
        <v>0</v>
      </c>
      <c r="Y3024" s="14">
        <f t="shared" si="904"/>
        <v>0</v>
      </c>
      <c r="Z3024" s="11" t="s">
        <v>26</v>
      </c>
      <c r="AA3024" s="12" t="s">
        <v>31</v>
      </c>
    </row>
    <row r="3025" spans="1:27" x14ac:dyDescent="0.25">
      <c r="A3025" s="10">
        <v>45702</v>
      </c>
      <c r="B3025" s="11" t="s">
        <v>5533</v>
      </c>
      <c r="C3025" s="11" t="s">
        <v>5534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4439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2">
        <f>L3025*O3025</f>
        <v>3597.2200000000003</v>
      </c>
      <c r="S3025" s="72">
        <v>38</v>
      </c>
      <c r="T3025" s="72">
        <f>L3025*S3025</f>
        <v>1646.92</v>
      </c>
      <c r="U3025" s="72">
        <f>R3025-T3025</f>
        <v>1950.3000000000002</v>
      </c>
      <c r="V3025" s="72">
        <f>U3025*1</f>
        <v>1950.3000000000002</v>
      </c>
      <c r="W3025" s="72">
        <f>U3025-V3025</f>
        <v>0</v>
      </c>
      <c r="X3025" s="72">
        <f>L3025*37</f>
        <v>1603.5800000000002</v>
      </c>
      <c r="Y3025" s="73">
        <f>+T3025-X3025</f>
        <v>43.339999999999918</v>
      </c>
      <c r="Z3025" s="12" t="s">
        <v>41</v>
      </c>
      <c r="AA3025" s="12" t="s">
        <v>78</v>
      </c>
    </row>
    <row r="3026" spans="1:27" x14ac:dyDescent="0.25">
      <c r="A3026" s="10">
        <v>45702</v>
      </c>
      <c r="B3026" s="11" t="s">
        <v>5535</v>
      </c>
      <c r="C3026" s="11" t="s">
        <v>5536</v>
      </c>
      <c r="D3026" s="11">
        <v>17567</v>
      </c>
      <c r="E3026" s="11" t="s">
        <v>4178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2">
        <f>+M3026*P3026</f>
        <v>456</v>
      </c>
      <c r="S3026" s="72">
        <v>0</v>
      </c>
      <c r="T3026" s="72">
        <f>+M3026*S3026</f>
        <v>0</v>
      </c>
      <c r="U3026" s="72">
        <f t="shared" ref="U3026" si="907">+R3026-T3026</f>
        <v>456</v>
      </c>
      <c r="V3026" s="72">
        <f>+U3026*0</f>
        <v>0</v>
      </c>
      <c r="W3026" s="72">
        <f t="shared" ref="W3026" si="908">+U3026-V3026</f>
        <v>456</v>
      </c>
      <c r="X3026" s="72">
        <v>0</v>
      </c>
      <c r="Y3026" s="14">
        <f t="shared" ref="Y3026" si="909">T3026-X3026</f>
        <v>0</v>
      </c>
      <c r="Z3026" s="11" t="s">
        <v>26</v>
      </c>
      <c r="AA3026" s="12" t="s">
        <v>31</v>
      </c>
    </row>
    <row r="3027" spans="1:27" x14ac:dyDescent="0.25">
      <c r="A3027" s="10">
        <v>45702</v>
      </c>
      <c r="B3027" s="11" t="s">
        <v>5537</v>
      </c>
      <c r="C3027" s="11" t="s">
        <v>5538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4439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2">
        <f>L3027*O3027</f>
        <v>3550.7400000000002</v>
      </c>
      <c r="S3027" s="72">
        <v>38</v>
      </c>
      <c r="T3027" s="72">
        <f>L3027*S3027</f>
        <v>1625.64</v>
      </c>
      <c r="U3027" s="72">
        <f>R3027-T3027</f>
        <v>1925.1000000000001</v>
      </c>
      <c r="V3027" s="72">
        <f>U3027*1</f>
        <v>1925.1000000000001</v>
      </c>
      <c r="W3027" s="72">
        <f>U3027-V3027</f>
        <v>0</v>
      </c>
      <c r="X3027" s="72">
        <f>L3027*36</f>
        <v>1540.08</v>
      </c>
      <c r="Y3027" s="73">
        <f>+T3027-X3027</f>
        <v>85.560000000000173</v>
      </c>
      <c r="Z3027" s="12" t="s">
        <v>141</v>
      </c>
      <c r="AA3027" s="12" t="s">
        <v>78</v>
      </c>
    </row>
    <row r="3028" spans="1:27" x14ac:dyDescent="0.25">
      <c r="A3028" s="10">
        <v>45702</v>
      </c>
      <c r="B3028" s="11" t="s">
        <v>5539</v>
      </c>
      <c r="C3028" s="11" t="s">
        <v>5540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2">
        <f>M3028*P3028</f>
        <v>1500</v>
      </c>
      <c r="S3028" s="72">
        <v>0</v>
      </c>
      <c r="T3028" s="72">
        <f>M3028*S3028</f>
        <v>0</v>
      </c>
      <c r="U3028" s="72">
        <f>R3028-T3028</f>
        <v>1500</v>
      </c>
      <c r="V3028" s="72">
        <f>U3028*0</f>
        <v>0</v>
      </c>
      <c r="W3028" s="72">
        <f>U3028-V3028</f>
        <v>1500</v>
      </c>
      <c r="X3028" s="72">
        <v>0</v>
      </c>
      <c r="Y3028" s="14">
        <f t="shared" ref="Y3028" si="910">T3028-X3028</f>
        <v>0</v>
      </c>
      <c r="Z3028" s="11" t="s">
        <v>26</v>
      </c>
      <c r="AA3028" s="12" t="s">
        <v>31</v>
      </c>
    </row>
    <row r="3029" spans="1:27" x14ac:dyDescent="0.25">
      <c r="A3029" s="10">
        <v>45702</v>
      </c>
      <c r="B3029" s="11" t="s">
        <v>5541</v>
      </c>
      <c r="C3029" s="11" t="s">
        <v>5542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4439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2">
        <f>L3029*O3029</f>
        <v>3764.88</v>
      </c>
      <c r="S3029" s="72">
        <v>38</v>
      </c>
      <c r="T3029" s="72">
        <f>L3029*S3029</f>
        <v>1723.68</v>
      </c>
      <c r="U3029" s="72">
        <f>R3029-T3029</f>
        <v>2041.2</v>
      </c>
      <c r="V3029" s="72">
        <f>U3029*1</f>
        <v>2041.2</v>
      </c>
      <c r="W3029" s="72">
        <f>U3029-V3029</f>
        <v>0</v>
      </c>
      <c r="X3029" s="72">
        <f>L3029*36</f>
        <v>1632.96</v>
      </c>
      <c r="Y3029" s="73">
        <f>+T3029-X3029</f>
        <v>90.720000000000027</v>
      </c>
      <c r="Z3029" s="12" t="s">
        <v>141</v>
      </c>
      <c r="AA3029" s="12" t="s">
        <v>78</v>
      </c>
    </row>
    <row r="3030" spans="1:27" x14ac:dyDescent="0.25">
      <c r="A3030" s="10">
        <v>45702</v>
      </c>
      <c r="B3030" s="11" t="s">
        <v>5543</v>
      </c>
      <c r="C3030" s="11" t="s">
        <v>5544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2">
        <f>M3030*P3030</f>
        <v>1550</v>
      </c>
      <c r="S3030" s="72">
        <v>0</v>
      </c>
      <c r="T3030" s="72">
        <f>M3030*S3030</f>
        <v>0</v>
      </c>
      <c r="U3030" s="72">
        <f>R3030-T3030</f>
        <v>1550</v>
      </c>
      <c r="V3030" s="72">
        <f>U3030*0</f>
        <v>0</v>
      </c>
      <c r="W3030" s="72">
        <f>U3030-V3030</f>
        <v>1550</v>
      </c>
      <c r="X3030" s="72">
        <v>0</v>
      </c>
      <c r="Y3030" s="14">
        <f t="shared" ref="Y3030:Y3031" si="911">T3030-X3030</f>
        <v>0</v>
      </c>
      <c r="Z3030" s="11" t="s">
        <v>26</v>
      </c>
      <c r="AA3030" s="12" t="s">
        <v>31</v>
      </c>
    </row>
    <row r="3031" spans="1:27" x14ac:dyDescent="0.25">
      <c r="A3031" s="10">
        <v>45702</v>
      </c>
      <c r="B3031" s="11" t="s">
        <v>5545</v>
      </c>
      <c r="C3031" s="11" t="s">
        <v>5546</v>
      </c>
      <c r="D3031" s="11">
        <v>17572</v>
      </c>
      <c r="E3031" s="11" t="s">
        <v>5120</v>
      </c>
      <c r="F3031" s="11" t="s">
        <v>26</v>
      </c>
      <c r="G3031" s="11">
        <v>78102</v>
      </c>
      <c r="H3031" s="12" t="s">
        <v>4465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2">
        <f>+L3031*O3031</f>
        <v>1849.6000000000001</v>
      </c>
      <c r="S3031" s="72">
        <v>0</v>
      </c>
      <c r="T3031" s="72">
        <f>+L3031*S3031</f>
        <v>0</v>
      </c>
      <c r="U3031" s="72">
        <f>+R3031-T3031</f>
        <v>1849.6000000000001</v>
      </c>
      <c r="V3031" s="72">
        <f>+U3031*0.75</f>
        <v>1387.2</v>
      </c>
      <c r="W3031" s="72">
        <f>+U3031-V3031</f>
        <v>462.40000000000009</v>
      </c>
      <c r="X3031" s="72">
        <v>0</v>
      </c>
      <c r="Y3031" s="14">
        <f t="shared" si="911"/>
        <v>0</v>
      </c>
      <c r="Z3031" s="11" t="s">
        <v>26</v>
      </c>
      <c r="AA3031" s="12" t="s">
        <v>31</v>
      </c>
    </row>
    <row r="3032" spans="1:27" x14ac:dyDescent="0.25">
      <c r="A3032" s="10">
        <v>45702</v>
      </c>
      <c r="B3032" s="11" t="s">
        <v>5547</v>
      </c>
      <c r="C3032" s="11" t="s">
        <v>5548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4439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2">
        <f>L3032*O3032</f>
        <v>3745.1000000000004</v>
      </c>
      <c r="S3032" s="72">
        <v>38</v>
      </c>
      <c r="T3032" s="72">
        <f t="shared" ref="T3032" si="912">L3032*S3032</f>
        <v>1674.2800000000002</v>
      </c>
      <c r="U3032" s="72">
        <f t="shared" ref="U3032" si="913">R3032-T3032</f>
        <v>2070.8200000000002</v>
      </c>
      <c r="V3032" s="72">
        <f>U3032*1</f>
        <v>2070.8200000000002</v>
      </c>
      <c r="W3032" s="72">
        <f t="shared" ref="W3032" si="914">U3032-V3032</f>
        <v>0</v>
      </c>
      <c r="X3032" s="72">
        <f>L3032*37</f>
        <v>1630.22</v>
      </c>
      <c r="Y3032" s="73">
        <f>+T3032-X3032</f>
        <v>44.060000000000173</v>
      </c>
      <c r="Z3032" s="12" t="s">
        <v>41</v>
      </c>
      <c r="AA3032" s="12" t="s">
        <v>78</v>
      </c>
    </row>
    <row r="3033" spans="1:27" x14ac:dyDescent="0.25">
      <c r="A3033" s="10">
        <v>45702</v>
      </c>
      <c r="B3033" s="11" t="s">
        <v>5549</v>
      </c>
      <c r="C3033" s="11" t="s">
        <v>5550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35</v>
      </c>
      <c r="P3033" s="13"/>
      <c r="Q3033" s="13">
        <v>0</v>
      </c>
      <c r="R3033" s="72">
        <f>+L3033*O3033</f>
        <v>1563.8</v>
      </c>
      <c r="S3033" s="72">
        <v>0</v>
      </c>
      <c r="T3033" s="72">
        <f>+L3033*S3033</f>
        <v>0</v>
      </c>
      <c r="U3033" s="72">
        <f>+R3033-T3033</f>
        <v>1563.8</v>
      </c>
      <c r="V3033" s="72">
        <f t="shared" ref="V3033" si="915">+U3033*0</f>
        <v>0</v>
      </c>
      <c r="W3033" s="72">
        <f>+U3033-V3033</f>
        <v>1563.8</v>
      </c>
      <c r="X3033" s="72">
        <v>0</v>
      </c>
      <c r="Y3033" s="14">
        <f t="shared" ref="Y3033:Y3036" si="916">T3033-X3033</f>
        <v>0</v>
      </c>
      <c r="Z3033" s="11" t="s">
        <v>26</v>
      </c>
      <c r="AA3033" s="12" t="s">
        <v>31</v>
      </c>
    </row>
    <row r="3034" spans="1:27" x14ac:dyDescent="0.25">
      <c r="A3034" s="10">
        <v>45702</v>
      </c>
      <c r="B3034" s="11" t="s">
        <v>5551</v>
      </c>
      <c r="C3034" s="11" t="s">
        <v>5552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2">
        <f>+M3034*P3034</f>
        <v>552</v>
      </c>
      <c r="S3034" s="72">
        <v>0</v>
      </c>
      <c r="T3034" s="72">
        <f>+M3034*S3034</f>
        <v>0</v>
      </c>
      <c r="U3034" s="72">
        <f t="shared" ref="U3034" si="917">+R3034-T3034</f>
        <v>552</v>
      </c>
      <c r="V3034" s="72">
        <f>+U3034*0</f>
        <v>0</v>
      </c>
      <c r="W3034" s="72">
        <f t="shared" ref="W3034" si="918">+U3034-V3034</f>
        <v>552</v>
      </c>
      <c r="X3034" s="72">
        <v>0</v>
      </c>
      <c r="Y3034" s="14">
        <f t="shared" si="916"/>
        <v>0</v>
      </c>
      <c r="Z3034" s="11" t="s">
        <v>26</v>
      </c>
      <c r="AA3034" s="12" t="s">
        <v>31</v>
      </c>
    </row>
    <row r="3035" spans="1:27" x14ac:dyDescent="0.25">
      <c r="A3035" s="10">
        <v>45702</v>
      </c>
      <c r="B3035" s="11" t="s">
        <v>5553</v>
      </c>
      <c r="C3035" s="11" t="s">
        <v>5554</v>
      </c>
      <c r="D3035" s="11">
        <v>17576</v>
      </c>
      <c r="E3035" s="11" t="s">
        <v>1217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2">
        <f>M3035*P3035</f>
        <v>1600</v>
      </c>
      <c r="S3035" s="72">
        <v>0</v>
      </c>
      <c r="T3035" s="72">
        <f>M3035*S3035</f>
        <v>0</v>
      </c>
      <c r="U3035" s="72">
        <f>R3035-T3035</f>
        <v>1600</v>
      </c>
      <c r="V3035" s="72">
        <f t="shared" ref="V3035" si="919">U3035*0</f>
        <v>0</v>
      </c>
      <c r="W3035" s="72">
        <f t="shared" ref="W3035" si="920">U3035-V3035</f>
        <v>1600</v>
      </c>
      <c r="X3035" s="72">
        <v>0</v>
      </c>
      <c r="Y3035" s="14">
        <f t="shared" si="916"/>
        <v>0</v>
      </c>
      <c r="Z3035" s="11" t="s">
        <v>26</v>
      </c>
      <c r="AA3035" s="12" t="s">
        <v>31</v>
      </c>
    </row>
    <row r="3036" spans="1:27" x14ac:dyDescent="0.25">
      <c r="A3036" s="10">
        <v>45702</v>
      </c>
      <c r="B3036" s="11" t="s">
        <v>619</v>
      </c>
      <c r="C3036" s="11" t="s">
        <v>5555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4440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2">
        <f>+L3036*O3036</f>
        <v>613.36</v>
      </c>
      <c r="S3036" s="72">
        <v>0</v>
      </c>
      <c r="T3036" s="72">
        <f>+L3036*S3036</f>
        <v>0</v>
      </c>
      <c r="U3036" s="72">
        <f t="shared" ref="U3036" si="921">+R3036-T3036</f>
        <v>613.36</v>
      </c>
      <c r="V3036" s="72">
        <f>+U3036*1</f>
        <v>613.36</v>
      </c>
      <c r="W3036" s="72">
        <f t="shared" ref="W3036" si="922">+U3036-V3036</f>
        <v>0</v>
      </c>
      <c r="X3036" s="72">
        <v>0</v>
      </c>
      <c r="Y3036" s="14">
        <f t="shared" si="916"/>
        <v>0</v>
      </c>
      <c r="Z3036" s="11" t="s">
        <v>26</v>
      </c>
      <c r="AA3036" s="12" t="s">
        <v>31</v>
      </c>
    </row>
    <row r="3037" spans="1:27" x14ac:dyDescent="0.25">
      <c r="A3037" s="10">
        <v>45702</v>
      </c>
      <c r="B3037" s="11" t="s">
        <v>5556</v>
      </c>
      <c r="C3037" s="11" t="s">
        <v>5557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4439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2">
        <f>L3037*O3037</f>
        <v>3730.02</v>
      </c>
      <c r="S3037" s="72">
        <v>38</v>
      </c>
      <c r="T3037" s="72">
        <f>L3037*S3037</f>
        <v>1707.7199999999998</v>
      </c>
      <c r="U3037" s="72">
        <f>R3037-T3037</f>
        <v>2022.3000000000002</v>
      </c>
      <c r="V3037" s="72">
        <f>U3037*1</f>
        <v>2022.3000000000002</v>
      </c>
      <c r="W3037" s="72">
        <f>U3037-V3037</f>
        <v>0</v>
      </c>
      <c r="X3037" s="72">
        <f>L3037*37</f>
        <v>1662.78</v>
      </c>
      <c r="Y3037" s="73">
        <f>+T3037-X3037</f>
        <v>44.939999999999827</v>
      </c>
      <c r="Z3037" s="12" t="s">
        <v>41</v>
      </c>
      <c r="AA3037" s="12" t="s">
        <v>78</v>
      </c>
    </row>
    <row r="3038" spans="1:27" x14ac:dyDescent="0.25">
      <c r="A3038" s="10">
        <v>45702</v>
      </c>
      <c r="B3038" s="11" t="s">
        <v>1942</v>
      </c>
      <c r="C3038" s="11" t="s">
        <v>5558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2">
        <f>(L3038*O3038)-Q3038</f>
        <v>724</v>
      </c>
      <c r="S3038" s="72">
        <v>0</v>
      </c>
      <c r="T3038" s="72">
        <f t="shared" ref="T3038" si="923">+L3038*S3038</f>
        <v>0</v>
      </c>
      <c r="U3038" s="72">
        <f t="shared" ref="U3038" si="924">+R3038-T3038</f>
        <v>724</v>
      </c>
      <c r="V3038" s="72">
        <f t="shared" ref="V3038:V3039" si="925">+U3038*0</f>
        <v>0</v>
      </c>
      <c r="W3038" s="72">
        <f t="shared" ref="W3038" si="926">+U3038-V3038</f>
        <v>724</v>
      </c>
      <c r="X3038" s="72">
        <v>0</v>
      </c>
      <c r="Y3038" s="14">
        <f t="shared" ref="Y3038:Y3069" si="927">T3038-X3038</f>
        <v>0</v>
      </c>
      <c r="Z3038" s="11" t="s">
        <v>26</v>
      </c>
      <c r="AA3038" s="12" t="s">
        <v>31</v>
      </c>
    </row>
    <row r="3039" spans="1:27" x14ac:dyDescent="0.25">
      <c r="A3039" s="10">
        <v>45702</v>
      </c>
      <c r="B3039" s="11" t="s">
        <v>5559</v>
      </c>
      <c r="C3039" s="11" t="s">
        <v>5560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35</v>
      </c>
      <c r="P3039" s="13"/>
      <c r="Q3039" s="13">
        <v>0</v>
      </c>
      <c r="R3039" s="72">
        <f>+L3039*O3039</f>
        <v>1555.3999999999999</v>
      </c>
      <c r="S3039" s="72">
        <v>0</v>
      </c>
      <c r="T3039" s="72">
        <f>+L3039*S3039</f>
        <v>0</v>
      </c>
      <c r="U3039" s="72">
        <f>+R3039-T3039</f>
        <v>1555.3999999999999</v>
      </c>
      <c r="V3039" s="72">
        <f t="shared" si="925"/>
        <v>0</v>
      </c>
      <c r="W3039" s="72">
        <f>+U3039-V3039</f>
        <v>1555.3999999999999</v>
      </c>
      <c r="X3039" s="72">
        <v>0</v>
      </c>
      <c r="Y3039" s="14">
        <f t="shared" si="927"/>
        <v>0</v>
      </c>
      <c r="Z3039" s="11" t="s">
        <v>26</v>
      </c>
      <c r="AA3039" s="12" t="s">
        <v>31</v>
      </c>
    </row>
    <row r="3040" spans="1:27" x14ac:dyDescent="0.25">
      <c r="A3040" s="10">
        <v>45702</v>
      </c>
      <c r="B3040" s="11" t="s">
        <v>664</v>
      </c>
      <c r="C3040" s="11" t="s">
        <v>5561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2">
        <f>(L3040*O3040)-Q3040</f>
        <v>747.00000000000011</v>
      </c>
      <c r="S3040" s="72">
        <v>0</v>
      </c>
      <c r="T3040" s="72">
        <f t="shared" ref="T3040" si="928">+L3040*S3040</f>
        <v>0</v>
      </c>
      <c r="U3040" s="72">
        <f t="shared" ref="U3040:U3041" si="929">+R3040-T3040</f>
        <v>747.00000000000011</v>
      </c>
      <c r="V3040" s="72">
        <f>+U3040*0</f>
        <v>0</v>
      </c>
      <c r="W3040" s="72">
        <f t="shared" ref="W3040:W3041" si="930">+U3040-V3040</f>
        <v>747.00000000000011</v>
      </c>
      <c r="X3040" s="72">
        <v>0</v>
      </c>
      <c r="Y3040" s="14">
        <f t="shared" si="927"/>
        <v>0</v>
      </c>
      <c r="Z3040" s="11" t="s">
        <v>26</v>
      </c>
      <c r="AA3040" s="12" t="s">
        <v>31</v>
      </c>
    </row>
    <row r="3041" spans="1:27" x14ac:dyDescent="0.25">
      <c r="A3041" s="10">
        <v>45702</v>
      </c>
      <c r="B3041" s="11" t="s">
        <v>5562</v>
      </c>
      <c r="C3041" s="11" t="s">
        <v>5563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4440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2">
        <f>+L3041*O3041</f>
        <v>1599.3</v>
      </c>
      <c r="S3041" s="72">
        <v>0</v>
      </c>
      <c r="T3041" s="72">
        <f>+L3041*S3041</f>
        <v>0</v>
      </c>
      <c r="U3041" s="72">
        <f t="shared" si="929"/>
        <v>1599.3</v>
      </c>
      <c r="V3041" s="72">
        <f>+U3041*1</f>
        <v>1599.3</v>
      </c>
      <c r="W3041" s="72">
        <f t="shared" si="930"/>
        <v>0</v>
      </c>
      <c r="X3041" s="72">
        <v>0</v>
      </c>
      <c r="Y3041" s="14">
        <f t="shared" si="927"/>
        <v>0</v>
      </c>
      <c r="Z3041" s="11" t="s">
        <v>26</v>
      </c>
      <c r="AA3041" s="12" t="s">
        <v>31</v>
      </c>
    </row>
    <row r="3042" spans="1:27" x14ac:dyDescent="0.25">
      <c r="A3042" s="10">
        <v>45702</v>
      </c>
      <c r="B3042" s="11" t="s">
        <v>5564</v>
      </c>
      <c r="C3042" s="11" t="s">
        <v>5565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2">
        <f>L3042*O3042</f>
        <v>1011.5</v>
      </c>
      <c r="S3042" s="72">
        <v>0</v>
      </c>
      <c r="T3042" s="72">
        <f t="shared" ref="T3042" si="931">L3042*S3042</f>
        <v>0</v>
      </c>
      <c r="U3042" s="72">
        <f>R3042-T3042</f>
        <v>1011.5</v>
      </c>
      <c r="V3042" s="72">
        <f>U3042*0</f>
        <v>0</v>
      </c>
      <c r="W3042" s="72">
        <f>U3042-V3042</f>
        <v>1011.5</v>
      </c>
      <c r="X3042" s="72">
        <v>0</v>
      </c>
      <c r="Y3042" s="14">
        <f t="shared" si="927"/>
        <v>0</v>
      </c>
      <c r="Z3042" s="11" t="s">
        <v>26</v>
      </c>
      <c r="AA3042" s="12" t="s">
        <v>31</v>
      </c>
    </row>
    <row r="3043" spans="1:27" x14ac:dyDescent="0.25">
      <c r="A3043" s="10">
        <v>45702</v>
      </c>
      <c r="B3043" s="11" t="s">
        <v>5566</v>
      </c>
      <c r="C3043" s="11" t="s">
        <v>5567</v>
      </c>
      <c r="D3043" s="11">
        <v>17584</v>
      </c>
      <c r="E3043" s="11" t="s">
        <v>2126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35</v>
      </c>
      <c r="P3043" s="13"/>
      <c r="Q3043" s="13">
        <v>0</v>
      </c>
      <c r="R3043" s="72">
        <f>+L3043*O3043</f>
        <v>1614.9</v>
      </c>
      <c r="S3043" s="72">
        <v>0</v>
      </c>
      <c r="T3043" s="72">
        <f>+L3043*S3043</f>
        <v>0</v>
      </c>
      <c r="U3043" s="72">
        <f>+R3043-T3043</f>
        <v>1614.9</v>
      </c>
      <c r="V3043" s="72">
        <f t="shared" ref="V3043" si="932">+U3043*0</f>
        <v>0</v>
      </c>
      <c r="W3043" s="72">
        <f>+U3043-V3043</f>
        <v>1614.9</v>
      </c>
      <c r="X3043" s="72">
        <v>0</v>
      </c>
      <c r="Y3043" s="14">
        <f t="shared" si="927"/>
        <v>0</v>
      </c>
      <c r="Z3043" s="11" t="s">
        <v>26</v>
      </c>
      <c r="AA3043" s="12" t="s">
        <v>31</v>
      </c>
    </row>
    <row r="3044" spans="1:27" x14ac:dyDescent="0.25">
      <c r="A3044" s="10">
        <v>45702</v>
      </c>
      <c r="B3044" s="11" t="s">
        <v>5568</v>
      </c>
      <c r="C3044" s="11" t="s">
        <v>5569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4463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2">
        <f t="shared" ref="R3044" si="933">+L3044*O3044</f>
        <v>1584</v>
      </c>
      <c r="S3044" s="72">
        <v>0</v>
      </c>
      <c r="T3044" s="72">
        <f>+L3044*S3044</f>
        <v>0</v>
      </c>
      <c r="U3044" s="72">
        <f>+R3044-T3044</f>
        <v>1584</v>
      </c>
      <c r="V3044" s="72">
        <f>+U3044*1</f>
        <v>1584</v>
      </c>
      <c r="W3044" s="72">
        <f>+U3044-V3044</f>
        <v>0</v>
      </c>
      <c r="X3044" s="72">
        <v>0</v>
      </c>
      <c r="Y3044" s="14">
        <f t="shared" si="927"/>
        <v>0</v>
      </c>
      <c r="Z3044" s="11" t="s">
        <v>26</v>
      </c>
      <c r="AA3044" s="12" t="s">
        <v>31</v>
      </c>
    </row>
    <row r="3045" spans="1:27" x14ac:dyDescent="0.25">
      <c r="A3045" s="10">
        <v>45702</v>
      </c>
      <c r="B3045" s="11" t="s">
        <v>5570</v>
      </c>
      <c r="C3045" s="11" t="s">
        <v>5571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2">
        <f>L3045*O3045</f>
        <v>992</v>
      </c>
      <c r="S3045" s="72">
        <v>0</v>
      </c>
      <c r="T3045" s="72">
        <f t="shared" ref="T3045" si="934">L3045*S3045</f>
        <v>0</v>
      </c>
      <c r="U3045" s="72">
        <f>R3045-T3045</f>
        <v>992</v>
      </c>
      <c r="V3045" s="72">
        <f>U3045*0</f>
        <v>0</v>
      </c>
      <c r="W3045" s="72">
        <f>U3045-V3045</f>
        <v>992</v>
      </c>
      <c r="X3045" s="72">
        <v>0</v>
      </c>
      <c r="Y3045" s="14">
        <f t="shared" si="927"/>
        <v>0</v>
      </c>
      <c r="Z3045" s="11" t="s">
        <v>26</v>
      </c>
      <c r="AA3045" s="12" t="s">
        <v>31</v>
      </c>
    </row>
    <row r="3046" spans="1:27" x14ac:dyDescent="0.25">
      <c r="A3046" s="10">
        <v>45702</v>
      </c>
      <c r="B3046" s="11" t="s">
        <v>5572</v>
      </c>
      <c r="C3046" s="11" t="s">
        <v>5573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4465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2">
        <f>+L3046*O3046</f>
        <v>1909.1000000000001</v>
      </c>
      <c r="S3046" s="72">
        <v>0</v>
      </c>
      <c r="T3046" s="72">
        <f>+L3046*S3046</f>
        <v>0</v>
      </c>
      <c r="U3046" s="72">
        <f>+R3046-T3046</f>
        <v>1909.1000000000001</v>
      </c>
      <c r="V3046" s="72">
        <f>+U3046*0.75</f>
        <v>1431.825</v>
      </c>
      <c r="W3046" s="72">
        <f>+U3046-V3046</f>
        <v>477.27500000000009</v>
      </c>
      <c r="X3046" s="72">
        <v>0</v>
      </c>
      <c r="Y3046" s="14">
        <f t="shared" si="927"/>
        <v>0</v>
      </c>
      <c r="Z3046" s="11" t="s">
        <v>26</v>
      </c>
      <c r="AA3046" s="12" t="s">
        <v>31</v>
      </c>
    </row>
    <row r="3047" spans="1:27" x14ac:dyDescent="0.25">
      <c r="A3047" s="10">
        <v>45702</v>
      </c>
      <c r="B3047" s="11" t="s">
        <v>4123</v>
      </c>
      <c r="C3047" s="11" t="s">
        <v>5574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2">
        <f>(L3047*O3047)-Q3047</f>
        <v>699.2</v>
      </c>
      <c r="S3047" s="72">
        <v>0</v>
      </c>
      <c r="T3047" s="72">
        <f t="shared" ref="T3047" si="935">+L3047*S3047</f>
        <v>0</v>
      </c>
      <c r="U3047" s="72">
        <f t="shared" ref="U3047" si="936">+R3047-T3047</f>
        <v>699.2</v>
      </c>
      <c r="V3047" s="72">
        <f t="shared" ref="V3047" si="937">+U3047*0</f>
        <v>0</v>
      </c>
      <c r="W3047" s="72">
        <f t="shared" ref="W3047" si="938">+U3047-V3047</f>
        <v>699.2</v>
      </c>
      <c r="X3047" s="72">
        <v>0</v>
      </c>
      <c r="Y3047" s="14">
        <f t="shared" si="927"/>
        <v>0</v>
      </c>
      <c r="Z3047" s="11" t="s">
        <v>26</v>
      </c>
      <c r="AA3047" s="12" t="s">
        <v>31</v>
      </c>
    </row>
    <row r="3048" spans="1:27" x14ac:dyDescent="0.25">
      <c r="A3048" s="10">
        <v>45702</v>
      </c>
      <c r="B3048" s="11" t="s">
        <v>475</v>
      </c>
      <c r="C3048" s="11" t="s">
        <v>5575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2">
        <f>L3048*O3048</f>
        <v>960.5</v>
      </c>
      <c r="S3048" s="72">
        <v>0</v>
      </c>
      <c r="T3048" s="72">
        <f t="shared" ref="T3048" si="939">L3048*S3048</f>
        <v>0</v>
      </c>
      <c r="U3048" s="72">
        <f>R3048-T3048</f>
        <v>960.5</v>
      </c>
      <c r="V3048" s="72">
        <f>U3048*0</f>
        <v>0</v>
      </c>
      <c r="W3048" s="72">
        <f>U3048-V3048</f>
        <v>960.5</v>
      </c>
      <c r="X3048" s="72">
        <v>0</v>
      </c>
      <c r="Y3048" s="14">
        <f t="shared" si="927"/>
        <v>0</v>
      </c>
      <c r="Z3048" s="11" t="s">
        <v>26</v>
      </c>
      <c r="AA3048" s="12" t="s">
        <v>31</v>
      </c>
    </row>
    <row r="3049" spans="1:27" x14ac:dyDescent="0.25">
      <c r="A3049" s="10">
        <v>45702</v>
      </c>
      <c r="B3049" s="11" t="s">
        <v>328</v>
      </c>
      <c r="C3049" s="11" t="s">
        <v>5576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2">
        <f>+M3049*P3049</f>
        <v>456</v>
      </c>
      <c r="S3049" s="72">
        <v>0</v>
      </c>
      <c r="T3049" s="72">
        <f>+M3049*S3049</f>
        <v>0</v>
      </c>
      <c r="U3049" s="72">
        <f t="shared" ref="U3049:U3050" si="940">+R3049-T3049</f>
        <v>456</v>
      </c>
      <c r="V3049" s="72">
        <f>+U3049*0</f>
        <v>0</v>
      </c>
      <c r="W3049" s="72">
        <f t="shared" ref="W3049:W3050" si="941">+U3049-V3049</f>
        <v>456</v>
      </c>
      <c r="X3049" s="72">
        <v>0</v>
      </c>
      <c r="Y3049" s="14">
        <f t="shared" si="927"/>
        <v>0</v>
      </c>
      <c r="Z3049" s="11" t="s">
        <v>26</v>
      </c>
      <c r="AA3049" s="12" t="s">
        <v>31</v>
      </c>
    </row>
    <row r="3050" spans="1:27" x14ac:dyDescent="0.25">
      <c r="A3050" s="10">
        <v>45702</v>
      </c>
      <c r="B3050" s="11" t="s">
        <v>5577</v>
      </c>
      <c r="C3050" s="11" t="s">
        <v>5578</v>
      </c>
      <c r="D3050" s="11">
        <v>17591</v>
      </c>
      <c r="E3050" s="11" t="s">
        <v>5226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2">
        <f>(L3050*O3050)-Q3050</f>
        <v>570.54</v>
      </c>
      <c r="S3050" s="72">
        <v>0</v>
      </c>
      <c r="T3050" s="72">
        <f t="shared" ref="T3050" si="942">+L3050*S3050</f>
        <v>0</v>
      </c>
      <c r="U3050" s="72">
        <f t="shared" si="940"/>
        <v>570.54</v>
      </c>
      <c r="V3050" s="72">
        <f>+U3050*0</f>
        <v>0</v>
      </c>
      <c r="W3050" s="72">
        <f t="shared" si="941"/>
        <v>570.54</v>
      </c>
      <c r="X3050" s="72">
        <v>0</v>
      </c>
      <c r="Y3050" s="14">
        <f t="shared" si="927"/>
        <v>0</v>
      </c>
      <c r="Z3050" s="11" t="s">
        <v>26</v>
      </c>
      <c r="AA3050" s="12" t="s">
        <v>31</v>
      </c>
    </row>
    <row r="3051" spans="1:27" x14ac:dyDescent="0.25">
      <c r="A3051" s="10">
        <v>45702</v>
      </c>
      <c r="B3051" s="11" t="s">
        <v>1765</v>
      </c>
      <c r="C3051" s="11" t="s">
        <v>5579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4465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2">
        <f>+L3051*O3051</f>
        <v>1804.55</v>
      </c>
      <c r="S3051" s="72">
        <v>0</v>
      </c>
      <c r="T3051" s="72">
        <f>+L3051*S3051</f>
        <v>0</v>
      </c>
      <c r="U3051" s="72">
        <f>+R3051-T3051</f>
        <v>1804.55</v>
      </c>
      <c r="V3051" s="72">
        <f>+U3051*0.75</f>
        <v>1353.4124999999999</v>
      </c>
      <c r="W3051" s="72">
        <f>+U3051-V3051</f>
        <v>451.13750000000005</v>
      </c>
      <c r="X3051" s="72">
        <v>0</v>
      </c>
      <c r="Y3051" s="14">
        <f t="shared" si="927"/>
        <v>0</v>
      </c>
      <c r="Z3051" s="11" t="s">
        <v>26</v>
      </c>
      <c r="AA3051" s="12" t="s">
        <v>31</v>
      </c>
    </row>
    <row r="3052" spans="1:27" x14ac:dyDescent="0.25">
      <c r="A3052" s="10">
        <v>45702</v>
      </c>
      <c r="B3052" s="11" t="s">
        <v>2566</v>
      </c>
      <c r="C3052" s="11" t="s">
        <v>5580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4465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2">
        <f>+L3052*O3052</f>
        <v>1924.4</v>
      </c>
      <c r="S3052" s="72">
        <v>0</v>
      </c>
      <c r="T3052" s="72">
        <f>+L3052*S3052</f>
        <v>0</v>
      </c>
      <c r="U3052" s="72">
        <f>+R3052-T3052</f>
        <v>1924.4</v>
      </c>
      <c r="V3052" s="72">
        <f>+U3052*0.75</f>
        <v>1443.3000000000002</v>
      </c>
      <c r="W3052" s="72">
        <f>+U3052-V3052</f>
        <v>481.09999999999991</v>
      </c>
      <c r="X3052" s="72">
        <v>0</v>
      </c>
      <c r="Y3052" s="14">
        <f t="shared" si="927"/>
        <v>0</v>
      </c>
      <c r="Z3052" s="11" t="s">
        <v>26</v>
      </c>
      <c r="AA3052" s="12" t="s">
        <v>31</v>
      </c>
    </row>
    <row r="3053" spans="1:27" x14ac:dyDescent="0.25">
      <c r="A3053" s="10">
        <v>45702</v>
      </c>
      <c r="B3053" s="11" t="s">
        <v>1807</v>
      </c>
      <c r="C3053" s="11" t="s">
        <v>5581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4440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2">
        <f t="shared" ref="R3053" si="943">+L3053*O3053</f>
        <v>1431.36</v>
      </c>
      <c r="S3053" s="72">
        <v>0</v>
      </c>
      <c r="T3053" s="72">
        <f t="shared" ref="T3053" si="944">+L3053*S3053</f>
        <v>0</v>
      </c>
      <c r="U3053" s="72">
        <f t="shared" ref="U3053" si="945">+R3053-T3053</f>
        <v>1431.36</v>
      </c>
      <c r="V3053" s="72">
        <f>+U3053*1</f>
        <v>1431.36</v>
      </c>
      <c r="W3053" s="72">
        <f t="shared" ref="W3053" si="946">+U3053-V3053</f>
        <v>0</v>
      </c>
      <c r="X3053" s="72">
        <v>0</v>
      </c>
      <c r="Y3053" s="14">
        <f t="shared" si="927"/>
        <v>0</v>
      </c>
      <c r="Z3053" s="11" t="s">
        <v>26</v>
      </c>
      <c r="AA3053" s="12" t="s">
        <v>31</v>
      </c>
    </row>
    <row r="3054" spans="1:27" x14ac:dyDescent="0.25">
      <c r="A3054" s="10">
        <v>45702</v>
      </c>
      <c r="B3054" s="11" t="s">
        <v>710</v>
      </c>
      <c r="C3054" s="11" t="s">
        <v>5582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6345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2">
        <f>L3054*O3054</f>
        <v>1363.3999999999999</v>
      </c>
      <c r="S3054" s="72">
        <v>0</v>
      </c>
      <c r="T3054" s="72">
        <f>+L3054*S3054</f>
        <v>0</v>
      </c>
      <c r="U3054" s="72">
        <f>R3054-T3054</f>
        <v>1363.3999999999999</v>
      </c>
      <c r="V3054" s="72">
        <f>U3054*0</f>
        <v>0</v>
      </c>
      <c r="W3054" s="72">
        <f>U3054-V3054</f>
        <v>1363.3999999999999</v>
      </c>
      <c r="X3054" s="72"/>
      <c r="Y3054" s="14">
        <f t="shared" si="927"/>
        <v>0</v>
      </c>
      <c r="Z3054" s="11" t="s">
        <v>26</v>
      </c>
      <c r="AA3054" s="12" t="s">
        <v>31</v>
      </c>
    </row>
    <row r="3055" spans="1:27" x14ac:dyDescent="0.25">
      <c r="A3055" s="10">
        <v>45702</v>
      </c>
      <c r="B3055" s="11" t="s">
        <v>5583</v>
      </c>
      <c r="C3055" s="11" t="s">
        <v>5584</v>
      </c>
      <c r="D3055" s="11">
        <v>17596</v>
      </c>
      <c r="E3055" s="11" t="s">
        <v>2143</v>
      </c>
      <c r="F3055" s="11" t="s">
        <v>26</v>
      </c>
      <c r="G3055" s="11">
        <v>112861</v>
      </c>
      <c r="H3055" s="12" t="s">
        <v>4463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2">
        <f t="shared" ref="R3055" si="947">+L3055*O3055</f>
        <v>1519.76</v>
      </c>
      <c r="S3055" s="72">
        <v>0</v>
      </c>
      <c r="T3055" s="72">
        <f>+L3055*S3055</f>
        <v>0</v>
      </c>
      <c r="U3055" s="72">
        <f>+R3055-T3055</f>
        <v>1519.76</v>
      </c>
      <c r="V3055" s="72">
        <f>+U3055*1</f>
        <v>1519.76</v>
      </c>
      <c r="W3055" s="72">
        <f>+U3055-V3055</f>
        <v>0</v>
      </c>
      <c r="X3055" s="72">
        <v>0</v>
      </c>
      <c r="Y3055" s="14">
        <f t="shared" si="927"/>
        <v>0</v>
      </c>
      <c r="Z3055" s="11" t="s">
        <v>26</v>
      </c>
      <c r="AA3055" s="12" t="s">
        <v>31</v>
      </c>
    </row>
    <row r="3056" spans="1:27" x14ac:dyDescent="0.25">
      <c r="A3056" s="10">
        <v>45702</v>
      </c>
      <c r="B3056" s="11" t="s">
        <v>5585</v>
      </c>
      <c r="C3056" s="11" t="s">
        <v>5586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2">
        <f>+L3056*O3056</f>
        <v>1662.4</v>
      </c>
      <c r="S3056" s="72">
        <v>0</v>
      </c>
      <c r="T3056" s="72">
        <f>+L3056*S3056</f>
        <v>0</v>
      </c>
      <c r="U3056" s="72">
        <f>+R3056-T3056</f>
        <v>1662.4</v>
      </c>
      <c r="V3056" s="72">
        <f t="shared" ref="V3056:V3058" si="948">+U3056*0</f>
        <v>0</v>
      </c>
      <c r="W3056" s="72">
        <f>+U3056-V3056</f>
        <v>1662.4</v>
      </c>
      <c r="X3056" s="72">
        <v>0</v>
      </c>
      <c r="Y3056" s="14">
        <f t="shared" si="927"/>
        <v>0</v>
      </c>
      <c r="Z3056" s="11" t="s">
        <v>26</v>
      </c>
      <c r="AA3056" s="12" t="s">
        <v>31</v>
      </c>
    </row>
    <row r="3057" spans="1:27" x14ac:dyDescent="0.25">
      <c r="A3057" s="10">
        <v>45702</v>
      </c>
      <c r="B3057" s="11" t="s">
        <v>4206</v>
      </c>
      <c r="C3057" s="11" t="s">
        <v>5587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2">
        <f>(L3057*O3057)-Q3057</f>
        <v>692.8</v>
      </c>
      <c r="S3057" s="72">
        <v>0</v>
      </c>
      <c r="T3057" s="72">
        <f t="shared" ref="T3057" si="949">+L3057*S3057</f>
        <v>0</v>
      </c>
      <c r="U3057" s="72">
        <f t="shared" ref="U3057" si="950">+R3057-T3057</f>
        <v>692.8</v>
      </c>
      <c r="V3057" s="72">
        <f t="shared" si="948"/>
        <v>0</v>
      </c>
      <c r="W3057" s="72">
        <f t="shared" ref="W3057" si="951">+U3057-V3057</f>
        <v>692.8</v>
      </c>
      <c r="X3057" s="72">
        <v>0</v>
      </c>
      <c r="Y3057" s="14">
        <f t="shared" si="927"/>
        <v>0</v>
      </c>
      <c r="Z3057" s="11" t="s">
        <v>26</v>
      </c>
      <c r="AA3057" s="12" t="s">
        <v>31</v>
      </c>
    </row>
    <row r="3058" spans="1:27" x14ac:dyDescent="0.25">
      <c r="A3058" s="10">
        <v>45702</v>
      </c>
      <c r="B3058" s="11" t="s">
        <v>4405</v>
      </c>
      <c r="C3058" s="11" t="s">
        <v>5588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35</v>
      </c>
      <c r="P3058" s="13"/>
      <c r="Q3058" s="13">
        <v>0</v>
      </c>
      <c r="R3058" s="72">
        <f>+L3058*O3058</f>
        <v>1538.6000000000001</v>
      </c>
      <c r="S3058" s="72">
        <v>0</v>
      </c>
      <c r="T3058" s="72">
        <f>+L3058*S3058</f>
        <v>0</v>
      </c>
      <c r="U3058" s="72">
        <f>+R3058-T3058</f>
        <v>1538.6000000000001</v>
      </c>
      <c r="V3058" s="72">
        <f t="shared" si="948"/>
        <v>0</v>
      </c>
      <c r="W3058" s="72">
        <f>+U3058-V3058</f>
        <v>1538.6000000000001</v>
      </c>
      <c r="X3058" s="72">
        <v>0</v>
      </c>
      <c r="Y3058" s="14">
        <f t="shared" si="927"/>
        <v>0</v>
      </c>
      <c r="Z3058" s="11" t="s">
        <v>26</v>
      </c>
      <c r="AA3058" s="12" t="s">
        <v>31</v>
      </c>
    </row>
    <row r="3059" spans="1:27" x14ac:dyDescent="0.25">
      <c r="A3059" s="10">
        <v>45702</v>
      </c>
      <c r="B3059" s="11" t="s">
        <v>2022</v>
      </c>
      <c r="C3059" s="11" t="s">
        <v>5589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2">
        <f>M3059*P3059</f>
        <v>1550</v>
      </c>
      <c r="S3059" s="72">
        <v>0</v>
      </c>
      <c r="T3059" s="72">
        <f>M3059*S3059</f>
        <v>0</v>
      </c>
      <c r="U3059" s="72">
        <f>R3059-T3059</f>
        <v>1550</v>
      </c>
      <c r="V3059" s="72">
        <f>U3059*0</f>
        <v>0</v>
      </c>
      <c r="W3059" s="72">
        <f>U3059-V3059</f>
        <v>1550</v>
      </c>
      <c r="X3059" s="72">
        <v>0</v>
      </c>
      <c r="Y3059" s="14">
        <f t="shared" si="927"/>
        <v>0</v>
      </c>
      <c r="Z3059" s="11" t="s">
        <v>26</v>
      </c>
      <c r="AA3059" s="12" t="s">
        <v>31</v>
      </c>
    </row>
    <row r="3060" spans="1:27" x14ac:dyDescent="0.25">
      <c r="A3060" s="10">
        <v>45702</v>
      </c>
      <c r="B3060" s="11" t="s">
        <v>5590</v>
      </c>
      <c r="C3060" s="11" t="s">
        <v>5591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2">
        <f>(L3060*O3060)-Q3060</f>
        <v>446.4</v>
      </c>
      <c r="S3060" s="72">
        <v>0</v>
      </c>
      <c r="T3060" s="72">
        <f t="shared" ref="T3060" si="952">+L3060*S3060</f>
        <v>0</v>
      </c>
      <c r="U3060" s="72">
        <f t="shared" ref="U3060" si="953">+R3060-T3060</f>
        <v>446.4</v>
      </c>
      <c r="V3060" s="72">
        <f>+U3060*0</f>
        <v>0</v>
      </c>
      <c r="W3060" s="72">
        <f t="shared" ref="W3060" si="954">+U3060-V3060</f>
        <v>446.4</v>
      </c>
      <c r="X3060" s="72">
        <v>0</v>
      </c>
      <c r="Y3060" s="14">
        <f t="shared" si="927"/>
        <v>0</v>
      </c>
      <c r="Z3060" s="11" t="s">
        <v>26</v>
      </c>
      <c r="AA3060" s="12" t="s">
        <v>31</v>
      </c>
    </row>
    <row r="3061" spans="1:27" x14ac:dyDescent="0.25">
      <c r="A3061" s="10">
        <v>45702</v>
      </c>
      <c r="B3061" s="11" t="s">
        <v>5592</v>
      </c>
      <c r="C3061" s="11" t="s">
        <v>5593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2">
        <f>+L3061*O3061</f>
        <v>1642.4</v>
      </c>
      <c r="S3061" s="72">
        <v>0</v>
      </c>
      <c r="T3061" s="72">
        <f>+L3061*S3061</f>
        <v>0</v>
      </c>
      <c r="U3061" s="72">
        <f>+R3061-T3061</f>
        <v>1642.4</v>
      </c>
      <c r="V3061" s="72">
        <f t="shared" ref="V3061" si="955">+U3061*0</f>
        <v>0</v>
      </c>
      <c r="W3061" s="72">
        <f>+U3061-V3061</f>
        <v>1642.4</v>
      </c>
      <c r="X3061" s="72">
        <v>0</v>
      </c>
      <c r="Y3061" s="14">
        <f t="shared" si="927"/>
        <v>0</v>
      </c>
      <c r="Z3061" s="11" t="s">
        <v>26</v>
      </c>
      <c r="AA3061" s="12" t="s">
        <v>31</v>
      </c>
    </row>
    <row r="3062" spans="1:27" x14ac:dyDescent="0.25">
      <c r="A3062" s="10">
        <v>45702</v>
      </c>
      <c r="B3062" s="11" t="s">
        <v>1873</v>
      </c>
      <c r="C3062" s="11" t="s">
        <v>5594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2">
        <f>M3062*P3062</f>
        <v>1550</v>
      </c>
      <c r="S3062" s="72">
        <v>0</v>
      </c>
      <c r="T3062" s="72">
        <f>M3062*S3062</f>
        <v>0</v>
      </c>
      <c r="U3062" s="72">
        <f>R3062-T3062</f>
        <v>1550</v>
      </c>
      <c r="V3062" s="72">
        <f>U3062*0</f>
        <v>0</v>
      </c>
      <c r="W3062" s="72">
        <f>U3062-V3062</f>
        <v>1550</v>
      </c>
      <c r="X3062" s="72">
        <v>0</v>
      </c>
      <c r="Y3062" s="14">
        <f t="shared" si="927"/>
        <v>0</v>
      </c>
      <c r="Z3062" s="11" t="s">
        <v>26</v>
      </c>
      <c r="AA3062" s="12" t="s">
        <v>31</v>
      </c>
    </row>
    <row r="3063" spans="1:27" x14ac:dyDescent="0.25">
      <c r="A3063" s="10">
        <v>45702</v>
      </c>
      <c r="B3063" s="11" t="s">
        <v>5595</v>
      </c>
      <c r="C3063" s="11" t="s">
        <v>5596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4440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2">
        <f>+L3063*O3063</f>
        <v>1593.9</v>
      </c>
      <c r="S3063" s="72">
        <v>0</v>
      </c>
      <c r="T3063" s="72">
        <f>+L3063*S3063</f>
        <v>0</v>
      </c>
      <c r="U3063" s="72">
        <f t="shared" ref="U3063" si="956">+R3063-T3063</f>
        <v>1593.9</v>
      </c>
      <c r="V3063" s="72">
        <f>+U3063*1</f>
        <v>1593.9</v>
      </c>
      <c r="W3063" s="72">
        <f t="shared" ref="W3063" si="957">+U3063-V3063</f>
        <v>0</v>
      </c>
      <c r="X3063" s="72">
        <v>0</v>
      </c>
      <c r="Y3063" s="14">
        <f t="shared" si="927"/>
        <v>0</v>
      </c>
      <c r="Z3063" s="11" t="s">
        <v>26</v>
      </c>
      <c r="AA3063" s="12" t="s">
        <v>31</v>
      </c>
    </row>
    <row r="3064" spans="1:27" x14ac:dyDescent="0.25">
      <c r="A3064" s="10">
        <v>45702</v>
      </c>
      <c r="B3064" s="11" t="s">
        <v>2753</v>
      </c>
      <c r="C3064" s="11" t="s">
        <v>5597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2">
        <f>M3064*P3064</f>
        <v>625</v>
      </c>
      <c r="S3064" s="72">
        <v>0</v>
      </c>
      <c r="T3064" s="72">
        <f>M3064*S3064</f>
        <v>0</v>
      </c>
      <c r="U3064" s="72">
        <f>R3064-T3064</f>
        <v>625</v>
      </c>
      <c r="V3064" s="72">
        <f>U3064*0</f>
        <v>0</v>
      </c>
      <c r="W3064" s="72">
        <f>U3064-V3064</f>
        <v>625</v>
      </c>
      <c r="X3064" s="72">
        <v>0</v>
      </c>
      <c r="Y3064" s="14">
        <f t="shared" si="927"/>
        <v>0</v>
      </c>
      <c r="Z3064" s="11" t="s">
        <v>26</v>
      </c>
      <c r="AA3064" s="12" t="s">
        <v>31</v>
      </c>
    </row>
    <row r="3065" spans="1:27" x14ac:dyDescent="0.25">
      <c r="A3065" s="10">
        <v>45702</v>
      </c>
      <c r="B3065" s="11" t="s">
        <v>263</v>
      </c>
      <c r="C3065" s="11" t="s">
        <v>5598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2">
        <f>M3065*P3065</f>
        <v>1600</v>
      </c>
      <c r="S3065" s="72">
        <v>0</v>
      </c>
      <c r="T3065" s="72">
        <f>M3065*S3065</f>
        <v>0</v>
      </c>
      <c r="U3065" s="72">
        <f>+R3065-T3065</f>
        <v>1600</v>
      </c>
      <c r="V3065" s="72">
        <f t="shared" ref="V3065" si="958">+U3065*0</f>
        <v>0</v>
      </c>
      <c r="W3065" s="72">
        <f>+U3065-V3065</f>
        <v>1600</v>
      </c>
      <c r="X3065" s="72">
        <v>0</v>
      </c>
      <c r="Y3065" s="14">
        <f t="shared" si="927"/>
        <v>0</v>
      </c>
      <c r="Z3065" s="11" t="s">
        <v>26</v>
      </c>
      <c r="AA3065" s="12" t="s">
        <v>31</v>
      </c>
    </row>
    <row r="3066" spans="1:27" x14ac:dyDescent="0.25">
      <c r="A3066" s="10">
        <v>45702</v>
      </c>
      <c r="B3066" s="11" t="s">
        <v>5599</v>
      </c>
      <c r="C3066" s="11" t="s">
        <v>5600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4440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2">
        <f>+L3066*O3066</f>
        <v>596.36</v>
      </c>
      <c r="S3066" s="72">
        <v>0</v>
      </c>
      <c r="T3066" s="72">
        <f>+L3066*S3066</f>
        <v>0</v>
      </c>
      <c r="U3066" s="72">
        <f t="shared" ref="U3066:U3068" si="959">+R3066-T3066</f>
        <v>596.36</v>
      </c>
      <c r="V3066" s="72">
        <f>+U3066*1</f>
        <v>596.36</v>
      </c>
      <c r="W3066" s="72">
        <f t="shared" ref="W3066:W3068" si="960">+U3066-V3066</f>
        <v>0</v>
      </c>
      <c r="X3066" s="72">
        <v>0</v>
      </c>
      <c r="Y3066" s="14">
        <f t="shared" si="927"/>
        <v>0</v>
      </c>
      <c r="Z3066" s="11" t="s">
        <v>26</v>
      </c>
      <c r="AA3066" s="12" t="s">
        <v>31</v>
      </c>
    </row>
    <row r="3067" spans="1:27" x14ac:dyDescent="0.25">
      <c r="A3067" s="10">
        <v>45702</v>
      </c>
      <c r="B3067" s="11" t="s">
        <v>2831</v>
      </c>
      <c r="C3067" s="11" t="s">
        <v>5601</v>
      </c>
      <c r="D3067" s="11">
        <v>17608</v>
      </c>
      <c r="E3067" s="11" t="s">
        <v>5226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2">
        <f>(L3067*O3067)-Q3067</f>
        <v>535.02</v>
      </c>
      <c r="S3067" s="72">
        <v>0</v>
      </c>
      <c r="T3067" s="72">
        <f t="shared" ref="T3067:T3068" si="961">+L3067*S3067</f>
        <v>0</v>
      </c>
      <c r="U3067" s="72">
        <f t="shared" si="959"/>
        <v>535.02</v>
      </c>
      <c r="V3067" s="72">
        <f>+U3067*0</f>
        <v>0</v>
      </c>
      <c r="W3067" s="72">
        <f t="shared" si="960"/>
        <v>535.02</v>
      </c>
      <c r="X3067" s="72">
        <v>0</v>
      </c>
      <c r="Y3067" s="14">
        <f t="shared" si="927"/>
        <v>0</v>
      </c>
      <c r="Z3067" s="11" t="s">
        <v>26</v>
      </c>
      <c r="AA3067" s="12" t="s">
        <v>31</v>
      </c>
    </row>
    <row r="3068" spans="1:27" x14ac:dyDescent="0.25">
      <c r="A3068" s="10">
        <v>45702</v>
      </c>
      <c r="B3068" s="11" t="s">
        <v>5602</v>
      </c>
      <c r="C3068" s="11" t="s">
        <v>5603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2">
        <f>(L3068*O3068)-Q3068</f>
        <v>1844.1</v>
      </c>
      <c r="S3068" s="72">
        <v>0</v>
      </c>
      <c r="T3068" s="72">
        <f t="shared" si="961"/>
        <v>0</v>
      </c>
      <c r="U3068" s="72">
        <f t="shared" si="959"/>
        <v>1844.1</v>
      </c>
      <c r="V3068" s="72">
        <f>+U3068*0</f>
        <v>0</v>
      </c>
      <c r="W3068" s="72">
        <f t="shared" si="960"/>
        <v>1844.1</v>
      </c>
      <c r="X3068" s="72">
        <v>0</v>
      </c>
      <c r="Y3068" s="14">
        <f t="shared" si="927"/>
        <v>0</v>
      </c>
      <c r="Z3068" s="11" t="s">
        <v>26</v>
      </c>
      <c r="AA3068" s="12" t="s">
        <v>31</v>
      </c>
    </row>
    <row r="3069" spans="1:27" x14ac:dyDescent="0.25">
      <c r="A3069" s="10">
        <v>45702</v>
      </c>
      <c r="B3069" s="11" t="s">
        <v>5604</v>
      </c>
      <c r="C3069" s="11" t="s">
        <v>5605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4463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2">
        <f t="shared" ref="R3069" si="962">+L3069*O3069</f>
        <v>1531.1999999999998</v>
      </c>
      <c r="S3069" s="72">
        <v>0</v>
      </c>
      <c r="T3069" s="72">
        <f>+L3069*S3069</f>
        <v>0</v>
      </c>
      <c r="U3069" s="72">
        <f>+R3069-T3069</f>
        <v>1531.1999999999998</v>
      </c>
      <c r="V3069" s="72">
        <f>+U3069*1</f>
        <v>1531.1999999999998</v>
      </c>
      <c r="W3069" s="72">
        <f>+U3069-V3069</f>
        <v>0</v>
      </c>
      <c r="X3069" s="72">
        <v>0</v>
      </c>
      <c r="Y3069" s="14">
        <f t="shared" si="927"/>
        <v>0</v>
      </c>
      <c r="Z3069" s="11" t="s">
        <v>26</v>
      </c>
      <c r="AA3069" s="12" t="s">
        <v>31</v>
      </c>
    </row>
    <row r="3070" spans="1:27" x14ac:dyDescent="0.25">
      <c r="A3070" s="10">
        <v>45702</v>
      </c>
      <c r="B3070" s="11" t="s">
        <v>5606</v>
      </c>
      <c r="C3070" s="11" t="s">
        <v>5607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4439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2">
        <f>L3070*O3070</f>
        <v>3467.82</v>
      </c>
      <c r="S3070" s="72">
        <v>38</v>
      </c>
      <c r="T3070" s="72">
        <f>L3070*S3070</f>
        <v>1514.68</v>
      </c>
      <c r="U3070" s="72">
        <f>R3070-T3070</f>
        <v>1953.14</v>
      </c>
      <c r="V3070" s="72">
        <f>U3070*1</f>
        <v>1953.14</v>
      </c>
      <c r="W3070" s="72">
        <f>U3070-V3070</f>
        <v>0</v>
      </c>
      <c r="X3070" s="72">
        <f>L3070*36</f>
        <v>1434.96</v>
      </c>
      <c r="Y3070" s="73">
        <f>+T3070-X3070</f>
        <v>79.720000000000027</v>
      </c>
      <c r="Z3070" s="12" t="s">
        <v>141</v>
      </c>
      <c r="AA3070" s="12" t="s">
        <v>78</v>
      </c>
    </row>
    <row r="3071" spans="1:27" x14ac:dyDescent="0.25">
      <c r="A3071" s="10">
        <v>45702</v>
      </c>
      <c r="B3071" s="11" t="s">
        <v>386</v>
      </c>
      <c r="C3071" s="11" t="s">
        <v>5608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2">
        <f>+M3071*P3071</f>
        <v>1600</v>
      </c>
      <c r="S3071" s="72">
        <v>0</v>
      </c>
      <c r="T3071" s="72">
        <f>+M3071*S3071</f>
        <v>0</v>
      </c>
      <c r="U3071" s="72">
        <f t="shared" ref="U3071" si="963">+R3071-T3071</f>
        <v>1600</v>
      </c>
      <c r="V3071" s="72">
        <f t="shared" ref="V3071" si="964">+U3071*0</f>
        <v>0</v>
      </c>
      <c r="W3071" s="72">
        <f t="shared" ref="W3071" si="965">+U3071-V3071</f>
        <v>1600</v>
      </c>
      <c r="X3071" s="72">
        <v>0</v>
      </c>
      <c r="Y3071" s="14">
        <f t="shared" ref="Y3071:Y3076" si="966">T3071-X3071</f>
        <v>0</v>
      </c>
      <c r="Z3071" s="11" t="s">
        <v>26</v>
      </c>
      <c r="AA3071" s="12" t="s">
        <v>31</v>
      </c>
    </row>
    <row r="3072" spans="1:27" x14ac:dyDescent="0.25">
      <c r="A3072" s="10">
        <v>45702</v>
      </c>
      <c r="B3072" s="11" t="s">
        <v>5609</v>
      </c>
      <c r="C3072" s="11" t="s">
        <v>5610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2">
        <f>L3072*O3072</f>
        <v>1546.3999999999999</v>
      </c>
      <c r="S3072" s="72">
        <v>0</v>
      </c>
      <c r="T3072" s="72">
        <f>L3072*S3072</f>
        <v>0</v>
      </c>
      <c r="U3072" s="72">
        <f>R3072-T3072</f>
        <v>1546.3999999999999</v>
      </c>
      <c r="V3072" s="72">
        <f>U3072*0</f>
        <v>0</v>
      </c>
      <c r="W3072" s="72">
        <f>U3072-V3072</f>
        <v>1546.3999999999999</v>
      </c>
      <c r="X3072" s="72">
        <v>0</v>
      </c>
      <c r="Y3072" s="14">
        <f t="shared" si="966"/>
        <v>0</v>
      </c>
      <c r="Z3072" s="11" t="s">
        <v>26</v>
      </c>
      <c r="AA3072" s="12" t="s">
        <v>31</v>
      </c>
    </row>
    <row r="3073" spans="1:27" x14ac:dyDescent="0.25">
      <c r="A3073" s="10">
        <v>45702</v>
      </c>
      <c r="B3073" s="11" t="s">
        <v>628</v>
      </c>
      <c r="C3073" s="11" t="s">
        <v>5611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2">
        <f>L3073*O3073</f>
        <v>604.20000000000005</v>
      </c>
      <c r="S3073" s="72">
        <v>0</v>
      </c>
      <c r="T3073" s="72">
        <f>L3073*S3073</f>
        <v>0</v>
      </c>
      <c r="U3073" s="72">
        <f>R3073-T3073</f>
        <v>604.20000000000005</v>
      </c>
      <c r="V3073" s="72">
        <f>U3073*0</f>
        <v>0</v>
      </c>
      <c r="W3073" s="72">
        <f>U3073-V3073</f>
        <v>604.20000000000005</v>
      </c>
      <c r="X3073" s="72">
        <v>0</v>
      </c>
      <c r="Y3073" s="14">
        <f t="shared" si="966"/>
        <v>0</v>
      </c>
      <c r="Z3073" s="11" t="s">
        <v>26</v>
      </c>
      <c r="AA3073" s="12" t="s">
        <v>31</v>
      </c>
    </row>
    <row r="3074" spans="1:27" x14ac:dyDescent="0.25">
      <c r="A3074" s="10">
        <v>45702</v>
      </c>
      <c r="B3074" s="11" t="s">
        <v>3989</v>
      </c>
      <c r="C3074" s="11" t="s">
        <v>5612</v>
      </c>
      <c r="D3074" s="11">
        <v>17615</v>
      </c>
      <c r="E3074" s="11" t="s">
        <v>1217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2">
        <f>M3074*P3074</f>
        <v>1500</v>
      </c>
      <c r="S3074" s="72">
        <v>0</v>
      </c>
      <c r="T3074" s="72">
        <f>M3074*S3074</f>
        <v>0</v>
      </c>
      <c r="U3074" s="72">
        <f>R3074-T3074</f>
        <v>1500</v>
      </c>
      <c r="V3074" s="72">
        <f>U3074*0</f>
        <v>0</v>
      </c>
      <c r="W3074" s="72">
        <f>U3074-V3074</f>
        <v>1500</v>
      </c>
      <c r="X3074" s="72">
        <v>0</v>
      </c>
      <c r="Y3074" s="14">
        <f t="shared" si="966"/>
        <v>0</v>
      </c>
      <c r="Z3074" s="11" t="s">
        <v>26</v>
      </c>
      <c r="AA3074" s="12" t="s">
        <v>31</v>
      </c>
    </row>
    <row r="3075" spans="1:27" x14ac:dyDescent="0.25">
      <c r="A3075" s="10">
        <v>45702</v>
      </c>
      <c r="B3075" s="11" t="s">
        <v>1811</v>
      </c>
      <c r="C3075" s="11" t="s">
        <v>5613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6345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2">
        <f>L3075*O3075</f>
        <v>1723.8000000000002</v>
      </c>
      <c r="S3075" s="72">
        <v>0</v>
      </c>
      <c r="T3075" s="72">
        <f>+L3075*S3075</f>
        <v>0</v>
      </c>
      <c r="U3075" s="72">
        <f>R3075-T3075</f>
        <v>1723.8000000000002</v>
      </c>
      <c r="V3075" s="72">
        <f>U3075*0</f>
        <v>0</v>
      </c>
      <c r="W3075" s="72">
        <f>U3075-V3075</f>
        <v>1723.8000000000002</v>
      </c>
      <c r="X3075" s="72"/>
      <c r="Y3075" s="14">
        <f t="shared" si="966"/>
        <v>0</v>
      </c>
      <c r="Z3075" s="11" t="s">
        <v>26</v>
      </c>
      <c r="AA3075" s="12" t="s">
        <v>31</v>
      </c>
    </row>
    <row r="3076" spans="1:27" x14ac:dyDescent="0.25">
      <c r="A3076" s="10">
        <v>45702</v>
      </c>
      <c r="B3076" s="11" t="s">
        <v>5614</v>
      </c>
      <c r="C3076" s="11" t="s">
        <v>5615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4463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2">
        <f t="shared" ref="R3076" si="967">+L3076*O3076</f>
        <v>1568.16</v>
      </c>
      <c r="S3076" s="72">
        <v>0</v>
      </c>
      <c r="T3076" s="72">
        <f>+L3076*S3076</f>
        <v>0</v>
      </c>
      <c r="U3076" s="72">
        <f>+R3076-T3076</f>
        <v>1568.16</v>
      </c>
      <c r="V3076" s="72">
        <f>+U3076*1</f>
        <v>1568.16</v>
      </c>
      <c r="W3076" s="72">
        <f>+U3076-V3076</f>
        <v>0</v>
      </c>
      <c r="X3076" s="72">
        <v>0</v>
      </c>
      <c r="Y3076" s="14">
        <f t="shared" si="966"/>
        <v>0</v>
      </c>
      <c r="Z3076" s="11" t="s">
        <v>26</v>
      </c>
      <c r="AA3076" s="12" t="s">
        <v>31</v>
      </c>
    </row>
    <row r="3077" spans="1:27" x14ac:dyDescent="0.25">
      <c r="A3077" s="10">
        <v>45702</v>
      </c>
      <c r="B3077" s="11" t="s">
        <v>5616</v>
      </c>
      <c r="C3077" s="11" t="s">
        <v>5617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2">
        <f>+L3077*O3077</f>
        <v>3843.84</v>
      </c>
      <c r="S3077" s="72">
        <v>40</v>
      </c>
      <c r="T3077" s="72">
        <f>L3077*S3077</f>
        <v>1689.6000000000001</v>
      </c>
      <c r="U3077" s="72">
        <f t="shared" ref="U3077" si="968">R3077-T3077</f>
        <v>2154.2399999999998</v>
      </c>
      <c r="V3077" s="72">
        <f>U3077*1</f>
        <v>2154.2399999999998</v>
      </c>
      <c r="W3077" s="72">
        <f t="shared" ref="W3077" si="969">U3077-V3077</f>
        <v>0</v>
      </c>
      <c r="X3077" s="72">
        <f>L3077*37</f>
        <v>1562.88</v>
      </c>
      <c r="Y3077" s="73">
        <f>+T3077-X3077</f>
        <v>126.72000000000003</v>
      </c>
      <c r="Z3077" s="12" t="s">
        <v>41</v>
      </c>
      <c r="AA3077" s="12" t="s">
        <v>79</v>
      </c>
    </row>
    <row r="3078" spans="1:27" x14ac:dyDescent="0.25">
      <c r="A3078" s="10">
        <v>45702</v>
      </c>
      <c r="B3078" s="11" t="s">
        <v>5618</v>
      </c>
      <c r="C3078" s="11" t="s">
        <v>5619</v>
      </c>
      <c r="D3078" s="11">
        <v>17619</v>
      </c>
      <c r="E3078" s="11" t="s">
        <v>2143</v>
      </c>
      <c r="F3078" s="11" t="s">
        <v>26</v>
      </c>
      <c r="G3078" s="11">
        <v>112868</v>
      </c>
      <c r="H3078" s="12" t="s">
        <v>4463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2">
        <f t="shared" ref="R3078:R3079" si="970">+L3078*O3078</f>
        <v>1705.2</v>
      </c>
      <c r="S3078" s="72">
        <v>0</v>
      </c>
      <c r="T3078" s="72">
        <f>+L3078*S3078</f>
        <v>0</v>
      </c>
      <c r="U3078" s="72">
        <f t="shared" ref="U3078" si="971">+R3078-T3078</f>
        <v>1705.2</v>
      </c>
      <c r="V3078" s="72">
        <f>+U3078*1</f>
        <v>1705.2</v>
      </c>
      <c r="W3078" s="72">
        <f t="shared" ref="W3078" si="972">+U3078-V3078</f>
        <v>0</v>
      </c>
      <c r="X3078" s="72">
        <v>0</v>
      </c>
      <c r="Y3078" s="14">
        <f t="shared" ref="Y3078:Y3094" si="973">T3078-X3078</f>
        <v>0</v>
      </c>
      <c r="Z3078" s="11" t="s">
        <v>26</v>
      </c>
      <c r="AA3078" s="12" t="s">
        <v>31</v>
      </c>
    </row>
    <row r="3079" spans="1:27" x14ac:dyDescent="0.25">
      <c r="A3079" s="10">
        <v>45702</v>
      </c>
      <c r="B3079" s="11" t="s">
        <v>3342</v>
      </c>
      <c r="C3079" s="11" t="s">
        <v>5620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4463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2">
        <f t="shared" si="970"/>
        <v>1540.88</v>
      </c>
      <c r="S3079" s="72">
        <v>0</v>
      </c>
      <c r="T3079" s="72">
        <f>+L3079*S3079</f>
        <v>0</v>
      </c>
      <c r="U3079" s="72">
        <f>+R3079-T3079</f>
        <v>1540.88</v>
      </c>
      <c r="V3079" s="72">
        <f>+U3079*1</f>
        <v>1540.88</v>
      </c>
      <c r="W3079" s="72">
        <f>+U3079-V3079</f>
        <v>0</v>
      </c>
      <c r="X3079" s="72">
        <v>0</v>
      </c>
      <c r="Y3079" s="14">
        <f t="shared" si="973"/>
        <v>0</v>
      </c>
      <c r="Z3079" s="11" t="s">
        <v>26</v>
      </c>
      <c r="AA3079" s="12" t="s">
        <v>31</v>
      </c>
    </row>
    <row r="3080" spans="1:27" x14ac:dyDescent="0.25">
      <c r="A3080" s="10">
        <v>45702</v>
      </c>
      <c r="B3080" s="11" t="s">
        <v>323</v>
      </c>
      <c r="C3080" s="11" t="s">
        <v>5621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2">
        <f>+M3080*P3080</f>
        <v>1600</v>
      </c>
      <c r="S3080" s="72">
        <v>0</v>
      </c>
      <c r="T3080" s="72">
        <f>+M3080*S3080</f>
        <v>0</v>
      </c>
      <c r="U3080" s="72">
        <f t="shared" ref="U3080" si="975">+R3080-T3080</f>
        <v>1600</v>
      </c>
      <c r="V3080" s="72">
        <f t="shared" ref="V3080:V3081" si="976">+U3080*0</f>
        <v>0</v>
      </c>
      <c r="W3080" s="72">
        <f t="shared" ref="W3080" si="977">+U3080-V3080</f>
        <v>1600</v>
      </c>
      <c r="X3080" s="72">
        <v>0</v>
      </c>
      <c r="Y3080" s="14">
        <f t="shared" si="973"/>
        <v>0</v>
      </c>
      <c r="Z3080" s="11" t="s">
        <v>26</v>
      </c>
      <c r="AA3080" s="12" t="s">
        <v>31</v>
      </c>
    </row>
    <row r="3081" spans="1:27" x14ac:dyDescent="0.25">
      <c r="A3081" s="10">
        <v>45702</v>
      </c>
      <c r="B3081" s="11" t="s">
        <v>5622</v>
      </c>
      <c r="C3081" s="11" t="s">
        <v>5623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35</v>
      </c>
      <c r="P3081" s="13"/>
      <c r="Q3081" s="13">
        <v>0</v>
      </c>
      <c r="R3081" s="72">
        <f>+L3081*O3081</f>
        <v>1476.3</v>
      </c>
      <c r="S3081" s="72">
        <v>0</v>
      </c>
      <c r="T3081" s="72">
        <f>+L3081*S3081</f>
        <v>0</v>
      </c>
      <c r="U3081" s="72">
        <f>+R3081-T3081</f>
        <v>1476.3</v>
      </c>
      <c r="V3081" s="72">
        <f t="shared" si="976"/>
        <v>0</v>
      </c>
      <c r="W3081" s="72">
        <f>+U3081-V3081</f>
        <v>1476.3</v>
      </c>
      <c r="X3081" s="72">
        <v>0</v>
      </c>
      <c r="Y3081" s="14">
        <f t="shared" si="973"/>
        <v>0</v>
      </c>
      <c r="Z3081" s="11" t="s">
        <v>26</v>
      </c>
      <c r="AA3081" s="12" t="s">
        <v>31</v>
      </c>
    </row>
    <row r="3082" spans="1:27" x14ac:dyDescent="0.25">
      <c r="A3082" s="10">
        <v>45702</v>
      </c>
      <c r="B3082" s="11" t="s">
        <v>5624</v>
      </c>
      <c r="C3082" s="11" t="s">
        <v>5625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2">
        <f>+M3082*P3082</f>
        <v>1500</v>
      </c>
      <c r="S3082" s="72">
        <v>0</v>
      </c>
      <c r="T3082" s="72">
        <f>+M3082*S3082</f>
        <v>0</v>
      </c>
      <c r="U3082" s="72">
        <f t="shared" ref="U3082:U3083" si="978">+R3082-T3082</f>
        <v>1500</v>
      </c>
      <c r="V3082" s="72">
        <f>+U3082*0</f>
        <v>0</v>
      </c>
      <c r="W3082" s="72">
        <f t="shared" ref="W3082:W3083" si="979">+U3082-V3082</f>
        <v>1500</v>
      </c>
      <c r="X3082" s="72">
        <v>0</v>
      </c>
      <c r="Y3082" s="14">
        <f t="shared" si="973"/>
        <v>0</v>
      </c>
      <c r="Z3082" s="11" t="s">
        <v>26</v>
      </c>
      <c r="AA3082" s="12" t="s">
        <v>31</v>
      </c>
    </row>
    <row r="3083" spans="1:27" x14ac:dyDescent="0.25">
      <c r="A3083" s="10">
        <v>45702</v>
      </c>
      <c r="B3083" s="11" t="s">
        <v>467</v>
      </c>
      <c r="C3083" s="11" t="s">
        <v>5626</v>
      </c>
      <c r="D3083" s="11">
        <v>17624</v>
      </c>
      <c r="E3083" s="11" t="s">
        <v>5226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2">
        <f>(L3083*O3083)-Q3083</f>
        <v>553.52</v>
      </c>
      <c r="S3083" s="72">
        <v>0</v>
      </c>
      <c r="T3083" s="72">
        <f t="shared" ref="T3083" si="980">+L3083*S3083</f>
        <v>0</v>
      </c>
      <c r="U3083" s="72">
        <f t="shared" si="978"/>
        <v>553.52</v>
      </c>
      <c r="V3083" s="72">
        <f>+U3083*0</f>
        <v>0</v>
      </c>
      <c r="W3083" s="72">
        <f t="shared" si="979"/>
        <v>553.52</v>
      </c>
      <c r="X3083" s="72">
        <v>0</v>
      </c>
      <c r="Y3083" s="14">
        <f t="shared" si="973"/>
        <v>0</v>
      </c>
      <c r="Z3083" s="11" t="s">
        <v>26</v>
      </c>
      <c r="AA3083" s="12" t="s">
        <v>31</v>
      </c>
    </row>
    <row r="3084" spans="1:27" x14ac:dyDescent="0.25">
      <c r="A3084" s="10">
        <v>45702</v>
      </c>
      <c r="B3084" s="11" t="s">
        <v>737</v>
      </c>
      <c r="C3084" s="11" t="s">
        <v>5627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4465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2">
        <f>+L3084*O3084</f>
        <v>1811.35</v>
      </c>
      <c r="S3084" s="72">
        <v>0</v>
      </c>
      <c r="T3084" s="72">
        <f>+L3084*S3084</f>
        <v>0</v>
      </c>
      <c r="U3084" s="72">
        <f>+R3084-T3084</f>
        <v>1811.35</v>
      </c>
      <c r="V3084" s="72">
        <f>+U3084*0.75</f>
        <v>1358.5124999999998</v>
      </c>
      <c r="W3084" s="72">
        <f>+U3084-V3084</f>
        <v>452.83750000000009</v>
      </c>
      <c r="X3084" s="72">
        <v>0</v>
      </c>
      <c r="Y3084" s="14">
        <f t="shared" si="973"/>
        <v>0</v>
      </c>
      <c r="Z3084" s="11" t="s">
        <v>26</v>
      </c>
      <c r="AA3084" s="12" t="s">
        <v>31</v>
      </c>
    </row>
    <row r="3085" spans="1:27" x14ac:dyDescent="0.25">
      <c r="A3085" s="10">
        <v>45702</v>
      </c>
      <c r="B3085" s="11" t="s">
        <v>5628</v>
      </c>
      <c r="C3085" s="11" t="s">
        <v>5629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2">
        <f>+M3085*P3085</f>
        <v>1600</v>
      </c>
      <c r="S3085" s="72">
        <v>0</v>
      </c>
      <c r="T3085" s="72">
        <f>+M3085*S3085</f>
        <v>0</v>
      </c>
      <c r="U3085" s="72">
        <f t="shared" ref="U3085" si="981">+R3085-T3085</f>
        <v>1600</v>
      </c>
      <c r="V3085" s="72">
        <f t="shared" ref="V3085" si="982">+U3085*0</f>
        <v>0</v>
      </c>
      <c r="W3085" s="72">
        <f t="shared" ref="W3085" si="983">+U3085-V3085</f>
        <v>1600</v>
      </c>
      <c r="X3085" s="72">
        <v>0</v>
      </c>
      <c r="Y3085" s="14">
        <f t="shared" si="973"/>
        <v>0</v>
      </c>
      <c r="Z3085" s="11" t="s">
        <v>26</v>
      </c>
      <c r="AA3085" s="12" t="s">
        <v>31</v>
      </c>
    </row>
    <row r="3086" spans="1:27" x14ac:dyDescent="0.25">
      <c r="A3086" s="10">
        <v>45702</v>
      </c>
      <c r="B3086" s="11" t="s">
        <v>5630</v>
      </c>
      <c r="C3086" s="11" t="s">
        <v>5631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2">
        <f>L3086*O3086</f>
        <v>1026.5</v>
      </c>
      <c r="S3086" s="72">
        <v>0</v>
      </c>
      <c r="T3086" s="72">
        <f t="shared" ref="T3086" si="984">L3086*S3086</f>
        <v>0</v>
      </c>
      <c r="U3086" s="72">
        <f>R3086-T3086</f>
        <v>1026.5</v>
      </c>
      <c r="V3086" s="72">
        <f>U3086*0</f>
        <v>0</v>
      </c>
      <c r="W3086" s="72">
        <f>U3086-V3086</f>
        <v>1026.5</v>
      </c>
      <c r="X3086" s="72">
        <v>0</v>
      </c>
      <c r="Y3086" s="14">
        <f t="shared" si="973"/>
        <v>0</v>
      </c>
      <c r="Z3086" s="11" t="s">
        <v>26</v>
      </c>
      <c r="AA3086" s="12" t="s">
        <v>31</v>
      </c>
    </row>
    <row r="3087" spans="1:27" x14ac:dyDescent="0.25">
      <c r="A3087" s="10">
        <v>45702</v>
      </c>
      <c r="B3087" s="11" t="s">
        <v>5632</v>
      </c>
      <c r="C3087" s="11" t="s">
        <v>5633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2">
        <f>+L3087*O3087</f>
        <v>1693.6000000000001</v>
      </c>
      <c r="S3087" s="72">
        <v>0</v>
      </c>
      <c r="T3087" s="72">
        <f>+L3087*S3087</f>
        <v>0</v>
      </c>
      <c r="U3087" s="72">
        <f>+R3087-T3087</f>
        <v>1693.6000000000001</v>
      </c>
      <c r="V3087" s="72">
        <f t="shared" ref="V3087:V3088" si="985">+U3087*0</f>
        <v>0</v>
      </c>
      <c r="W3087" s="72">
        <f>+U3087-V3087</f>
        <v>1693.6000000000001</v>
      </c>
      <c r="X3087" s="72">
        <v>0</v>
      </c>
      <c r="Y3087" s="14">
        <f t="shared" si="973"/>
        <v>0</v>
      </c>
      <c r="Z3087" s="11" t="s">
        <v>26</v>
      </c>
      <c r="AA3087" s="12" t="s">
        <v>31</v>
      </c>
    </row>
    <row r="3088" spans="1:27" x14ac:dyDescent="0.25">
      <c r="A3088" s="10">
        <v>45702</v>
      </c>
      <c r="B3088" s="11" t="s">
        <v>5634</v>
      </c>
      <c r="C3088" s="11" t="s">
        <v>5635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2">
        <f>(L3088*O3088)-Q3088</f>
        <v>648</v>
      </c>
      <c r="S3088" s="72">
        <v>0</v>
      </c>
      <c r="T3088" s="72">
        <f t="shared" ref="T3088" si="986">+L3088*S3088</f>
        <v>0</v>
      </c>
      <c r="U3088" s="72">
        <f t="shared" ref="U3088" si="987">+R3088-T3088</f>
        <v>648</v>
      </c>
      <c r="V3088" s="72">
        <f t="shared" si="985"/>
        <v>0</v>
      </c>
      <c r="W3088" s="72">
        <f t="shared" ref="W3088" si="988">+U3088-V3088</f>
        <v>648</v>
      </c>
      <c r="X3088" s="72">
        <v>0</v>
      </c>
      <c r="Y3088" s="14">
        <f t="shared" si="973"/>
        <v>0</v>
      </c>
      <c r="Z3088" s="11" t="s">
        <v>26</v>
      </c>
      <c r="AA3088" s="12" t="s">
        <v>31</v>
      </c>
    </row>
    <row r="3089" spans="1:27" x14ac:dyDescent="0.25">
      <c r="A3089" s="10">
        <v>45702</v>
      </c>
      <c r="B3089" s="11" t="s">
        <v>5292</v>
      </c>
      <c r="C3089" s="11" t="s">
        <v>5636</v>
      </c>
      <c r="D3089" s="11">
        <v>17630</v>
      </c>
      <c r="E3089" s="11" t="s">
        <v>659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2">
        <f>L3089*O3089</f>
        <v>565.79999999999995</v>
      </c>
      <c r="S3089" s="72">
        <v>0</v>
      </c>
      <c r="T3089" s="72">
        <f>L3089*S3089</f>
        <v>0</v>
      </c>
      <c r="U3089" s="72">
        <f>R3089-T3089</f>
        <v>565.79999999999995</v>
      </c>
      <c r="V3089" s="72">
        <f>U3089*0</f>
        <v>0</v>
      </c>
      <c r="W3089" s="72">
        <f>U3089-V3089</f>
        <v>565.79999999999995</v>
      </c>
      <c r="X3089" s="72">
        <v>0</v>
      </c>
      <c r="Y3089" s="14">
        <f t="shared" si="973"/>
        <v>0</v>
      </c>
      <c r="Z3089" s="11" t="s">
        <v>26</v>
      </c>
      <c r="AA3089" s="12" t="s">
        <v>31</v>
      </c>
    </row>
    <row r="3090" spans="1:27" x14ac:dyDescent="0.25">
      <c r="A3090" s="10">
        <v>45702</v>
      </c>
      <c r="B3090" s="11" t="s">
        <v>5637</v>
      </c>
      <c r="C3090" s="11" t="s">
        <v>5638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35</v>
      </c>
      <c r="P3090" s="13"/>
      <c r="Q3090" s="13">
        <v>0</v>
      </c>
      <c r="R3090" s="72">
        <f>+L3090*O3090</f>
        <v>1577.1000000000001</v>
      </c>
      <c r="S3090" s="72">
        <v>0</v>
      </c>
      <c r="T3090" s="72">
        <f>+L3090*S3090</f>
        <v>0</v>
      </c>
      <c r="U3090" s="72">
        <f>+R3090-T3090</f>
        <v>1577.1000000000001</v>
      </c>
      <c r="V3090" s="72">
        <f t="shared" ref="V3090" si="989">+U3090*0</f>
        <v>0</v>
      </c>
      <c r="W3090" s="72">
        <f>+U3090-V3090</f>
        <v>1577.1000000000001</v>
      </c>
      <c r="X3090" s="72">
        <v>0</v>
      </c>
      <c r="Y3090" s="14">
        <f t="shared" si="973"/>
        <v>0</v>
      </c>
      <c r="Z3090" s="11" t="s">
        <v>26</v>
      </c>
      <c r="AA3090" s="12" t="s">
        <v>31</v>
      </c>
    </row>
    <row r="3091" spans="1:27" x14ac:dyDescent="0.25">
      <c r="A3091" s="10">
        <v>45702</v>
      </c>
      <c r="B3091" s="11" t="s">
        <v>5639</v>
      </c>
      <c r="C3091" s="11" t="s">
        <v>5640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2">
        <f>L3091*O3091</f>
        <v>1684.8</v>
      </c>
      <c r="S3091" s="72">
        <v>0</v>
      </c>
      <c r="T3091" s="72">
        <f>L3091*S3091</f>
        <v>0</v>
      </c>
      <c r="U3091" s="72">
        <f>R3091-T3091</f>
        <v>1684.8</v>
      </c>
      <c r="V3091" s="72">
        <f>U3091*0</f>
        <v>0</v>
      </c>
      <c r="W3091" s="72">
        <f>U3091-V3091</f>
        <v>1684.8</v>
      </c>
      <c r="X3091" s="72">
        <v>0</v>
      </c>
      <c r="Y3091" s="14">
        <f t="shared" si="973"/>
        <v>0</v>
      </c>
      <c r="Z3091" s="11" t="s">
        <v>26</v>
      </c>
      <c r="AA3091" s="12" t="s">
        <v>31</v>
      </c>
    </row>
    <row r="3092" spans="1:27" x14ac:dyDescent="0.25">
      <c r="A3092" s="10">
        <v>45702</v>
      </c>
      <c r="B3092" s="11" t="s">
        <v>5641</v>
      </c>
      <c r="C3092" s="11" t="s">
        <v>5642</v>
      </c>
      <c r="D3092" s="11">
        <v>17633</v>
      </c>
      <c r="E3092" s="11" t="s">
        <v>2126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2">
        <f>+L3092*O3092</f>
        <v>1723.1999999999998</v>
      </c>
      <c r="S3092" s="72">
        <v>0</v>
      </c>
      <c r="T3092" s="72">
        <f>+L3092*S3092</f>
        <v>0</v>
      </c>
      <c r="U3092" s="72">
        <f>+R3092-T3092</f>
        <v>1723.1999999999998</v>
      </c>
      <c r="V3092" s="72">
        <f t="shared" ref="V3092" si="990">+U3092*0</f>
        <v>0</v>
      </c>
      <c r="W3092" s="72">
        <f>+U3092-V3092</f>
        <v>1723.1999999999998</v>
      </c>
      <c r="X3092" s="72">
        <v>0</v>
      </c>
      <c r="Y3092" s="14">
        <f t="shared" si="973"/>
        <v>0</v>
      </c>
      <c r="Z3092" s="11" t="s">
        <v>26</v>
      </c>
      <c r="AA3092" s="12" t="s">
        <v>31</v>
      </c>
    </row>
    <row r="3093" spans="1:27" x14ac:dyDescent="0.25">
      <c r="A3093" s="10">
        <v>45702</v>
      </c>
      <c r="B3093" s="11" t="s">
        <v>5643</v>
      </c>
      <c r="C3093" s="11" t="s">
        <v>5644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4440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2">
        <f>+L3093*O3093</f>
        <v>1571.4</v>
      </c>
      <c r="S3093" s="72">
        <v>0</v>
      </c>
      <c r="T3093" s="72">
        <f>+L3093*S3093</f>
        <v>0</v>
      </c>
      <c r="U3093" s="72">
        <f t="shared" ref="U3093" si="991">+R3093-T3093</f>
        <v>1571.4</v>
      </c>
      <c r="V3093" s="72">
        <f>+U3093*1</f>
        <v>1571.4</v>
      </c>
      <c r="W3093" s="72">
        <f t="shared" ref="W3093" si="992">+U3093-V3093</f>
        <v>0</v>
      </c>
      <c r="X3093" s="72">
        <v>0</v>
      </c>
      <c r="Y3093" s="14">
        <f t="shared" si="973"/>
        <v>0</v>
      </c>
      <c r="Z3093" s="11" t="s">
        <v>26</v>
      </c>
      <c r="AA3093" s="12" t="s">
        <v>31</v>
      </c>
    </row>
    <row r="3094" spans="1:27" x14ac:dyDescent="0.25">
      <c r="A3094" s="10">
        <v>45702</v>
      </c>
      <c r="B3094" s="11" t="s">
        <v>5645</v>
      </c>
      <c r="C3094" s="11" t="s">
        <v>5646</v>
      </c>
      <c r="D3094" s="11">
        <v>17635</v>
      </c>
      <c r="E3094" s="11" t="s">
        <v>5049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35</v>
      </c>
      <c r="P3094" s="13"/>
      <c r="Q3094" s="13">
        <v>0</v>
      </c>
      <c r="R3094" s="72">
        <f>+L3094*O3094</f>
        <v>1511.3</v>
      </c>
      <c r="S3094" s="72">
        <v>0</v>
      </c>
      <c r="T3094" s="72">
        <f>+L3094*S3094</f>
        <v>0</v>
      </c>
      <c r="U3094" s="72">
        <f>+R3094-T3094</f>
        <v>1511.3</v>
      </c>
      <c r="V3094" s="72">
        <f t="shared" ref="V3094" si="993">+U3094*0</f>
        <v>0</v>
      </c>
      <c r="W3094" s="72">
        <f>+U3094-V3094</f>
        <v>1511.3</v>
      </c>
      <c r="X3094" s="72">
        <v>0</v>
      </c>
      <c r="Y3094" s="14">
        <f t="shared" si="973"/>
        <v>0</v>
      </c>
      <c r="Z3094" s="11" t="s">
        <v>26</v>
      </c>
      <c r="AA3094" s="12" t="s">
        <v>31</v>
      </c>
    </row>
    <row r="3095" spans="1:27" x14ac:dyDescent="0.25">
      <c r="A3095" s="10">
        <v>45702</v>
      </c>
      <c r="B3095" s="11" t="s">
        <v>346</v>
      </c>
      <c r="C3095" s="11" t="s">
        <v>5647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4439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2">
        <f>L3095*O3095</f>
        <v>3655.7400000000002</v>
      </c>
      <c r="S3095" s="72">
        <v>38</v>
      </c>
      <c r="T3095" s="72">
        <f>L3095*S3095</f>
        <v>1596.7600000000002</v>
      </c>
      <c r="U3095" s="72">
        <f>R3095-T3095</f>
        <v>2058.98</v>
      </c>
      <c r="V3095" s="72">
        <f>U3095*1</f>
        <v>2058.98</v>
      </c>
      <c r="W3095" s="72">
        <f>U3095-V3095</f>
        <v>0</v>
      </c>
      <c r="X3095" s="72">
        <f>L3095*37</f>
        <v>1554.74</v>
      </c>
      <c r="Y3095" s="73">
        <f>+T3095-X3095</f>
        <v>42.020000000000209</v>
      </c>
      <c r="Z3095" s="12" t="s">
        <v>41</v>
      </c>
      <c r="AA3095" s="12" t="s">
        <v>78</v>
      </c>
    </row>
    <row r="3096" spans="1:27" x14ac:dyDescent="0.25">
      <c r="A3096" s="10">
        <v>45702</v>
      </c>
      <c r="B3096" s="11" t="s">
        <v>3351</v>
      </c>
      <c r="C3096" s="11" t="s">
        <v>5648</v>
      </c>
      <c r="D3096" s="11">
        <v>17637</v>
      </c>
      <c r="E3096" s="11" t="s">
        <v>5649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2">
        <f>(L3096*O3096)-Q3096</f>
        <v>532.80000000000007</v>
      </c>
      <c r="S3096" s="72">
        <v>0</v>
      </c>
      <c r="T3096" s="72">
        <f t="shared" ref="T3096" si="994">+L3096*S3096</f>
        <v>0</v>
      </c>
      <c r="U3096" s="72">
        <f t="shared" ref="U3096" si="995">+R3096-T3096</f>
        <v>532.80000000000007</v>
      </c>
      <c r="V3096" s="72">
        <f>+U3096*0</f>
        <v>0</v>
      </c>
      <c r="W3096" s="72">
        <f t="shared" ref="W3096" si="996">+U3096-V3096</f>
        <v>532.80000000000007</v>
      </c>
      <c r="X3096" s="72">
        <v>0</v>
      </c>
      <c r="Y3096" s="14">
        <f t="shared" ref="Y3096:Y3105" si="997">T3096-X3096</f>
        <v>0</v>
      </c>
      <c r="Z3096" s="11" t="s">
        <v>26</v>
      </c>
      <c r="AA3096" s="12" t="s">
        <v>31</v>
      </c>
    </row>
    <row r="3097" spans="1:27" x14ac:dyDescent="0.25">
      <c r="A3097" s="10">
        <v>45702</v>
      </c>
      <c r="B3097" s="11" t="s">
        <v>5650</v>
      </c>
      <c r="C3097" s="11" t="s">
        <v>5651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4463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2">
        <f t="shared" ref="R3097" si="998">+L3097*O3097</f>
        <v>1560.24</v>
      </c>
      <c r="S3097" s="72">
        <v>0</v>
      </c>
      <c r="T3097" s="72">
        <f>+L3097*S3097</f>
        <v>0</v>
      </c>
      <c r="U3097" s="72">
        <f>+R3097-T3097</f>
        <v>1560.24</v>
      </c>
      <c r="V3097" s="72">
        <f>+U3097*1</f>
        <v>1560.24</v>
      </c>
      <c r="W3097" s="72">
        <f>+U3097-V3097</f>
        <v>0</v>
      </c>
      <c r="X3097" s="72">
        <v>0</v>
      </c>
      <c r="Y3097" s="14">
        <f t="shared" si="997"/>
        <v>0</v>
      </c>
      <c r="Z3097" s="11" t="s">
        <v>26</v>
      </c>
      <c r="AA3097" s="12" t="s">
        <v>31</v>
      </c>
    </row>
    <row r="3098" spans="1:27" x14ac:dyDescent="0.25">
      <c r="A3098" s="10">
        <v>45702</v>
      </c>
      <c r="B3098" s="11" t="s">
        <v>5652</v>
      </c>
      <c r="C3098" s="11" t="s">
        <v>5653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4465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2">
        <f>+L3098*O3098</f>
        <v>1715.3</v>
      </c>
      <c r="S3098" s="72">
        <v>0</v>
      </c>
      <c r="T3098" s="72">
        <f>+L3098*S3098</f>
        <v>0</v>
      </c>
      <c r="U3098" s="72">
        <f>+R3098-T3098</f>
        <v>1715.3</v>
      </c>
      <c r="V3098" s="72">
        <f>+U3098*0.75</f>
        <v>1286.4749999999999</v>
      </c>
      <c r="W3098" s="72">
        <f>+U3098-V3098</f>
        <v>428.82500000000005</v>
      </c>
      <c r="X3098" s="72">
        <v>0</v>
      </c>
      <c r="Y3098" s="14">
        <f t="shared" si="997"/>
        <v>0</v>
      </c>
      <c r="Z3098" s="11" t="s">
        <v>26</v>
      </c>
      <c r="AA3098" s="12" t="s">
        <v>31</v>
      </c>
    </row>
    <row r="3099" spans="1:27" x14ac:dyDescent="0.25">
      <c r="A3099" s="10">
        <v>45702</v>
      </c>
      <c r="B3099" s="11" t="s">
        <v>1240</v>
      </c>
      <c r="C3099" s="11" t="s">
        <v>5654</v>
      </c>
      <c r="D3099" s="11">
        <v>17640</v>
      </c>
      <c r="E3099" s="11" t="s">
        <v>1217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2">
        <f>M3099*P3099</f>
        <v>1500</v>
      </c>
      <c r="S3099" s="72">
        <v>0</v>
      </c>
      <c r="T3099" s="72">
        <f>M3099*S3099</f>
        <v>0</v>
      </c>
      <c r="U3099" s="72">
        <f>R3099-T3099</f>
        <v>1500</v>
      </c>
      <c r="V3099" s="72">
        <f>U3099*0</f>
        <v>0</v>
      </c>
      <c r="W3099" s="72">
        <f>U3099-V3099</f>
        <v>1500</v>
      </c>
      <c r="X3099" s="72">
        <v>0</v>
      </c>
      <c r="Y3099" s="14">
        <f t="shared" si="997"/>
        <v>0</v>
      </c>
      <c r="Z3099" s="11" t="s">
        <v>26</v>
      </c>
      <c r="AA3099" s="12" t="s">
        <v>31</v>
      </c>
    </row>
    <row r="3100" spans="1:27" x14ac:dyDescent="0.25">
      <c r="A3100" s="10">
        <v>45702</v>
      </c>
      <c r="B3100" s="11" t="s">
        <v>5655</v>
      </c>
      <c r="C3100" s="11" t="s">
        <v>5656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4463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2">
        <f t="shared" ref="R3100:R3101" si="999">+L3100*O3100</f>
        <v>1627.9199999999998</v>
      </c>
      <c r="S3100" s="72">
        <v>0</v>
      </c>
      <c r="T3100" s="72">
        <f>+L3100*S3100</f>
        <v>0</v>
      </c>
      <c r="U3100" s="72">
        <f t="shared" ref="U3100" si="1000">+R3100-T3100</f>
        <v>1627.9199999999998</v>
      </c>
      <c r="V3100" s="72">
        <f>+U3100*1</f>
        <v>1627.9199999999998</v>
      </c>
      <c r="W3100" s="72">
        <f t="shared" ref="W3100" si="1001">+U3100-V3100</f>
        <v>0</v>
      </c>
      <c r="X3100" s="72">
        <v>0</v>
      </c>
      <c r="Y3100" s="14">
        <f t="shared" si="997"/>
        <v>0</v>
      </c>
      <c r="Z3100" s="11" t="s">
        <v>26</v>
      </c>
      <c r="AA3100" s="12" t="s">
        <v>31</v>
      </c>
    </row>
    <row r="3101" spans="1:27" x14ac:dyDescent="0.25">
      <c r="A3101" s="10">
        <v>45702</v>
      </c>
      <c r="B3101" s="11" t="s">
        <v>3665</v>
      </c>
      <c r="C3101" s="11" t="s">
        <v>5657</v>
      </c>
      <c r="D3101" s="11">
        <v>17642</v>
      </c>
      <c r="E3101" s="11" t="s">
        <v>5489</v>
      </c>
      <c r="F3101" s="11" t="s">
        <v>26</v>
      </c>
      <c r="G3101" s="11">
        <v>112871</v>
      </c>
      <c r="H3101" s="12" t="s">
        <v>4463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2">
        <f t="shared" si="999"/>
        <v>1520.64</v>
      </c>
      <c r="S3101" s="72">
        <v>0</v>
      </c>
      <c r="T3101" s="72">
        <f>+L3101*S3101</f>
        <v>0</v>
      </c>
      <c r="U3101" s="72">
        <f>+R3101-T3101</f>
        <v>1520.64</v>
      </c>
      <c r="V3101" s="72">
        <f>+U3101*1</f>
        <v>1520.64</v>
      </c>
      <c r="W3101" s="72">
        <f>+U3101-V3101</f>
        <v>0</v>
      </c>
      <c r="X3101" s="72">
        <v>0</v>
      </c>
      <c r="Y3101" s="14">
        <f t="shared" si="997"/>
        <v>0</v>
      </c>
      <c r="Z3101" s="11" t="s">
        <v>26</v>
      </c>
      <c r="AA3101" s="12" t="s">
        <v>31</v>
      </c>
    </row>
    <row r="3102" spans="1:27" x14ac:dyDescent="0.25">
      <c r="A3102" s="10">
        <v>45702</v>
      </c>
      <c r="B3102" s="11" t="s">
        <v>5658</v>
      </c>
      <c r="C3102" s="11" t="s">
        <v>5659</v>
      </c>
      <c r="D3102" s="11">
        <v>17643</v>
      </c>
      <c r="E3102" s="11" t="s">
        <v>1298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2">
        <f>L3102*O3102</f>
        <v>1474.4</v>
      </c>
      <c r="S3102" s="72">
        <v>0</v>
      </c>
      <c r="T3102" s="72">
        <f>L3102*S3102</f>
        <v>0</v>
      </c>
      <c r="U3102" s="72">
        <f>R3102-T3102</f>
        <v>1474.4</v>
      </c>
      <c r="V3102" s="72">
        <f>U3102*0</f>
        <v>0</v>
      </c>
      <c r="W3102" s="72">
        <f>U3102-V3102</f>
        <v>1474.4</v>
      </c>
      <c r="X3102" s="72">
        <v>0</v>
      </c>
      <c r="Y3102" s="14">
        <f t="shared" si="997"/>
        <v>0</v>
      </c>
      <c r="Z3102" s="11" t="s">
        <v>26</v>
      </c>
      <c r="AA3102" s="12" t="s">
        <v>31</v>
      </c>
    </row>
    <row r="3103" spans="1:27" x14ac:dyDescent="0.25">
      <c r="A3103" s="10">
        <v>45703</v>
      </c>
      <c r="B3103" s="11" t="s">
        <v>462</v>
      </c>
      <c r="C3103" s="11" t="s">
        <v>5660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4465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2">
        <f>+L3103*O3103</f>
        <v>1863.6003999999998</v>
      </c>
      <c r="S3103" s="72">
        <v>0</v>
      </c>
      <c r="T3103" s="72">
        <f>+L3103*S3103</f>
        <v>0</v>
      </c>
      <c r="U3103" s="72">
        <f>+R3103-T3103</f>
        <v>1863.6003999999998</v>
      </c>
      <c r="V3103" s="72">
        <f>+U3103*0.75</f>
        <v>1397.7003</v>
      </c>
      <c r="W3103" s="72">
        <f>+U3103-V3103</f>
        <v>465.90009999999984</v>
      </c>
      <c r="X3103" s="72">
        <v>0</v>
      </c>
      <c r="Y3103" s="14">
        <f t="shared" si="997"/>
        <v>0</v>
      </c>
      <c r="Z3103" s="11" t="s">
        <v>26</v>
      </c>
      <c r="AA3103" s="12" t="s">
        <v>31</v>
      </c>
    </row>
    <row r="3104" spans="1:27" x14ac:dyDescent="0.25">
      <c r="A3104" s="10">
        <v>45703</v>
      </c>
      <c r="B3104" s="11" t="s">
        <v>5661</v>
      </c>
      <c r="C3104" s="11" t="s">
        <v>5662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4465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2">
        <f>+L3104*O3104</f>
        <v>1682.6495999999997</v>
      </c>
      <c r="S3104" s="72">
        <v>0</v>
      </c>
      <c r="T3104" s="72">
        <f>+L3104*S3104</f>
        <v>0</v>
      </c>
      <c r="U3104" s="72">
        <f>+R3104-T3104</f>
        <v>1682.6495999999997</v>
      </c>
      <c r="V3104" s="72">
        <f>+U3104*0.75</f>
        <v>1261.9871999999998</v>
      </c>
      <c r="W3104" s="72">
        <f>+U3104-V3104</f>
        <v>420.66239999999993</v>
      </c>
      <c r="X3104" s="72">
        <v>0</v>
      </c>
      <c r="Y3104" s="14">
        <f t="shared" si="997"/>
        <v>0</v>
      </c>
      <c r="Z3104" s="11" t="s">
        <v>26</v>
      </c>
      <c r="AA3104" s="12" t="s">
        <v>31</v>
      </c>
    </row>
    <row r="3105" spans="1:27" x14ac:dyDescent="0.25">
      <c r="A3105" s="10">
        <v>45703</v>
      </c>
      <c r="B3105" s="11" t="s">
        <v>2248</v>
      </c>
      <c r="C3105" s="11" t="s">
        <v>5663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4465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2">
        <f>+L3105*O3105</f>
        <v>1912.5</v>
      </c>
      <c r="S3105" s="72">
        <v>0</v>
      </c>
      <c r="T3105" s="72">
        <f>+L3105*S3105</f>
        <v>0</v>
      </c>
      <c r="U3105" s="72">
        <f>+R3105-T3105</f>
        <v>1912.5</v>
      </c>
      <c r="V3105" s="72">
        <f>+U3105*0.75</f>
        <v>1434.375</v>
      </c>
      <c r="W3105" s="72">
        <f>+U3105-V3105</f>
        <v>478.125</v>
      </c>
      <c r="X3105" s="72">
        <v>0</v>
      </c>
      <c r="Y3105" s="14">
        <f t="shared" si="997"/>
        <v>0</v>
      </c>
      <c r="Z3105" s="11" t="s">
        <v>26</v>
      </c>
      <c r="AA3105" s="12" t="s">
        <v>31</v>
      </c>
    </row>
    <row r="3106" spans="1:27" x14ac:dyDescent="0.25">
      <c r="A3106" s="10">
        <v>45703</v>
      </c>
      <c r="B3106" s="11" t="s">
        <v>470</v>
      </c>
      <c r="C3106" s="11" t="s">
        <v>5664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4439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2">
        <f t="shared" ref="R3106:R3111" si="1002">L3106*O3106</f>
        <v>3511.32</v>
      </c>
      <c r="S3106" s="72">
        <v>38</v>
      </c>
      <c r="T3106" s="72">
        <f>L3106*S3106</f>
        <v>1533.68</v>
      </c>
      <c r="U3106" s="72">
        <f>R3106-T3106</f>
        <v>1977.64</v>
      </c>
      <c r="V3106" s="72">
        <f>U3106*1</f>
        <v>1977.64</v>
      </c>
      <c r="W3106" s="72">
        <f>U3106-V3106</f>
        <v>0</v>
      </c>
      <c r="X3106" s="72">
        <f>L3106*36</f>
        <v>1452.96</v>
      </c>
      <c r="Y3106" s="73">
        <f>+T3106-X3106</f>
        <v>80.720000000000027</v>
      </c>
      <c r="Z3106" s="12" t="s">
        <v>141</v>
      </c>
      <c r="AA3106" s="12" t="s">
        <v>78</v>
      </c>
    </row>
    <row r="3107" spans="1:27" x14ac:dyDescent="0.25">
      <c r="A3107" s="10">
        <v>45703</v>
      </c>
      <c r="B3107" s="11" t="s">
        <v>3699</v>
      </c>
      <c r="C3107" s="11" t="s">
        <v>5665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6345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2">
        <f t="shared" si="1002"/>
        <v>1709.35</v>
      </c>
      <c r="S3107" s="72">
        <v>0</v>
      </c>
      <c r="T3107" s="72">
        <f>+L3107*S3107</f>
        <v>0</v>
      </c>
      <c r="U3107" s="72">
        <f>R3107-T3107</f>
        <v>1709.35</v>
      </c>
      <c r="V3107" s="72">
        <f>U3107*0</f>
        <v>0</v>
      </c>
      <c r="W3107" s="72">
        <f>U3107-V3107</f>
        <v>1709.35</v>
      </c>
      <c r="X3107" s="72"/>
      <c r="Y3107" s="14">
        <f t="shared" ref="Y3107" si="1003">T3107-X3107</f>
        <v>0</v>
      </c>
      <c r="Z3107" s="11" t="s">
        <v>26</v>
      </c>
      <c r="AA3107" s="12" t="s">
        <v>31</v>
      </c>
    </row>
    <row r="3108" spans="1:27" x14ac:dyDescent="0.25">
      <c r="A3108" s="10">
        <v>45703</v>
      </c>
      <c r="B3108" s="11" t="s">
        <v>5666</v>
      </c>
      <c r="C3108" s="11" t="s">
        <v>5667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4439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2">
        <f t="shared" si="1002"/>
        <v>3587.2599999999998</v>
      </c>
      <c r="S3108" s="72">
        <v>38</v>
      </c>
      <c r="T3108" s="72">
        <f>L3108*S3108</f>
        <v>1642.36</v>
      </c>
      <c r="U3108" s="72">
        <f>R3108-T3108</f>
        <v>1944.8999999999999</v>
      </c>
      <c r="V3108" s="72">
        <f>U3108*1</f>
        <v>1944.8999999999999</v>
      </c>
      <c r="W3108" s="72">
        <f>U3108-V3108</f>
        <v>0</v>
      </c>
      <c r="X3108" s="72">
        <f>L3108*37</f>
        <v>1599.1399999999999</v>
      </c>
      <c r="Y3108" s="73">
        <f>+T3108-X3108</f>
        <v>43.220000000000027</v>
      </c>
      <c r="Z3108" s="12" t="s">
        <v>41</v>
      </c>
      <c r="AA3108" s="12" t="s">
        <v>78</v>
      </c>
    </row>
    <row r="3109" spans="1:27" x14ac:dyDescent="0.25">
      <c r="A3109" s="10">
        <v>45703</v>
      </c>
      <c r="B3109" s="11" t="s">
        <v>5668</v>
      </c>
      <c r="C3109" s="11" t="s">
        <v>5669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4439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2">
        <f t="shared" si="1002"/>
        <v>3585.3</v>
      </c>
      <c r="S3109" s="72">
        <v>38</v>
      </c>
      <c r="T3109" s="72">
        <f t="shared" ref="T3109" si="1004">L3109*S3109</f>
        <v>1602.84</v>
      </c>
      <c r="U3109" s="72">
        <f t="shared" ref="U3109" si="1005">R3109-T3109</f>
        <v>1982.4600000000003</v>
      </c>
      <c r="V3109" s="72">
        <f>U3109*1</f>
        <v>1982.4600000000003</v>
      </c>
      <c r="W3109" s="72">
        <f t="shared" ref="W3109" si="1006">U3109-V3109</f>
        <v>0</v>
      </c>
      <c r="X3109" s="72">
        <f>L3109*36</f>
        <v>1518.48</v>
      </c>
      <c r="Y3109" s="73">
        <f>+T3109-X3109</f>
        <v>84.3599999999999</v>
      </c>
      <c r="Z3109" s="12" t="s">
        <v>141</v>
      </c>
      <c r="AA3109" s="12" t="s">
        <v>78</v>
      </c>
    </row>
    <row r="3110" spans="1:27" x14ac:dyDescent="0.25">
      <c r="A3110" s="10">
        <v>45703</v>
      </c>
      <c r="B3110" s="11" t="s">
        <v>5670</v>
      </c>
      <c r="C3110" s="11" t="s">
        <v>5671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4439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2">
        <f t="shared" si="1002"/>
        <v>3751.6000000000004</v>
      </c>
      <c r="S3110" s="72">
        <v>38</v>
      </c>
      <c r="T3110" s="72">
        <f>L3110*S3110</f>
        <v>1717.6000000000001</v>
      </c>
      <c r="U3110" s="72">
        <f>R3110-T3110</f>
        <v>2034.0000000000002</v>
      </c>
      <c r="V3110" s="72">
        <f>U3110*1</f>
        <v>2034.0000000000002</v>
      </c>
      <c r="W3110" s="72">
        <f>U3110-V3110</f>
        <v>0</v>
      </c>
      <c r="X3110" s="72">
        <f>L3110*37</f>
        <v>1672.4</v>
      </c>
      <c r="Y3110" s="73">
        <f>+T3110-X3110</f>
        <v>45.200000000000045</v>
      </c>
      <c r="Z3110" s="12" t="s">
        <v>41</v>
      </c>
      <c r="AA3110" s="12" t="s">
        <v>78</v>
      </c>
    </row>
    <row r="3111" spans="1:27" x14ac:dyDescent="0.25">
      <c r="A3111" s="10">
        <v>45703</v>
      </c>
      <c r="B3111" s="11" t="s">
        <v>5672</v>
      </c>
      <c r="C3111" s="11" t="s">
        <v>5673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4439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2">
        <f t="shared" si="1002"/>
        <v>3722.9999999999995</v>
      </c>
      <c r="S3111" s="72">
        <v>38</v>
      </c>
      <c r="T3111" s="72">
        <f t="shared" ref="T3111" si="1007">L3111*S3111</f>
        <v>1664.3999999999999</v>
      </c>
      <c r="U3111" s="72">
        <f t="shared" ref="U3111" si="1008">R3111-T3111</f>
        <v>2058.5999999999995</v>
      </c>
      <c r="V3111" s="72">
        <f>U3111*1</f>
        <v>2058.5999999999995</v>
      </c>
      <c r="W3111" s="72">
        <f t="shared" ref="W3111" si="1009">U3111-V3111</f>
        <v>0</v>
      </c>
      <c r="X3111" s="72">
        <f>L3111*36</f>
        <v>1576.8</v>
      </c>
      <c r="Y3111" s="73">
        <f>+T3111-X3111</f>
        <v>87.599999999999909</v>
      </c>
      <c r="Z3111" s="12" t="s">
        <v>141</v>
      </c>
      <c r="AA3111" s="12" t="s">
        <v>78</v>
      </c>
    </row>
    <row r="3112" spans="1:27" x14ac:dyDescent="0.25">
      <c r="A3112" s="10">
        <v>45703</v>
      </c>
      <c r="B3112" s="11" t="s">
        <v>5674</v>
      </c>
      <c r="C3112" s="11" t="s">
        <v>5675</v>
      </c>
      <c r="D3112" s="11">
        <v>17653</v>
      </c>
      <c r="E3112" s="11" t="s">
        <v>5120</v>
      </c>
      <c r="F3112" s="11" t="s">
        <v>26</v>
      </c>
      <c r="G3112" s="11">
        <v>78104</v>
      </c>
      <c r="H3112" s="12" t="s">
        <v>4465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2">
        <f>+L3112*O3112</f>
        <v>1835.15</v>
      </c>
      <c r="S3112" s="72">
        <v>0</v>
      </c>
      <c r="T3112" s="72">
        <f>+L3112*S3112</f>
        <v>0</v>
      </c>
      <c r="U3112" s="72">
        <f>+R3112-T3112</f>
        <v>1835.15</v>
      </c>
      <c r="V3112" s="72">
        <f>+U3112*0.75</f>
        <v>1376.3625000000002</v>
      </c>
      <c r="W3112" s="72">
        <f>+U3112-V3112</f>
        <v>458.78749999999991</v>
      </c>
      <c r="X3112" s="72">
        <v>0</v>
      </c>
      <c r="Y3112" s="14">
        <f t="shared" ref="Y3112" si="1010">T3112-X3112</f>
        <v>0</v>
      </c>
      <c r="Z3112" s="11" t="s">
        <v>26</v>
      </c>
      <c r="AA3112" s="12" t="s">
        <v>31</v>
      </c>
    </row>
    <row r="3113" spans="1:27" x14ac:dyDescent="0.25">
      <c r="A3113" s="10">
        <v>45703</v>
      </c>
      <c r="B3113" s="11" t="s">
        <v>5676</v>
      </c>
      <c r="C3113" s="11" t="s">
        <v>5677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4439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2">
        <f>L3113*O3113</f>
        <v>3670.2599999999998</v>
      </c>
      <c r="S3113" s="72">
        <v>38</v>
      </c>
      <c r="T3113" s="72">
        <f>L3113*S3113</f>
        <v>1680.36</v>
      </c>
      <c r="U3113" s="72">
        <f>R3113-T3113</f>
        <v>1989.8999999999999</v>
      </c>
      <c r="V3113" s="72">
        <f>U3113*1</f>
        <v>1989.8999999999999</v>
      </c>
      <c r="W3113" s="72">
        <f>U3113-V3113</f>
        <v>0</v>
      </c>
      <c r="X3113" s="72">
        <f>L3113*37</f>
        <v>1636.1399999999999</v>
      </c>
      <c r="Y3113" s="73">
        <f>+T3113-X3113</f>
        <v>44.220000000000027</v>
      </c>
      <c r="Z3113" s="12" t="s">
        <v>41</v>
      </c>
      <c r="AA3113" s="12" t="s">
        <v>78</v>
      </c>
    </row>
    <row r="3114" spans="1:27" x14ac:dyDescent="0.25">
      <c r="A3114" s="10">
        <v>45703</v>
      </c>
      <c r="B3114" s="11" t="s">
        <v>5678</v>
      </c>
      <c r="C3114" s="11" t="s">
        <v>5679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4439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2">
        <f>L3114*O3114</f>
        <v>3683.5400000000004</v>
      </c>
      <c r="S3114" s="72">
        <v>38</v>
      </c>
      <c r="T3114" s="72">
        <f>L3114*S3114</f>
        <v>1686.44</v>
      </c>
      <c r="U3114" s="72">
        <f>R3114-T3114</f>
        <v>1997.1000000000004</v>
      </c>
      <c r="V3114" s="72">
        <f>U3114*1</f>
        <v>1997.1000000000004</v>
      </c>
      <c r="W3114" s="72">
        <f>U3114-V3114</f>
        <v>0</v>
      </c>
      <c r="X3114" s="72">
        <f>L3114*37</f>
        <v>1642.0600000000002</v>
      </c>
      <c r="Y3114" s="73">
        <f>+T3114-X3114</f>
        <v>44.379999999999882</v>
      </c>
      <c r="Z3114" s="12" t="s">
        <v>41</v>
      </c>
      <c r="AA3114" s="12" t="s">
        <v>78</v>
      </c>
    </row>
    <row r="3115" spans="1:27" x14ac:dyDescent="0.25">
      <c r="A3115" s="10">
        <v>45703</v>
      </c>
      <c r="B3115" s="11" t="s">
        <v>693</v>
      </c>
      <c r="C3115" s="11" t="s">
        <v>5680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2">
        <f>L3115*O3115</f>
        <v>1107.5</v>
      </c>
      <c r="S3115" s="72">
        <v>0</v>
      </c>
      <c r="T3115" s="72">
        <f t="shared" ref="T3115" si="1011">L3115*S3115</f>
        <v>0</v>
      </c>
      <c r="U3115" s="72">
        <f>R3115-T3115</f>
        <v>1107.5</v>
      </c>
      <c r="V3115" s="72">
        <f>U3115*0</f>
        <v>0</v>
      </c>
      <c r="W3115" s="72">
        <f>U3115-V3115</f>
        <v>1107.5</v>
      </c>
      <c r="X3115" s="72">
        <v>0</v>
      </c>
      <c r="Y3115" s="14">
        <f t="shared" ref="Y3115:Y3137" si="1012">T3115-X3115</f>
        <v>0</v>
      </c>
      <c r="Z3115" s="11" t="s">
        <v>26</v>
      </c>
      <c r="AA3115" s="12" t="s">
        <v>31</v>
      </c>
    </row>
    <row r="3116" spans="1:27" x14ac:dyDescent="0.25">
      <c r="A3116" s="10">
        <v>45703</v>
      </c>
      <c r="B3116" s="11" t="s">
        <v>5681</v>
      </c>
      <c r="C3116" s="11" t="s">
        <v>5682</v>
      </c>
      <c r="D3116" s="11">
        <v>17657</v>
      </c>
      <c r="E3116" s="11" t="s">
        <v>1217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2">
        <f>M3116*P3116</f>
        <v>1600</v>
      </c>
      <c r="S3116" s="72">
        <v>0</v>
      </c>
      <c r="T3116" s="72">
        <f>M3116*S3116</f>
        <v>0</v>
      </c>
      <c r="U3116" s="72">
        <f>R3116-T3116</f>
        <v>1600</v>
      </c>
      <c r="V3116" s="72">
        <f t="shared" ref="V3116" si="1013">U3116*0</f>
        <v>0</v>
      </c>
      <c r="W3116" s="72">
        <f t="shared" ref="W3116" si="1014">U3116-V3116</f>
        <v>1600</v>
      </c>
      <c r="X3116" s="72">
        <v>0</v>
      </c>
      <c r="Y3116" s="14">
        <f t="shared" si="1012"/>
        <v>0</v>
      </c>
      <c r="Z3116" s="11" t="s">
        <v>26</v>
      </c>
      <c r="AA3116" s="12" t="s">
        <v>31</v>
      </c>
    </row>
    <row r="3117" spans="1:27" x14ac:dyDescent="0.25">
      <c r="A3117" s="10">
        <v>45703</v>
      </c>
      <c r="B3117" s="11" t="s">
        <v>3334</v>
      </c>
      <c r="C3117" s="11" t="s">
        <v>5683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2">
        <f>+M3117*P3117</f>
        <v>456</v>
      </c>
      <c r="S3117" s="72">
        <v>0</v>
      </c>
      <c r="T3117" s="72">
        <f>+M3117*S3117</f>
        <v>0</v>
      </c>
      <c r="U3117" s="72">
        <f t="shared" ref="U3117" si="1015">+R3117-T3117</f>
        <v>456</v>
      </c>
      <c r="V3117" s="72">
        <f>+U3117*0</f>
        <v>0</v>
      </c>
      <c r="W3117" s="72">
        <f t="shared" ref="W3117" si="1016">+U3117-V3117</f>
        <v>456</v>
      </c>
      <c r="X3117" s="72">
        <v>0</v>
      </c>
      <c r="Y3117" s="14">
        <f t="shared" si="1012"/>
        <v>0</v>
      </c>
      <c r="Z3117" s="11" t="s">
        <v>26</v>
      </c>
      <c r="AA3117" s="12" t="s">
        <v>31</v>
      </c>
    </row>
    <row r="3118" spans="1:27" x14ac:dyDescent="0.25">
      <c r="A3118" s="10">
        <v>45703</v>
      </c>
      <c r="B3118" s="11" t="s">
        <v>4278</v>
      </c>
      <c r="C3118" s="11" t="s">
        <v>5684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2">
        <f>M3118*P3118</f>
        <v>1600</v>
      </c>
      <c r="S3118" s="72">
        <v>0</v>
      </c>
      <c r="T3118" s="72">
        <f>M3118*S3118</f>
        <v>0</v>
      </c>
      <c r="U3118" s="72">
        <f>+R3118-T3118</f>
        <v>1600</v>
      </c>
      <c r="V3118" s="72">
        <f t="shared" ref="V3118:V3120" si="1017">+U3118*0</f>
        <v>0</v>
      </c>
      <c r="W3118" s="72">
        <f>+U3118-V3118</f>
        <v>1600</v>
      </c>
      <c r="X3118" s="72">
        <v>0</v>
      </c>
      <c r="Y3118" s="14">
        <f t="shared" si="1012"/>
        <v>0</v>
      </c>
      <c r="Z3118" s="11" t="s">
        <v>26</v>
      </c>
      <c r="AA3118" s="12" t="s">
        <v>31</v>
      </c>
    </row>
    <row r="3119" spans="1:27" x14ac:dyDescent="0.25">
      <c r="A3119" s="10">
        <v>45703</v>
      </c>
      <c r="B3119" s="11" t="s">
        <v>5685</v>
      </c>
      <c r="C3119" s="11" t="s">
        <v>5686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2">
        <f>(L3119*O3119)-Q3119</f>
        <v>666</v>
      </c>
      <c r="S3119" s="72">
        <v>0</v>
      </c>
      <c r="T3119" s="72">
        <f t="shared" ref="T3119" si="1018">+L3119*S3119</f>
        <v>0</v>
      </c>
      <c r="U3119" s="72">
        <f t="shared" ref="U3119" si="1019">+R3119-T3119</f>
        <v>666</v>
      </c>
      <c r="V3119" s="72">
        <f t="shared" si="1017"/>
        <v>0</v>
      </c>
      <c r="W3119" s="72">
        <f t="shared" ref="W3119" si="1020">+U3119-V3119</f>
        <v>666</v>
      </c>
      <c r="X3119" s="72">
        <v>0</v>
      </c>
      <c r="Y3119" s="14">
        <f t="shared" si="1012"/>
        <v>0</v>
      </c>
      <c r="Z3119" s="11" t="s">
        <v>26</v>
      </c>
      <c r="AA3119" s="12" t="s">
        <v>31</v>
      </c>
    </row>
    <row r="3120" spans="1:27" x14ac:dyDescent="0.25">
      <c r="A3120" s="10">
        <v>45703</v>
      </c>
      <c r="B3120" s="11" t="s">
        <v>5687</v>
      </c>
      <c r="C3120" s="11" t="s">
        <v>5688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2">
        <f>M3120*P3120</f>
        <v>1600</v>
      </c>
      <c r="S3120" s="72">
        <v>0</v>
      </c>
      <c r="T3120" s="72">
        <f>M3120*S3120</f>
        <v>0</v>
      </c>
      <c r="U3120" s="72">
        <f>+R3120-T3120</f>
        <v>1600</v>
      </c>
      <c r="V3120" s="72">
        <f t="shared" si="1017"/>
        <v>0</v>
      </c>
      <c r="W3120" s="72">
        <f>+U3120-V3120</f>
        <v>1600</v>
      </c>
      <c r="X3120" s="72">
        <v>0</v>
      </c>
      <c r="Y3120" s="14">
        <f t="shared" si="1012"/>
        <v>0</v>
      </c>
      <c r="Z3120" s="11" t="s">
        <v>26</v>
      </c>
      <c r="AA3120" s="12" t="s">
        <v>31</v>
      </c>
    </row>
    <row r="3121" spans="1:27" x14ac:dyDescent="0.25">
      <c r="A3121" s="10">
        <v>45703</v>
      </c>
      <c r="B3121" s="11" t="s">
        <v>5689</v>
      </c>
      <c r="C3121" s="11" t="s">
        <v>5690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2">
        <f>L3121*O3121</f>
        <v>1136.22</v>
      </c>
      <c r="S3121" s="72">
        <v>0</v>
      </c>
      <c r="T3121" s="72">
        <f>L3121*S3121</f>
        <v>0</v>
      </c>
      <c r="U3121" s="72">
        <f>R3121-T3121</f>
        <v>1136.22</v>
      </c>
      <c r="V3121" s="72">
        <f>U3121*0</f>
        <v>0</v>
      </c>
      <c r="W3121" s="72">
        <f>U3121-V3121</f>
        <v>1136.22</v>
      </c>
      <c r="X3121" s="72">
        <v>0</v>
      </c>
      <c r="Y3121" s="14">
        <f t="shared" si="1012"/>
        <v>0</v>
      </c>
      <c r="Z3121" s="11" t="s">
        <v>26</v>
      </c>
      <c r="AA3121" s="12" t="s">
        <v>31</v>
      </c>
    </row>
    <row r="3122" spans="1:27" x14ac:dyDescent="0.25">
      <c r="A3122" s="10">
        <v>45703</v>
      </c>
      <c r="B3122" s="11" t="s">
        <v>5290</v>
      </c>
      <c r="C3122" s="11" t="s">
        <v>5691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2">
        <f>M3122*P3122</f>
        <v>1012.5</v>
      </c>
      <c r="S3122" s="72">
        <v>0</v>
      </c>
      <c r="T3122" s="72">
        <f>M3122*S3122</f>
        <v>0</v>
      </c>
      <c r="U3122" s="72">
        <f>+R3122-T3122</f>
        <v>1012.5</v>
      </c>
      <c r="V3122" s="72">
        <f t="shared" ref="V3122" si="1021">+U3122*0</f>
        <v>0</v>
      </c>
      <c r="W3122" s="72">
        <f>+U3122-V3122</f>
        <v>1012.5</v>
      </c>
      <c r="X3122" s="72">
        <v>0</v>
      </c>
      <c r="Y3122" s="14">
        <f t="shared" si="1012"/>
        <v>0</v>
      </c>
      <c r="Z3122" s="11" t="s">
        <v>26</v>
      </c>
      <c r="AA3122" s="12" t="s">
        <v>31</v>
      </c>
    </row>
    <row r="3123" spans="1:27" x14ac:dyDescent="0.25">
      <c r="A3123" s="10">
        <v>45703</v>
      </c>
      <c r="B3123" s="11" t="s">
        <v>5692</v>
      </c>
      <c r="C3123" s="11" t="s">
        <v>5693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2">
        <f>(L3123*O3123)-Q3123</f>
        <v>441.00000000000006</v>
      </c>
      <c r="S3123" s="72">
        <v>0</v>
      </c>
      <c r="T3123" s="72">
        <f t="shared" ref="T3123" si="1022">+L3123*S3123</f>
        <v>0</v>
      </c>
      <c r="U3123" s="72">
        <f t="shared" ref="U3123:U3124" si="1023">+R3123-T3123</f>
        <v>441.00000000000006</v>
      </c>
      <c r="V3123" s="72">
        <f>+U3123*0</f>
        <v>0</v>
      </c>
      <c r="W3123" s="72">
        <f t="shared" ref="W3123:W3124" si="1024">+U3123-V3123</f>
        <v>441.00000000000006</v>
      </c>
      <c r="X3123" s="72">
        <v>0</v>
      </c>
      <c r="Y3123" s="14">
        <f t="shared" si="1012"/>
        <v>0</v>
      </c>
      <c r="Z3123" s="11" t="s">
        <v>26</v>
      </c>
      <c r="AA3123" s="12" t="s">
        <v>31</v>
      </c>
    </row>
    <row r="3124" spans="1:27" x14ac:dyDescent="0.25">
      <c r="A3124" s="10">
        <v>45703</v>
      </c>
      <c r="B3124" s="11" t="s">
        <v>5694</v>
      </c>
      <c r="C3124" s="11" t="s">
        <v>5695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4463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2">
        <f t="shared" ref="R3124:R3125" si="1025">+L3124*O3124</f>
        <v>1665.7199999999998</v>
      </c>
      <c r="S3124" s="72">
        <v>0</v>
      </c>
      <c r="T3124" s="72">
        <f>+L3124*S3124</f>
        <v>0</v>
      </c>
      <c r="U3124" s="72">
        <f t="shared" si="1023"/>
        <v>1665.7199999999998</v>
      </c>
      <c r="V3124" s="72">
        <f>+U3124*1</f>
        <v>1665.7199999999998</v>
      </c>
      <c r="W3124" s="72">
        <f t="shared" si="1024"/>
        <v>0</v>
      </c>
      <c r="X3124" s="72">
        <v>0</v>
      </c>
      <c r="Y3124" s="14">
        <f t="shared" si="1012"/>
        <v>0</v>
      </c>
      <c r="Z3124" s="11" t="s">
        <v>26</v>
      </c>
      <c r="AA3124" s="12" t="s">
        <v>31</v>
      </c>
    </row>
    <row r="3125" spans="1:27" x14ac:dyDescent="0.25">
      <c r="A3125" s="10">
        <v>45703</v>
      </c>
      <c r="B3125" s="11" t="s">
        <v>5696</v>
      </c>
      <c r="C3125" s="11" t="s">
        <v>5697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4463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2">
        <f t="shared" si="1025"/>
        <v>1577.84</v>
      </c>
      <c r="S3125" s="72">
        <v>0</v>
      </c>
      <c r="T3125" s="72">
        <f>+L3125*S3125</f>
        <v>0</v>
      </c>
      <c r="U3125" s="72">
        <f>+R3125-T3125</f>
        <v>1577.84</v>
      </c>
      <c r="V3125" s="72">
        <f>+U3125*1</f>
        <v>1577.84</v>
      </c>
      <c r="W3125" s="72">
        <f>+U3125-V3125</f>
        <v>0</v>
      </c>
      <c r="X3125" s="72">
        <v>0</v>
      </c>
      <c r="Y3125" s="14">
        <f t="shared" si="1012"/>
        <v>0</v>
      </c>
      <c r="Z3125" s="11" t="s">
        <v>26</v>
      </c>
      <c r="AA3125" s="12" t="s">
        <v>31</v>
      </c>
    </row>
    <row r="3126" spans="1:27" x14ac:dyDescent="0.25">
      <c r="A3126" s="10">
        <v>45703</v>
      </c>
      <c r="B3126" s="11" t="s">
        <v>5698</v>
      </c>
      <c r="C3126" s="11" t="s">
        <v>5699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2">
        <f>(L3126*O3126)-Q3126</f>
        <v>292.5</v>
      </c>
      <c r="S3126" s="72">
        <v>0</v>
      </c>
      <c r="T3126" s="72">
        <f t="shared" ref="T3126" si="1026">+L3126*S3126</f>
        <v>0</v>
      </c>
      <c r="U3126" s="72">
        <f t="shared" ref="U3126" si="1027">+R3126-T3126</f>
        <v>292.5</v>
      </c>
      <c r="V3126" s="72">
        <f>+U3126*0</f>
        <v>0</v>
      </c>
      <c r="W3126" s="72">
        <f t="shared" ref="W3126" si="1028">+U3126-V3126</f>
        <v>292.5</v>
      </c>
      <c r="X3126" s="72">
        <v>0</v>
      </c>
      <c r="Y3126" s="14">
        <f t="shared" si="1012"/>
        <v>0</v>
      </c>
      <c r="Z3126" s="11" t="s">
        <v>26</v>
      </c>
      <c r="AA3126" s="12" t="s">
        <v>31</v>
      </c>
    </row>
    <row r="3127" spans="1:27" x14ac:dyDescent="0.25">
      <c r="A3127" s="10">
        <v>45703</v>
      </c>
      <c r="B3127" s="11" t="s">
        <v>1122</v>
      </c>
      <c r="C3127" s="11" t="s">
        <v>5700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35</v>
      </c>
      <c r="P3127" s="13"/>
      <c r="Q3127" s="13">
        <v>0</v>
      </c>
      <c r="R3127" s="72">
        <f>+L3127*O3127</f>
        <v>1526</v>
      </c>
      <c r="S3127" s="72">
        <v>0</v>
      </c>
      <c r="T3127" s="72">
        <f>+L3127*S3127</f>
        <v>0</v>
      </c>
      <c r="U3127" s="72">
        <f>+R3127-T3127</f>
        <v>1526</v>
      </c>
      <c r="V3127" s="72">
        <f t="shared" ref="V3127" si="1029">+U3127*0</f>
        <v>0</v>
      </c>
      <c r="W3127" s="72">
        <f>+U3127-V3127</f>
        <v>1526</v>
      </c>
      <c r="X3127" s="72">
        <v>0</v>
      </c>
      <c r="Y3127" s="14">
        <f t="shared" si="1012"/>
        <v>0</v>
      </c>
      <c r="Z3127" s="11" t="s">
        <v>26</v>
      </c>
      <c r="AA3127" s="12" t="s">
        <v>31</v>
      </c>
    </row>
    <row r="3128" spans="1:27" x14ac:dyDescent="0.25">
      <c r="A3128" s="10">
        <v>45703</v>
      </c>
      <c r="B3128" s="11" t="s">
        <v>5701</v>
      </c>
      <c r="C3128" s="11" t="s">
        <v>5702</v>
      </c>
      <c r="D3128" s="11">
        <v>17669</v>
      </c>
      <c r="E3128" s="11" t="s">
        <v>5226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2">
        <f>(L3128*O3128)-Q3128</f>
        <v>572.76</v>
      </c>
      <c r="S3128" s="72">
        <v>0</v>
      </c>
      <c r="T3128" s="72">
        <f t="shared" ref="T3128" si="1030">+L3128*S3128</f>
        <v>0</v>
      </c>
      <c r="U3128" s="72">
        <f t="shared" ref="U3128:U3129" si="1031">+R3128-T3128</f>
        <v>572.76</v>
      </c>
      <c r="V3128" s="72">
        <f>+U3128*0</f>
        <v>0</v>
      </c>
      <c r="W3128" s="72">
        <f t="shared" ref="W3128:W3129" si="1032">+U3128-V3128</f>
        <v>572.76</v>
      </c>
      <c r="X3128" s="72">
        <v>0</v>
      </c>
      <c r="Y3128" s="14">
        <f t="shared" si="1012"/>
        <v>0</v>
      </c>
      <c r="Z3128" s="11" t="s">
        <v>26</v>
      </c>
      <c r="AA3128" s="12" t="s">
        <v>31</v>
      </c>
    </row>
    <row r="3129" spans="1:27" x14ac:dyDescent="0.25">
      <c r="A3129" s="10">
        <v>45703</v>
      </c>
      <c r="B3129" s="11" t="s">
        <v>5703</v>
      </c>
      <c r="C3129" s="11" t="s">
        <v>5704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4440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2">
        <f>+L3129*O3129</f>
        <v>1600.2</v>
      </c>
      <c r="S3129" s="72">
        <v>0</v>
      </c>
      <c r="T3129" s="72">
        <f>+L3129*S3129</f>
        <v>0</v>
      </c>
      <c r="U3129" s="72">
        <f t="shared" si="1031"/>
        <v>1600.2</v>
      </c>
      <c r="V3129" s="72">
        <f>+U3129*1</f>
        <v>1600.2</v>
      </c>
      <c r="W3129" s="72">
        <f t="shared" si="1032"/>
        <v>0</v>
      </c>
      <c r="X3129" s="72">
        <v>0</v>
      </c>
      <c r="Y3129" s="14">
        <f t="shared" si="1012"/>
        <v>0</v>
      </c>
      <c r="Z3129" s="11" t="s">
        <v>26</v>
      </c>
      <c r="AA3129" s="12" t="s">
        <v>31</v>
      </c>
    </row>
    <row r="3130" spans="1:27" x14ac:dyDescent="0.25">
      <c r="A3130" s="10">
        <v>45703</v>
      </c>
      <c r="B3130" s="11" t="s">
        <v>5705</v>
      </c>
      <c r="C3130" s="11" t="s">
        <v>5706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2">
        <f>L3130*O3130</f>
        <v>1086.3399999999999</v>
      </c>
      <c r="S3130" s="72">
        <v>0</v>
      </c>
      <c r="T3130" s="72">
        <f>L3130*S3130</f>
        <v>0</v>
      </c>
      <c r="U3130" s="72">
        <f>R3130-T3130</f>
        <v>1086.3399999999999</v>
      </c>
      <c r="V3130" s="72">
        <f>U3130*0</f>
        <v>0</v>
      </c>
      <c r="W3130" s="72">
        <f>U3130-V3130</f>
        <v>1086.3399999999999</v>
      </c>
      <c r="X3130" s="72">
        <v>0</v>
      </c>
      <c r="Y3130" s="14">
        <f t="shared" si="1012"/>
        <v>0</v>
      </c>
      <c r="Z3130" s="11" t="s">
        <v>26</v>
      </c>
      <c r="AA3130" s="12" t="s">
        <v>31</v>
      </c>
    </row>
    <row r="3131" spans="1:27" x14ac:dyDescent="0.25">
      <c r="A3131" s="10">
        <v>45703</v>
      </c>
      <c r="B3131" s="11" t="s">
        <v>5707</v>
      </c>
      <c r="C3131" s="11" t="s">
        <v>5708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4440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2">
        <f t="shared" ref="R3131" si="1033">+L3131*O3131</f>
        <v>1539.16</v>
      </c>
      <c r="S3131" s="72">
        <v>0</v>
      </c>
      <c r="T3131" s="72">
        <f t="shared" ref="T3131" si="1034">+L3131*S3131</f>
        <v>0</v>
      </c>
      <c r="U3131" s="72">
        <f t="shared" ref="U3131" si="1035">+R3131-T3131</f>
        <v>1539.16</v>
      </c>
      <c r="V3131" s="72">
        <f>+U3131*1</f>
        <v>1539.16</v>
      </c>
      <c r="W3131" s="72">
        <f t="shared" ref="W3131" si="1036">+U3131-V3131</f>
        <v>0</v>
      </c>
      <c r="X3131" s="72">
        <v>0</v>
      </c>
      <c r="Y3131" s="14">
        <f t="shared" si="1012"/>
        <v>0</v>
      </c>
      <c r="Z3131" s="11" t="s">
        <v>26</v>
      </c>
      <c r="AA3131" s="12" t="s">
        <v>31</v>
      </c>
    </row>
    <row r="3132" spans="1:27" x14ac:dyDescent="0.25">
      <c r="A3132" s="10">
        <v>45703</v>
      </c>
      <c r="B3132" s="11" t="s">
        <v>2566</v>
      </c>
      <c r="C3132" s="11" t="s">
        <v>5709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2">
        <f>L3132*O3132</f>
        <v>1103.1600000000001</v>
      </c>
      <c r="S3132" s="72">
        <v>0</v>
      </c>
      <c r="T3132" s="72">
        <f>L3132*S3132</f>
        <v>0</v>
      </c>
      <c r="U3132" s="72">
        <f>R3132-T3132</f>
        <v>1103.1600000000001</v>
      </c>
      <c r="V3132" s="72">
        <f>U3132*0</f>
        <v>0</v>
      </c>
      <c r="W3132" s="72">
        <f>U3132-V3132</f>
        <v>1103.1600000000001</v>
      </c>
      <c r="X3132" s="72">
        <v>0</v>
      </c>
      <c r="Y3132" s="14">
        <f t="shared" si="1012"/>
        <v>0</v>
      </c>
      <c r="Z3132" s="11" t="s">
        <v>26</v>
      </c>
      <c r="AA3132" s="12" t="s">
        <v>31</v>
      </c>
    </row>
    <row r="3133" spans="1:27" x14ac:dyDescent="0.25">
      <c r="A3133" s="10">
        <v>45703</v>
      </c>
      <c r="B3133" s="11" t="s">
        <v>5710</v>
      </c>
      <c r="C3133" s="11" t="s">
        <v>5711</v>
      </c>
      <c r="D3133" s="11">
        <v>17674</v>
      </c>
      <c r="E3133" s="11" t="s">
        <v>5226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2">
        <f>(L3133*O3133)-Q3133</f>
        <v>595.70000000000005</v>
      </c>
      <c r="S3133" s="72">
        <v>0</v>
      </c>
      <c r="T3133" s="72">
        <f t="shared" ref="T3133" si="1037">+L3133*S3133</f>
        <v>0</v>
      </c>
      <c r="U3133" s="72">
        <f t="shared" ref="U3133" si="1038">+R3133-T3133</f>
        <v>595.70000000000005</v>
      </c>
      <c r="V3133" s="72">
        <f>+U3133*0</f>
        <v>0</v>
      </c>
      <c r="W3133" s="72">
        <f t="shared" ref="W3133" si="1039">+U3133-V3133</f>
        <v>595.70000000000005</v>
      </c>
      <c r="X3133" s="72">
        <v>0</v>
      </c>
      <c r="Y3133" s="14">
        <f t="shared" si="1012"/>
        <v>0</v>
      </c>
      <c r="Z3133" s="11" t="s">
        <v>26</v>
      </c>
      <c r="AA3133" s="12" t="s">
        <v>31</v>
      </c>
    </row>
    <row r="3134" spans="1:27" x14ac:dyDescent="0.25">
      <c r="A3134" s="10">
        <v>45703</v>
      </c>
      <c r="B3134" s="11" t="s">
        <v>5712</v>
      </c>
      <c r="C3134" s="11" t="s">
        <v>5713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2">
        <f>+L3134*O3134</f>
        <v>1705.6</v>
      </c>
      <c r="S3134" s="72">
        <v>0</v>
      </c>
      <c r="T3134" s="72">
        <f>+L3134*S3134</f>
        <v>0</v>
      </c>
      <c r="U3134" s="72">
        <f>+R3134-T3134</f>
        <v>1705.6</v>
      </c>
      <c r="V3134" s="72">
        <f t="shared" ref="V3134" si="1040">+U3134*0</f>
        <v>0</v>
      </c>
      <c r="W3134" s="72">
        <f>+U3134-V3134</f>
        <v>1705.6</v>
      </c>
      <c r="X3134" s="72">
        <v>0</v>
      </c>
      <c r="Y3134" s="14">
        <f t="shared" si="1012"/>
        <v>0</v>
      </c>
      <c r="Z3134" s="11" t="s">
        <v>26</v>
      </c>
      <c r="AA3134" s="12" t="s">
        <v>31</v>
      </c>
    </row>
    <row r="3135" spans="1:27" x14ac:dyDescent="0.25">
      <c r="A3135" s="10">
        <v>45703</v>
      </c>
      <c r="B3135" s="11" t="s">
        <v>5714</v>
      </c>
      <c r="C3135" s="11" t="s">
        <v>5715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4440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2">
        <f>+L3135*O3135</f>
        <v>1584.8999999999999</v>
      </c>
      <c r="S3135" s="72">
        <v>0</v>
      </c>
      <c r="T3135" s="72">
        <f>+L3135*S3135</f>
        <v>0</v>
      </c>
      <c r="U3135" s="72">
        <f t="shared" ref="U3135" si="1041">+R3135-T3135</f>
        <v>1584.8999999999999</v>
      </c>
      <c r="V3135" s="72">
        <f>+U3135*1</f>
        <v>1584.8999999999999</v>
      </c>
      <c r="W3135" s="72">
        <f t="shared" ref="W3135" si="1042">+U3135-V3135</f>
        <v>0</v>
      </c>
      <c r="X3135" s="72">
        <v>0</v>
      </c>
      <c r="Y3135" s="14">
        <f t="shared" si="1012"/>
        <v>0</v>
      </c>
      <c r="Z3135" s="11" t="s">
        <v>26</v>
      </c>
      <c r="AA3135" s="12" t="s">
        <v>31</v>
      </c>
    </row>
    <row r="3136" spans="1:27" x14ac:dyDescent="0.25">
      <c r="A3136" s="10">
        <v>45703</v>
      </c>
      <c r="B3136" s="11" t="s">
        <v>5716</v>
      </c>
      <c r="C3136" s="11" t="s">
        <v>5717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6345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2">
        <f>L3136*O3136</f>
        <v>1738.25</v>
      </c>
      <c r="S3136" s="72">
        <v>0</v>
      </c>
      <c r="T3136" s="72">
        <f>+L3136*S3136</f>
        <v>0</v>
      </c>
      <c r="U3136" s="72">
        <f>R3136-T3136</f>
        <v>1738.25</v>
      </c>
      <c r="V3136" s="72">
        <f>U3136*0</f>
        <v>0</v>
      </c>
      <c r="W3136" s="72">
        <f>U3136-V3136</f>
        <v>1738.25</v>
      </c>
      <c r="X3136" s="72"/>
      <c r="Y3136" s="14">
        <f t="shared" si="1012"/>
        <v>0</v>
      </c>
      <c r="Z3136" s="11" t="s">
        <v>26</v>
      </c>
      <c r="AA3136" s="12" t="s">
        <v>31</v>
      </c>
    </row>
    <row r="3137" spans="1:27" x14ac:dyDescent="0.25">
      <c r="A3137" s="10">
        <v>45703</v>
      </c>
      <c r="B3137" s="11" t="s">
        <v>5718</v>
      </c>
      <c r="C3137" s="11" t="s">
        <v>5719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1926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2">
        <f>M3137*P3137</f>
        <v>1350</v>
      </c>
      <c r="S3137" s="72">
        <v>0</v>
      </c>
      <c r="T3137" s="72">
        <f>M3137*S3137</f>
        <v>0</v>
      </c>
      <c r="U3137" s="72">
        <f t="shared" ref="U3137:U3138" si="1043">R3137-T3137</f>
        <v>1350</v>
      </c>
      <c r="V3137" s="72">
        <f>U3137*1</f>
        <v>1350</v>
      </c>
      <c r="W3137" s="72">
        <f>U3137-V3137</f>
        <v>0</v>
      </c>
      <c r="X3137" s="72">
        <v>0</v>
      </c>
      <c r="Y3137" s="14">
        <f t="shared" si="1012"/>
        <v>0</v>
      </c>
      <c r="Z3137" s="11" t="s">
        <v>26</v>
      </c>
      <c r="AA3137" s="12" t="s">
        <v>31</v>
      </c>
    </row>
    <row r="3138" spans="1:27" x14ac:dyDescent="0.25">
      <c r="A3138" s="10">
        <v>45703</v>
      </c>
      <c r="B3138" s="11" t="s">
        <v>5720</v>
      </c>
      <c r="C3138" s="11" t="s">
        <v>5721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2">
        <f>+L3138*O3138</f>
        <v>3887.52</v>
      </c>
      <c r="S3138" s="72">
        <v>40</v>
      </c>
      <c r="T3138" s="72">
        <f>L3138*S3138</f>
        <v>1708.8</v>
      </c>
      <c r="U3138" s="72">
        <f t="shared" si="1043"/>
        <v>2178.7200000000003</v>
      </c>
      <c r="V3138" s="72">
        <f>U3138*1</f>
        <v>2178.7200000000003</v>
      </c>
      <c r="W3138" s="72">
        <f t="shared" ref="W3138" si="1044">U3138-V3138</f>
        <v>0</v>
      </c>
      <c r="X3138" s="72">
        <f>L3138*37</f>
        <v>1580.6399999999999</v>
      </c>
      <c r="Y3138" s="73">
        <f>+T3138-X3138</f>
        <v>128.16000000000008</v>
      </c>
      <c r="Z3138" s="12" t="s">
        <v>41</v>
      </c>
      <c r="AA3138" s="12" t="s">
        <v>79</v>
      </c>
    </row>
    <row r="3139" spans="1:27" x14ac:dyDescent="0.25">
      <c r="A3139" s="10">
        <v>45703</v>
      </c>
      <c r="B3139" s="11" t="s">
        <v>3932</v>
      </c>
      <c r="C3139" s="11" t="s">
        <v>5722</v>
      </c>
      <c r="D3139" s="11">
        <v>17680</v>
      </c>
      <c r="E3139" s="11" t="s">
        <v>5211</v>
      </c>
      <c r="F3139" s="11" t="s">
        <v>26</v>
      </c>
      <c r="G3139" s="11">
        <v>78005</v>
      </c>
      <c r="H3139" s="12" t="s">
        <v>4465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2">
        <f>+L3139*O3139</f>
        <v>1776.4999999999998</v>
      </c>
      <c r="S3139" s="72">
        <v>0</v>
      </c>
      <c r="T3139" s="72">
        <f>+L3139*S3139</f>
        <v>0</v>
      </c>
      <c r="U3139" s="72">
        <f>+R3139-T3139</f>
        <v>1776.4999999999998</v>
      </c>
      <c r="V3139" s="72">
        <f>+U3139*0.75</f>
        <v>1332.3749999999998</v>
      </c>
      <c r="W3139" s="72">
        <f>+U3139-V3139</f>
        <v>444.125</v>
      </c>
      <c r="X3139" s="72">
        <v>0</v>
      </c>
      <c r="Y3139" s="14">
        <f t="shared" ref="Y3139:Y3154" si="1045">T3139-X3139</f>
        <v>0</v>
      </c>
      <c r="Z3139" s="11" t="s">
        <v>26</v>
      </c>
      <c r="AA3139" s="12" t="s">
        <v>31</v>
      </c>
    </row>
    <row r="3140" spans="1:27" x14ac:dyDescent="0.25">
      <c r="A3140" s="10">
        <v>45703</v>
      </c>
      <c r="B3140" s="11" t="s">
        <v>5723</v>
      </c>
      <c r="C3140" s="11" t="s">
        <v>5724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2">
        <f>M3140*P3140</f>
        <v>1740</v>
      </c>
      <c r="S3140" s="72">
        <v>0</v>
      </c>
      <c r="T3140" s="72">
        <f>M3140*S3140</f>
        <v>0</v>
      </c>
      <c r="U3140" s="72">
        <f t="shared" ref="U3140:U3141" si="1046">+R3140-T3140</f>
        <v>1740</v>
      </c>
      <c r="V3140" s="72">
        <f>+U3140*0</f>
        <v>0</v>
      </c>
      <c r="W3140" s="72">
        <f t="shared" ref="W3140:W3141" si="1047">+U3140-V3140</f>
        <v>1740</v>
      </c>
      <c r="X3140" s="72">
        <v>0</v>
      </c>
      <c r="Y3140" s="14">
        <f t="shared" si="1045"/>
        <v>0</v>
      </c>
      <c r="Z3140" s="11" t="s">
        <v>26</v>
      </c>
      <c r="AA3140" s="12" t="s">
        <v>31</v>
      </c>
    </row>
    <row r="3141" spans="1:27" x14ac:dyDescent="0.25">
      <c r="A3141" s="10">
        <v>45703</v>
      </c>
      <c r="B3141" s="11" t="s">
        <v>5725</v>
      </c>
      <c r="C3141" s="11" t="s">
        <v>5726</v>
      </c>
      <c r="D3141" s="11">
        <v>17682</v>
      </c>
      <c r="E3141" s="11" t="s">
        <v>5226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2">
        <f>(L3141*O3141)-Q3141</f>
        <v>574.24</v>
      </c>
      <c r="S3141" s="72">
        <v>0</v>
      </c>
      <c r="T3141" s="72">
        <f t="shared" ref="T3141" si="1048">+L3141*S3141</f>
        <v>0</v>
      </c>
      <c r="U3141" s="72">
        <f t="shared" si="1046"/>
        <v>574.24</v>
      </c>
      <c r="V3141" s="72">
        <f>+U3141*0</f>
        <v>0</v>
      </c>
      <c r="W3141" s="72">
        <f t="shared" si="1047"/>
        <v>574.24</v>
      </c>
      <c r="X3141" s="72">
        <v>0</v>
      </c>
      <c r="Y3141" s="14">
        <f t="shared" si="1045"/>
        <v>0</v>
      </c>
      <c r="Z3141" s="11" t="s">
        <v>26</v>
      </c>
      <c r="AA3141" s="12" t="s">
        <v>31</v>
      </c>
    </row>
    <row r="3142" spans="1:27" x14ac:dyDescent="0.25">
      <c r="A3142" s="10">
        <v>45703</v>
      </c>
      <c r="B3142" s="11" t="s">
        <v>2295</v>
      </c>
      <c r="C3142" s="11" t="s">
        <v>5727</v>
      </c>
      <c r="D3142" s="11">
        <v>17683</v>
      </c>
      <c r="E3142" s="11" t="s">
        <v>4576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5728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5">
        <v>0</v>
      </c>
      <c r="R3142" s="76">
        <f>M3142*P3142</f>
        <v>510</v>
      </c>
      <c r="S3142" s="76">
        <v>0</v>
      </c>
      <c r="T3142" s="76">
        <f>M3142*S3142</f>
        <v>0</v>
      </c>
      <c r="U3142" s="76">
        <f>R3142-T3142</f>
        <v>510</v>
      </c>
      <c r="V3142" s="76">
        <f>U3142*0</f>
        <v>0</v>
      </c>
      <c r="W3142" s="76">
        <f>U3142-V3142</f>
        <v>510</v>
      </c>
      <c r="X3142" s="12"/>
      <c r="Y3142" s="14">
        <f t="shared" si="1045"/>
        <v>0</v>
      </c>
      <c r="Z3142" s="11" t="s">
        <v>26</v>
      </c>
      <c r="AA3142" s="12" t="s">
        <v>31</v>
      </c>
    </row>
    <row r="3143" spans="1:27" x14ac:dyDescent="0.25">
      <c r="A3143" s="10">
        <v>45703</v>
      </c>
      <c r="B3143" s="11" t="s">
        <v>5729</v>
      </c>
      <c r="C3143" s="11" t="s">
        <v>5730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2">
        <f>M3143*P3143</f>
        <v>1680</v>
      </c>
      <c r="S3143" s="72">
        <v>0</v>
      </c>
      <c r="T3143" s="72">
        <f>M3143*S3143</f>
        <v>0</v>
      </c>
      <c r="U3143" s="72">
        <f t="shared" ref="U3143" si="1049">+R3143-T3143</f>
        <v>1680</v>
      </c>
      <c r="V3143" s="72">
        <f>+U3143*0</f>
        <v>0</v>
      </c>
      <c r="W3143" s="72">
        <f t="shared" ref="W3143" si="1050">+U3143-V3143</f>
        <v>1680</v>
      </c>
      <c r="X3143" s="72">
        <v>0</v>
      </c>
      <c r="Y3143" s="14">
        <f t="shared" si="1045"/>
        <v>0</v>
      </c>
      <c r="Z3143" s="11" t="s">
        <v>26</v>
      </c>
      <c r="AA3143" s="12" t="s">
        <v>31</v>
      </c>
    </row>
    <row r="3144" spans="1:27" x14ac:dyDescent="0.25">
      <c r="A3144" s="10">
        <v>45703</v>
      </c>
      <c r="B3144" s="11" t="s">
        <v>5731</v>
      </c>
      <c r="C3144" s="11" t="s">
        <v>5732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4463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2">
        <f t="shared" ref="R3144" si="1052">+L3144*O3144</f>
        <v>1576.96</v>
      </c>
      <c r="S3144" s="72">
        <v>0</v>
      </c>
      <c r="T3144" s="72">
        <f>+L3144*S3144</f>
        <v>0</v>
      </c>
      <c r="U3144" s="72">
        <f>+R3144-T3144</f>
        <v>1576.96</v>
      </c>
      <c r="V3144" s="72">
        <f>+U3144*1</f>
        <v>1576.96</v>
      </c>
      <c r="W3144" s="72">
        <f>+U3144-V3144</f>
        <v>0</v>
      </c>
      <c r="X3144" s="72">
        <v>0</v>
      </c>
      <c r="Y3144" s="14">
        <f t="shared" si="1045"/>
        <v>0</v>
      </c>
      <c r="Z3144" s="11" t="s">
        <v>26</v>
      </c>
      <c r="AA3144" s="12" t="s">
        <v>31</v>
      </c>
    </row>
    <row r="3145" spans="1:27" x14ac:dyDescent="0.25">
      <c r="A3145" s="10">
        <v>45703</v>
      </c>
      <c r="B3145" s="11" t="s">
        <v>5577</v>
      </c>
      <c r="C3145" s="11" t="s">
        <v>5733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2">
        <f>(L3145*O3145)-Q3145</f>
        <v>622.79999999999995</v>
      </c>
      <c r="S3145" s="72">
        <v>0</v>
      </c>
      <c r="T3145" s="72">
        <f t="shared" ref="T3145:T3146" si="1053">+L3145*S3145</f>
        <v>0</v>
      </c>
      <c r="U3145" s="72">
        <f t="shared" ref="U3145:U3146" si="1054">+R3145-T3145</f>
        <v>622.79999999999995</v>
      </c>
      <c r="V3145" s="72">
        <f t="shared" ref="V3145:V3146" si="1055">+U3145*0</f>
        <v>0</v>
      </c>
      <c r="W3145" s="72">
        <f t="shared" ref="W3145:W3146" si="1056">+U3145-V3145</f>
        <v>622.79999999999995</v>
      </c>
      <c r="X3145" s="72">
        <v>0</v>
      </c>
      <c r="Y3145" s="14">
        <f t="shared" si="1045"/>
        <v>0</v>
      </c>
      <c r="Z3145" s="11" t="s">
        <v>26</v>
      </c>
      <c r="AA3145" s="12" t="s">
        <v>31</v>
      </c>
    </row>
    <row r="3146" spans="1:27" x14ac:dyDescent="0.25">
      <c r="A3146" s="10">
        <v>45703</v>
      </c>
      <c r="B3146" s="11" t="s">
        <v>5466</v>
      </c>
      <c r="C3146" s="11" t="s">
        <v>5734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2">
        <f>(L3146*O3146)-Q3146</f>
        <v>724</v>
      </c>
      <c r="S3146" s="72">
        <v>0</v>
      </c>
      <c r="T3146" s="72">
        <f t="shared" si="1053"/>
        <v>0</v>
      </c>
      <c r="U3146" s="72">
        <f t="shared" si="1054"/>
        <v>724</v>
      </c>
      <c r="V3146" s="72">
        <f t="shared" si="1055"/>
        <v>0</v>
      </c>
      <c r="W3146" s="72">
        <f t="shared" si="1056"/>
        <v>724</v>
      </c>
      <c r="X3146" s="72">
        <v>0</v>
      </c>
      <c r="Y3146" s="14">
        <f t="shared" si="1045"/>
        <v>0</v>
      </c>
      <c r="Z3146" s="11" t="s">
        <v>26</v>
      </c>
      <c r="AA3146" s="12" t="s">
        <v>31</v>
      </c>
    </row>
    <row r="3147" spans="1:27" x14ac:dyDescent="0.25">
      <c r="A3147" s="10">
        <v>45703</v>
      </c>
      <c r="B3147" s="11" t="s">
        <v>5735</v>
      </c>
      <c r="C3147" s="11" t="s">
        <v>5736</v>
      </c>
      <c r="D3147" s="11">
        <v>17688</v>
      </c>
      <c r="E3147" s="11" t="s">
        <v>1217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2">
        <f>M3147*P3147</f>
        <v>1500</v>
      </c>
      <c r="S3147" s="72">
        <v>0</v>
      </c>
      <c r="T3147" s="72">
        <f>M3147*S3147</f>
        <v>0</v>
      </c>
      <c r="U3147" s="72">
        <f>R3147-T3147</f>
        <v>1500</v>
      </c>
      <c r="V3147" s="72">
        <f>U3147*0</f>
        <v>0</v>
      </c>
      <c r="W3147" s="72">
        <f>U3147-V3147</f>
        <v>1500</v>
      </c>
      <c r="X3147" s="72">
        <v>0</v>
      </c>
      <c r="Y3147" s="14">
        <f t="shared" si="1045"/>
        <v>0</v>
      </c>
      <c r="Z3147" s="11" t="s">
        <v>26</v>
      </c>
      <c r="AA3147" s="12" t="s">
        <v>31</v>
      </c>
    </row>
    <row r="3148" spans="1:27" x14ac:dyDescent="0.25">
      <c r="A3148" s="10">
        <v>45703</v>
      </c>
      <c r="B3148" s="11" t="s">
        <v>5737</v>
      </c>
      <c r="C3148" s="11" t="s">
        <v>5738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2">
        <f>+L3148*O3148</f>
        <v>1676</v>
      </c>
      <c r="S3148" s="72">
        <v>0</v>
      </c>
      <c r="T3148" s="72">
        <f>+L3148*S3148</f>
        <v>0</v>
      </c>
      <c r="U3148" s="72">
        <f>+R3148-T3148</f>
        <v>1676</v>
      </c>
      <c r="V3148" s="72">
        <f t="shared" ref="V3148" si="1057">+U3148*0</f>
        <v>0</v>
      </c>
      <c r="W3148" s="72">
        <f>+U3148-V3148</f>
        <v>1676</v>
      </c>
      <c r="X3148" s="72">
        <v>0</v>
      </c>
      <c r="Y3148" s="14">
        <f t="shared" si="1045"/>
        <v>0</v>
      </c>
      <c r="Z3148" s="11" t="s">
        <v>26</v>
      </c>
      <c r="AA3148" s="12" t="s">
        <v>31</v>
      </c>
    </row>
    <row r="3149" spans="1:27" x14ac:dyDescent="0.25">
      <c r="A3149" s="10">
        <v>45703</v>
      </c>
      <c r="B3149" s="11" t="s">
        <v>5739</v>
      </c>
      <c r="C3149" s="11" t="s">
        <v>5740</v>
      </c>
      <c r="D3149" s="11">
        <v>17690</v>
      </c>
      <c r="E3149" s="11" t="s">
        <v>659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2">
        <f>L3149*O3149</f>
        <v>1118.82</v>
      </c>
      <c r="S3149" s="72">
        <v>0</v>
      </c>
      <c r="T3149" s="72">
        <f>L3149*S3149</f>
        <v>0</v>
      </c>
      <c r="U3149" s="72">
        <f>R3149-T3149</f>
        <v>1118.82</v>
      </c>
      <c r="V3149" s="72">
        <f>U3149*0</f>
        <v>0</v>
      </c>
      <c r="W3149" s="72">
        <f>U3149-V3149</f>
        <v>1118.82</v>
      </c>
      <c r="X3149" s="72">
        <v>0</v>
      </c>
      <c r="Y3149" s="14">
        <f t="shared" si="1045"/>
        <v>0</v>
      </c>
      <c r="Z3149" s="11" t="s">
        <v>26</v>
      </c>
      <c r="AA3149" s="12" t="s">
        <v>31</v>
      </c>
    </row>
    <row r="3150" spans="1:27" x14ac:dyDescent="0.25">
      <c r="A3150" s="10">
        <v>45703</v>
      </c>
      <c r="B3150" s="11" t="s">
        <v>5741</v>
      </c>
      <c r="C3150" s="11" t="s">
        <v>5742</v>
      </c>
      <c r="D3150" s="11">
        <v>17691</v>
      </c>
      <c r="E3150" s="11" t="s">
        <v>5743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2">
        <f>(L3150*O3150)-Q3150</f>
        <v>536</v>
      </c>
      <c r="S3150" s="72">
        <v>0</v>
      </c>
      <c r="T3150" s="72">
        <f t="shared" ref="T3150" si="1058">+L3150*S3150</f>
        <v>0</v>
      </c>
      <c r="U3150" s="72">
        <f t="shared" ref="U3150:U3154" si="1059">+R3150-T3150</f>
        <v>536</v>
      </c>
      <c r="V3150" s="72">
        <f t="shared" ref="V3150" si="1060">+U3150*0</f>
        <v>0</v>
      </c>
      <c r="W3150" s="72">
        <f t="shared" ref="W3150:W3154" si="1061">+U3150-V3150</f>
        <v>536</v>
      </c>
      <c r="X3150" s="72">
        <v>0</v>
      </c>
      <c r="Y3150" s="14">
        <f t="shared" si="1045"/>
        <v>0</v>
      </c>
      <c r="Z3150" s="11" t="s">
        <v>26</v>
      </c>
      <c r="AA3150" s="12" t="s">
        <v>31</v>
      </c>
    </row>
    <row r="3151" spans="1:27" x14ac:dyDescent="0.25">
      <c r="A3151" s="10">
        <v>45703</v>
      </c>
      <c r="B3151" s="11" t="s">
        <v>5744</v>
      </c>
      <c r="C3151" s="11" t="s">
        <v>5745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4464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2">
        <f>+M3151*P3151</f>
        <v>852.8</v>
      </c>
      <c r="S3151" s="72">
        <v>0</v>
      </c>
      <c r="T3151" s="72">
        <f>+M3151*S3151</f>
        <v>0</v>
      </c>
      <c r="U3151" s="72">
        <f t="shared" si="1059"/>
        <v>852.8</v>
      </c>
      <c r="V3151" s="72">
        <f>+U3151*1</f>
        <v>852.8</v>
      </c>
      <c r="W3151" s="72">
        <f t="shared" si="1061"/>
        <v>0</v>
      </c>
      <c r="X3151" s="72">
        <v>0</v>
      </c>
      <c r="Y3151" s="14">
        <f t="shared" si="1045"/>
        <v>0</v>
      </c>
      <c r="Z3151" s="11" t="s">
        <v>26</v>
      </c>
      <c r="AA3151" s="12" t="s">
        <v>31</v>
      </c>
    </row>
    <row r="3152" spans="1:27" x14ac:dyDescent="0.25">
      <c r="A3152" s="10">
        <v>45703</v>
      </c>
      <c r="B3152" s="11" t="s">
        <v>640</v>
      </c>
      <c r="C3152" s="11" t="s">
        <v>5746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2">
        <f>+M3152*P3152</f>
        <v>1500</v>
      </c>
      <c r="S3152" s="72">
        <v>0</v>
      </c>
      <c r="T3152" s="72">
        <f>+M3152*S3152</f>
        <v>0</v>
      </c>
      <c r="U3152" s="72">
        <f t="shared" si="1059"/>
        <v>1500</v>
      </c>
      <c r="V3152" s="72">
        <f>+U3152*0</f>
        <v>0</v>
      </c>
      <c r="W3152" s="72">
        <f t="shared" si="1061"/>
        <v>1500</v>
      </c>
      <c r="X3152" s="72">
        <v>0</v>
      </c>
      <c r="Y3152" s="14">
        <f t="shared" si="1045"/>
        <v>0</v>
      </c>
      <c r="Z3152" s="11" t="s">
        <v>26</v>
      </c>
      <c r="AA3152" s="12" t="s">
        <v>31</v>
      </c>
    </row>
    <row r="3153" spans="1:27" x14ac:dyDescent="0.25">
      <c r="A3153" s="10">
        <v>45703</v>
      </c>
      <c r="B3153" s="11" t="s">
        <v>2755</v>
      </c>
      <c r="C3153" s="11" t="s">
        <v>5747</v>
      </c>
      <c r="D3153" s="11">
        <v>17694</v>
      </c>
      <c r="E3153" s="11" t="s">
        <v>5226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2">
        <f>(L3153*O3153)-Q3153</f>
        <v>556.48</v>
      </c>
      <c r="S3153" s="72">
        <v>0</v>
      </c>
      <c r="T3153" s="72">
        <f t="shared" ref="T3153" si="1062">+L3153*S3153</f>
        <v>0</v>
      </c>
      <c r="U3153" s="72">
        <f t="shared" si="1059"/>
        <v>556.48</v>
      </c>
      <c r="V3153" s="72">
        <f>+U3153*0</f>
        <v>0</v>
      </c>
      <c r="W3153" s="72">
        <f t="shared" si="1061"/>
        <v>556.48</v>
      </c>
      <c r="X3153" s="72">
        <v>0</v>
      </c>
      <c r="Y3153" s="14">
        <f t="shared" si="1045"/>
        <v>0</v>
      </c>
      <c r="Z3153" s="11" t="s">
        <v>26</v>
      </c>
      <c r="AA3153" s="12" t="s">
        <v>31</v>
      </c>
    </row>
    <row r="3154" spans="1:27" x14ac:dyDescent="0.25">
      <c r="A3154" s="10">
        <v>45703</v>
      </c>
      <c r="B3154" s="11" t="s">
        <v>268</v>
      </c>
      <c r="C3154" s="11" t="s">
        <v>5748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2">
        <f>+M3154*P3154</f>
        <v>1620</v>
      </c>
      <c r="S3154" s="72">
        <v>0</v>
      </c>
      <c r="T3154" s="72">
        <f>+M3154*S3154</f>
        <v>0</v>
      </c>
      <c r="U3154" s="72">
        <f t="shared" si="1059"/>
        <v>1620</v>
      </c>
      <c r="V3154" s="72">
        <f>+U3154*0</f>
        <v>0</v>
      </c>
      <c r="W3154" s="72">
        <f t="shared" si="1061"/>
        <v>1620</v>
      </c>
      <c r="X3154" s="72">
        <v>0</v>
      </c>
      <c r="Y3154" s="14">
        <f t="shared" si="1045"/>
        <v>0</v>
      </c>
      <c r="Z3154" s="11" t="s">
        <v>26</v>
      </c>
      <c r="AA3154" s="12" t="s">
        <v>31</v>
      </c>
    </row>
    <row r="3155" spans="1:27" x14ac:dyDescent="0.25">
      <c r="A3155" s="10">
        <v>45703</v>
      </c>
      <c r="B3155" s="11" t="s">
        <v>5749</v>
      </c>
      <c r="C3155" s="11" t="s">
        <v>5750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4439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2">
        <f>L3155*O3155</f>
        <v>3596.5800000000004</v>
      </c>
      <c r="S3155" s="72">
        <v>38</v>
      </c>
      <c r="T3155" s="72">
        <f>L3155*S3155</f>
        <v>1570.92</v>
      </c>
      <c r="U3155" s="72">
        <f>R3155-T3155</f>
        <v>2025.6600000000003</v>
      </c>
      <c r="V3155" s="72">
        <f>U3155*1</f>
        <v>2025.6600000000003</v>
      </c>
      <c r="W3155" s="72">
        <f>U3155-V3155</f>
        <v>0</v>
      </c>
      <c r="X3155" s="72">
        <f>L3155*36</f>
        <v>1488.2400000000002</v>
      </c>
      <c r="Y3155" s="73">
        <f>+T3155-X3155</f>
        <v>82.679999999999836</v>
      </c>
      <c r="Z3155" s="12" t="s">
        <v>141</v>
      </c>
      <c r="AA3155" s="12" t="s">
        <v>78</v>
      </c>
    </row>
    <row r="3156" spans="1:27" x14ac:dyDescent="0.25">
      <c r="A3156" s="10">
        <v>45703</v>
      </c>
      <c r="B3156" s="11" t="s">
        <v>5751</v>
      </c>
      <c r="C3156" s="11" t="s">
        <v>5752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4439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2">
        <f>L3156*O3156</f>
        <v>3434.5400000000004</v>
      </c>
      <c r="S3156" s="72">
        <v>38</v>
      </c>
      <c r="T3156" s="72">
        <f>L3156*S3156</f>
        <v>1572.44</v>
      </c>
      <c r="U3156" s="72">
        <f>R3156-T3156</f>
        <v>1862.1000000000004</v>
      </c>
      <c r="V3156" s="72">
        <f>U3156*1</f>
        <v>1862.1000000000004</v>
      </c>
      <c r="W3156" s="72">
        <f>U3156-V3156</f>
        <v>0</v>
      </c>
      <c r="X3156" s="72">
        <f>L3156*36</f>
        <v>1489.68</v>
      </c>
      <c r="Y3156" s="73">
        <f>+T3156-X3156</f>
        <v>82.759999999999991</v>
      </c>
      <c r="Z3156" s="12" t="s">
        <v>141</v>
      </c>
      <c r="AA3156" s="12" t="s">
        <v>78</v>
      </c>
    </row>
    <row r="3157" spans="1:27" x14ac:dyDescent="0.25">
      <c r="A3157" s="10">
        <v>45703</v>
      </c>
      <c r="B3157" s="11" t="s">
        <v>380</v>
      </c>
      <c r="C3157" s="11" t="s">
        <v>5753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2">
        <f>L3157*O3157</f>
        <v>1158.8399999999999</v>
      </c>
      <c r="S3157" s="72">
        <v>0</v>
      </c>
      <c r="T3157" s="72">
        <f>L3157*S3157</f>
        <v>0</v>
      </c>
      <c r="U3157" s="72">
        <f>R3157-T3157</f>
        <v>1158.8399999999999</v>
      </c>
      <c r="V3157" s="72">
        <f>U3157*0</f>
        <v>0</v>
      </c>
      <c r="W3157" s="72">
        <f>U3157-V3157</f>
        <v>1158.8399999999999</v>
      </c>
      <c r="X3157" s="72">
        <v>0</v>
      </c>
      <c r="Y3157" s="14">
        <f t="shared" ref="Y3157:Y3171" si="1063">T3157-X3157</f>
        <v>0</v>
      </c>
      <c r="Z3157" s="11" t="s">
        <v>26</v>
      </c>
      <c r="AA3157" s="12" t="s">
        <v>31</v>
      </c>
    </row>
    <row r="3158" spans="1:27" x14ac:dyDescent="0.25">
      <c r="A3158" s="10">
        <v>45703</v>
      </c>
      <c r="B3158" s="11" t="s">
        <v>5470</v>
      </c>
      <c r="C3158" s="11" t="s">
        <v>5754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2">
        <f>+M3158*P3158</f>
        <v>480</v>
      </c>
      <c r="S3158" s="72">
        <v>0</v>
      </c>
      <c r="T3158" s="72">
        <f>+M3158*S3158</f>
        <v>0</v>
      </c>
      <c r="U3158" s="72">
        <f t="shared" ref="U3158:U3161" si="1064">+R3158-T3158</f>
        <v>480</v>
      </c>
      <c r="V3158" s="72">
        <f>+U3158*0</f>
        <v>0</v>
      </c>
      <c r="W3158" s="72">
        <f t="shared" ref="W3158:W3161" si="1065">+U3158-V3158</f>
        <v>480</v>
      </c>
      <c r="X3158" s="72">
        <v>0</v>
      </c>
      <c r="Y3158" s="14">
        <f t="shared" si="1063"/>
        <v>0</v>
      </c>
      <c r="Z3158" s="11" t="s">
        <v>26</v>
      </c>
      <c r="AA3158" s="12" t="s">
        <v>31</v>
      </c>
    </row>
    <row r="3159" spans="1:27" x14ac:dyDescent="0.25">
      <c r="A3159" s="10">
        <v>45703</v>
      </c>
      <c r="B3159" s="11" t="s">
        <v>3895</v>
      </c>
      <c r="C3159" s="11" t="s">
        <v>5755</v>
      </c>
      <c r="D3159" s="11">
        <v>17700</v>
      </c>
      <c r="E3159" s="11" t="s">
        <v>5756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2">
        <f>+M3159*P3159</f>
        <v>480</v>
      </c>
      <c r="S3159" s="72">
        <v>0</v>
      </c>
      <c r="T3159" s="72">
        <f>+M3159*S3159</f>
        <v>0</v>
      </c>
      <c r="U3159" s="72">
        <f t="shared" si="1064"/>
        <v>480</v>
      </c>
      <c r="V3159" s="72">
        <f>+U3159*0</f>
        <v>0</v>
      </c>
      <c r="W3159" s="72">
        <f t="shared" si="1065"/>
        <v>480</v>
      </c>
      <c r="X3159" s="72">
        <v>0</v>
      </c>
      <c r="Y3159" s="14">
        <f t="shared" si="1063"/>
        <v>0</v>
      </c>
      <c r="Z3159" s="11" t="s">
        <v>26</v>
      </c>
      <c r="AA3159" s="12" t="s">
        <v>31</v>
      </c>
    </row>
    <row r="3160" spans="1:27" x14ac:dyDescent="0.25">
      <c r="A3160" s="10">
        <v>45703</v>
      </c>
      <c r="B3160" s="11" t="s">
        <v>5757</v>
      </c>
      <c r="C3160" s="11" t="s">
        <v>5758</v>
      </c>
      <c r="D3160" s="11">
        <v>17701</v>
      </c>
      <c r="E3160" s="11" t="s">
        <v>5759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2">
        <f>+M3160*P3160</f>
        <v>480</v>
      </c>
      <c r="S3160" s="72">
        <v>0</v>
      </c>
      <c r="T3160" s="72">
        <f>+M3160*S3160</f>
        <v>0</v>
      </c>
      <c r="U3160" s="72">
        <f t="shared" si="1064"/>
        <v>480</v>
      </c>
      <c r="V3160" s="72">
        <f>+U3160*0</f>
        <v>0</v>
      </c>
      <c r="W3160" s="72">
        <f t="shared" si="1065"/>
        <v>480</v>
      </c>
      <c r="X3160" s="72">
        <v>0</v>
      </c>
      <c r="Y3160" s="14">
        <f t="shared" si="1063"/>
        <v>0</v>
      </c>
      <c r="Z3160" s="11" t="s">
        <v>26</v>
      </c>
      <c r="AA3160" s="12" t="s">
        <v>31</v>
      </c>
    </row>
    <row r="3161" spans="1:27" x14ac:dyDescent="0.25">
      <c r="A3161" s="10">
        <v>45703</v>
      </c>
      <c r="B3161" s="11" t="s">
        <v>5760</v>
      </c>
      <c r="C3161" s="11" t="s">
        <v>5761</v>
      </c>
      <c r="D3161" s="11">
        <v>17702</v>
      </c>
      <c r="E3161" s="11" t="s">
        <v>5762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2">
        <f>+M3161*P3161</f>
        <v>480</v>
      </c>
      <c r="S3161" s="72">
        <v>0</v>
      </c>
      <c r="T3161" s="72">
        <f>+M3161*S3161</f>
        <v>0</v>
      </c>
      <c r="U3161" s="72">
        <f t="shared" si="1064"/>
        <v>480</v>
      </c>
      <c r="V3161" s="72">
        <f>+U3161*0</f>
        <v>0</v>
      </c>
      <c r="W3161" s="72">
        <f t="shared" si="1065"/>
        <v>480</v>
      </c>
      <c r="X3161" s="72">
        <v>0</v>
      </c>
      <c r="Y3161" s="14">
        <f t="shared" si="1063"/>
        <v>0</v>
      </c>
      <c r="Z3161" s="11" t="s">
        <v>26</v>
      </c>
      <c r="AA3161" s="12" t="s">
        <v>31</v>
      </c>
    </row>
    <row r="3162" spans="1:27" x14ac:dyDescent="0.25">
      <c r="A3162" s="10">
        <v>45703</v>
      </c>
      <c r="B3162" s="11" t="s">
        <v>252</v>
      </c>
      <c r="C3162" s="11" t="s">
        <v>5763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2">
        <f>+L3162*O3162</f>
        <v>1725.6</v>
      </c>
      <c r="S3162" s="72">
        <v>0</v>
      </c>
      <c r="T3162" s="72">
        <f>+L3162*S3162</f>
        <v>0</v>
      </c>
      <c r="U3162" s="72">
        <f>+R3162-T3162</f>
        <v>1725.6</v>
      </c>
      <c r="V3162" s="72">
        <f t="shared" ref="V3162" si="1066">+U3162*0</f>
        <v>0</v>
      </c>
      <c r="W3162" s="72">
        <f>+U3162-V3162</f>
        <v>1725.6</v>
      </c>
      <c r="X3162" s="72">
        <v>0</v>
      </c>
      <c r="Y3162" s="14">
        <f t="shared" si="1063"/>
        <v>0</v>
      </c>
      <c r="Z3162" s="11" t="s">
        <v>26</v>
      </c>
      <c r="AA3162" s="12" t="s">
        <v>31</v>
      </c>
    </row>
    <row r="3163" spans="1:27" x14ac:dyDescent="0.25">
      <c r="A3163" s="10">
        <v>45703</v>
      </c>
      <c r="B3163" s="11" t="s">
        <v>175</v>
      </c>
      <c r="C3163" s="11" t="s">
        <v>5764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2">
        <f>L3163*O3163</f>
        <v>1094.46</v>
      </c>
      <c r="S3163" s="72">
        <v>0</v>
      </c>
      <c r="T3163" s="72">
        <f>L3163*S3163</f>
        <v>0</v>
      </c>
      <c r="U3163" s="72">
        <f>R3163-T3163</f>
        <v>1094.46</v>
      </c>
      <c r="V3163" s="72">
        <f>U3163*0</f>
        <v>0</v>
      </c>
      <c r="W3163" s="72">
        <f>U3163-V3163</f>
        <v>1094.46</v>
      </c>
      <c r="X3163" s="72">
        <v>0</v>
      </c>
      <c r="Y3163" s="14">
        <f t="shared" si="1063"/>
        <v>0</v>
      </c>
      <c r="Z3163" s="11" t="s">
        <v>26</v>
      </c>
      <c r="AA3163" s="12" t="s">
        <v>31</v>
      </c>
    </row>
    <row r="3164" spans="1:27" x14ac:dyDescent="0.25">
      <c r="A3164" s="10">
        <v>45703</v>
      </c>
      <c r="B3164" s="11" t="s">
        <v>5765</v>
      </c>
      <c r="C3164" s="11" t="s">
        <v>5766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2">
        <f>(L3164*O3164)-Q3164</f>
        <v>288</v>
      </c>
      <c r="S3164" s="72">
        <v>0</v>
      </c>
      <c r="T3164" s="72">
        <f t="shared" ref="T3164" si="1067">+L3164*S3164</f>
        <v>0</v>
      </c>
      <c r="U3164" s="72">
        <f t="shared" ref="U3164" si="1068">+R3164-T3164</f>
        <v>288</v>
      </c>
      <c r="V3164" s="72">
        <f t="shared" ref="V3164:V3165" si="1069">+U3164*0</f>
        <v>0</v>
      </c>
      <c r="W3164" s="72">
        <f t="shared" ref="W3164" si="1070">+U3164-V3164</f>
        <v>288</v>
      </c>
      <c r="X3164" s="72">
        <v>0</v>
      </c>
      <c r="Y3164" s="14">
        <f t="shared" si="1063"/>
        <v>0</v>
      </c>
      <c r="Z3164" s="11" t="s">
        <v>26</v>
      </c>
      <c r="AA3164" s="12" t="s">
        <v>31</v>
      </c>
    </row>
    <row r="3165" spans="1:27" x14ac:dyDescent="0.25">
      <c r="A3165" s="10">
        <v>45703</v>
      </c>
      <c r="B3165" s="11" t="s">
        <v>4063</v>
      </c>
      <c r="C3165" s="11" t="s">
        <v>5767</v>
      </c>
      <c r="D3165" s="11">
        <v>17706</v>
      </c>
      <c r="E3165" s="11" t="s">
        <v>5386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2">
        <f>+L3165*O3165</f>
        <v>1651.2</v>
      </c>
      <c r="S3165" s="72">
        <v>0</v>
      </c>
      <c r="T3165" s="72">
        <f>+L3165*S3165</f>
        <v>0</v>
      </c>
      <c r="U3165" s="72">
        <f>+R3165-T3165</f>
        <v>1651.2</v>
      </c>
      <c r="V3165" s="72">
        <f t="shared" si="1069"/>
        <v>0</v>
      </c>
      <c r="W3165" s="72">
        <f>+U3165-V3165</f>
        <v>1651.2</v>
      </c>
      <c r="X3165" s="72">
        <v>0</v>
      </c>
      <c r="Y3165" s="14">
        <f t="shared" si="1063"/>
        <v>0</v>
      </c>
      <c r="Z3165" s="11" t="s">
        <v>26</v>
      </c>
      <c r="AA3165" s="12" t="s">
        <v>31</v>
      </c>
    </row>
    <row r="3166" spans="1:27" x14ac:dyDescent="0.25">
      <c r="A3166" s="10">
        <v>45703</v>
      </c>
      <c r="B3166" s="11" t="s">
        <v>5768</v>
      </c>
      <c r="C3166" s="11" t="s">
        <v>5769</v>
      </c>
      <c r="D3166" s="11">
        <v>17707</v>
      </c>
      <c r="E3166" s="11" t="s">
        <v>5512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2">
        <f>L3166*O3166</f>
        <v>1109.54</v>
      </c>
      <c r="S3166" s="72">
        <v>0</v>
      </c>
      <c r="T3166" s="72">
        <f>L3166*S3166</f>
        <v>0</v>
      </c>
      <c r="U3166" s="72">
        <f>R3166-T3166</f>
        <v>1109.54</v>
      </c>
      <c r="V3166" s="72">
        <f>U3166*0</f>
        <v>0</v>
      </c>
      <c r="W3166" s="72">
        <f>U3166-V3166</f>
        <v>1109.54</v>
      </c>
      <c r="X3166" s="72">
        <v>0</v>
      </c>
      <c r="Y3166" s="14">
        <f t="shared" si="1063"/>
        <v>0</v>
      </c>
      <c r="Z3166" s="11" t="s">
        <v>26</v>
      </c>
      <c r="AA3166" s="12" t="s">
        <v>31</v>
      </c>
    </row>
    <row r="3167" spans="1:27" x14ac:dyDescent="0.25">
      <c r="A3167" s="10">
        <v>45705</v>
      </c>
      <c r="B3167" s="11" t="s">
        <v>5770</v>
      </c>
      <c r="C3167" s="11" t="s">
        <v>5771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4465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2">
        <f>+L3167*O3167</f>
        <v>1823.4727999999998</v>
      </c>
      <c r="S3167" s="72">
        <v>0</v>
      </c>
      <c r="T3167" s="72">
        <f>+L3167*S3167</f>
        <v>0</v>
      </c>
      <c r="U3167" s="72">
        <f>+R3167-T3167</f>
        <v>1823.4727999999998</v>
      </c>
      <c r="V3167" s="72">
        <f>+U3167*0.75</f>
        <v>1367.6045999999999</v>
      </c>
      <c r="W3167" s="72">
        <f>+U3167-V3167</f>
        <v>455.86819999999989</v>
      </c>
      <c r="X3167" s="72">
        <v>0</v>
      </c>
      <c r="Y3167" s="14">
        <f t="shared" si="1063"/>
        <v>0</v>
      </c>
      <c r="Z3167" s="11" t="s">
        <v>26</v>
      </c>
      <c r="AA3167" s="12" t="s">
        <v>31</v>
      </c>
    </row>
    <row r="3168" spans="1:27" x14ac:dyDescent="0.25">
      <c r="A3168" s="10">
        <v>45705</v>
      </c>
      <c r="B3168" s="11" t="s">
        <v>5772</v>
      </c>
      <c r="C3168" s="11" t="s">
        <v>5773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4463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2">
        <f t="shared" ref="R3168" si="1072">+L3168*O3168</f>
        <v>1591.04</v>
      </c>
      <c r="S3168" s="72">
        <v>0</v>
      </c>
      <c r="T3168" s="72">
        <f>+L3168*S3168</f>
        <v>0</v>
      </c>
      <c r="U3168" s="72">
        <f>+R3168-T3168</f>
        <v>1591.04</v>
      </c>
      <c r="V3168" s="72">
        <f>+U3168*1</f>
        <v>1591.04</v>
      </c>
      <c r="W3168" s="72">
        <f>+U3168-V3168</f>
        <v>0</v>
      </c>
      <c r="X3168" s="72">
        <v>0</v>
      </c>
      <c r="Y3168" s="14">
        <f t="shared" si="1063"/>
        <v>0</v>
      </c>
      <c r="Z3168" s="11" t="s">
        <v>26</v>
      </c>
      <c r="AA3168" s="12" t="s">
        <v>31</v>
      </c>
    </row>
    <row r="3169" spans="1:27" x14ac:dyDescent="0.25">
      <c r="A3169" s="10">
        <v>45705</v>
      </c>
      <c r="B3169" s="11" t="s">
        <v>5774</v>
      </c>
      <c r="C3169" s="11" t="s">
        <v>5775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4440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2">
        <f>+L3169*O3169</f>
        <v>1602</v>
      </c>
      <c r="S3169" s="72">
        <v>0</v>
      </c>
      <c r="T3169" s="72">
        <f>+L3169*S3169</f>
        <v>0</v>
      </c>
      <c r="U3169" s="72">
        <f t="shared" ref="U3169" si="1073">+R3169-T3169</f>
        <v>1602</v>
      </c>
      <c r="V3169" s="72">
        <f>+U3169*1</f>
        <v>1602</v>
      </c>
      <c r="W3169" s="72">
        <f t="shared" ref="W3169" si="1074">+U3169-V3169</f>
        <v>0</v>
      </c>
      <c r="X3169" s="72">
        <v>0</v>
      </c>
      <c r="Y3169" s="14">
        <f t="shared" si="1063"/>
        <v>0</v>
      </c>
      <c r="Z3169" s="11" t="s">
        <v>26</v>
      </c>
      <c r="AA3169" s="12" t="s">
        <v>31</v>
      </c>
    </row>
    <row r="3170" spans="1:27" x14ac:dyDescent="0.25">
      <c r="A3170" s="10">
        <v>45705</v>
      </c>
      <c r="B3170" s="11" t="s">
        <v>3340</v>
      </c>
      <c r="C3170" s="11" t="s">
        <v>5776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4465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2">
        <f>+L3170*O3170</f>
        <v>1887.8635999999999</v>
      </c>
      <c r="S3170" s="72">
        <v>0</v>
      </c>
      <c r="T3170" s="72">
        <f>+L3170*S3170</f>
        <v>0</v>
      </c>
      <c r="U3170" s="72">
        <f>+R3170-T3170</f>
        <v>1887.8635999999999</v>
      </c>
      <c r="V3170" s="72">
        <f>+U3170*0.75</f>
        <v>1415.8977</v>
      </c>
      <c r="W3170" s="72">
        <f>+U3170-V3170</f>
        <v>471.96589999999992</v>
      </c>
      <c r="X3170" s="72">
        <v>0</v>
      </c>
      <c r="Y3170" s="14">
        <f t="shared" si="1063"/>
        <v>0</v>
      </c>
      <c r="Z3170" s="11" t="s">
        <v>26</v>
      </c>
      <c r="AA3170" s="12" t="s">
        <v>31</v>
      </c>
    </row>
    <row r="3171" spans="1:27" x14ac:dyDescent="0.25">
      <c r="A3171" s="10">
        <v>45705</v>
      </c>
      <c r="B3171" s="11" t="s">
        <v>5777</v>
      </c>
      <c r="C3171" s="11" t="s">
        <v>5778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2">
        <f t="shared" ref="R3171:R3176" si="1075">L3171*O3171</f>
        <v>1792.8</v>
      </c>
      <c r="S3171" s="72">
        <v>0</v>
      </c>
      <c r="T3171" s="72">
        <f t="shared" ref="T3171:T3176" si="1076">L3171*S3171</f>
        <v>0</v>
      </c>
      <c r="U3171" s="72">
        <f t="shared" ref="U3171:U3177" si="1077">R3171-T3171</f>
        <v>1792.8</v>
      </c>
      <c r="V3171" s="72">
        <f>U3171*0</f>
        <v>0</v>
      </c>
      <c r="W3171" s="72">
        <f t="shared" ref="W3171:W3177" si="1078">U3171-V3171</f>
        <v>1792.8</v>
      </c>
      <c r="X3171" s="72">
        <v>0</v>
      </c>
      <c r="Y3171" s="14">
        <f t="shared" si="1063"/>
        <v>0</v>
      </c>
      <c r="Z3171" s="11" t="s">
        <v>26</v>
      </c>
      <c r="AA3171" s="12" t="s">
        <v>31</v>
      </c>
    </row>
    <row r="3172" spans="1:27" x14ac:dyDescent="0.25">
      <c r="A3172" s="10">
        <v>45705</v>
      </c>
      <c r="B3172" s="11" t="s">
        <v>5290</v>
      </c>
      <c r="C3172" s="11" t="s">
        <v>5779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4439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2">
        <f t="shared" si="1075"/>
        <v>3495.66</v>
      </c>
      <c r="S3172" s="72">
        <v>38</v>
      </c>
      <c r="T3172" s="72">
        <f t="shared" si="1076"/>
        <v>1526.84</v>
      </c>
      <c r="U3172" s="72">
        <f t="shared" si="1077"/>
        <v>1968.82</v>
      </c>
      <c r="V3172" s="72">
        <f>U3172*1</f>
        <v>1968.82</v>
      </c>
      <c r="W3172" s="72">
        <f t="shared" si="1078"/>
        <v>0</v>
      </c>
      <c r="X3172" s="72">
        <f>L3172*36</f>
        <v>1446.48</v>
      </c>
      <c r="Y3172" s="73">
        <f>+T3172-X3172</f>
        <v>80.3599999999999</v>
      </c>
      <c r="Z3172" s="12" t="s">
        <v>6345</v>
      </c>
      <c r="AA3172" s="12" t="s">
        <v>78</v>
      </c>
    </row>
    <row r="3173" spans="1:27" x14ac:dyDescent="0.25">
      <c r="A3173" s="10">
        <v>45705</v>
      </c>
      <c r="B3173" s="11" t="s">
        <v>5780</v>
      </c>
      <c r="C3173" s="11" t="s">
        <v>5781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2">
        <f t="shared" si="1075"/>
        <v>1580</v>
      </c>
      <c r="S3173" s="72">
        <v>0</v>
      </c>
      <c r="T3173" s="72">
        <f t="shared" si="1076"/>
        <v>0</v>
      </c>
      <c r="U3173" s="72">
        <f t="shared" si="1077"/>
        <v>1580</v>
      </c>
      <c r="V3173" s="72">
        <f>U3173*0</f>
        <v>0</v>
      </c>
      <c r="W3173" s="72">
        <f t="shared" si="1078"/>
        <v>1580</v>
      </c>
      <c r="X3173" s="72">
        <v>0</v>
      </c>
      <c r="Y3173" s="14">
        <f t="shared" ref="Y3173" si="1079">T3173-X3173</f>
        <v>0</v>
      </c>
      <c r="Z3173" s="11" t="s">
        <v>26</v>
      </c>
      <c r="AA3173" s="12" t="s">
        <v>31</v>
      </c>
    </row>
    <row r="3174" spans="1:27" x14ac:dyDescent="0.25">
      <c r="A3174" s="10">
        <v>45705</v>
      </c>
      <c r="B3174" s="11" t="s">
        <v>3912</v>
      </c>
      <c r="C3174" s="11" t="s">
        <v>5782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4439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2">
        <f t="shared" si="1075"/>
        <v>3796.42</v>
      </c>
      <c r="S3174" s="72">
        <v>38</v>
      </c>
      <c r="T3174" s="72">
        <f t="shared" si="1076"/>
        <v>1738.1200000000001</v>
      </c>
      <c r="U3174" s="72">
        <f t="shared" si="1077"/>
        <v>2058.3000000000002</v>
      </c>
      <c r="V3174" s="72">
        <f>U3174*1</f>
        <v>2058.3000000000002</v>
      </c>
      <c r="W3174" s="72">
        <f t="shared" si="1078"/>
        <v>0</v>
      </c>
      <c r="X3174" s="72">
        <f>L3174*37</f>
        <v>1692.38</v>
      </c>
      <c r="Y3174" s="73">
        <f>+T3174-X3174</f>
        <v>45.740000000000009</v>
      </c>
      <c r="Z3174" s="12" t="s">
        <v>41</v>
      </c>
      <c r="AA3174" s="12" t="s">
        <v>78</v>
      </c>
    </row>
    <row r="3175" spans="1:27" x14ac:dyDescent="0.25">
      <c r="A3175" s="10">
        <v>45705</v>
      </c>
      <c r="B3175" s="11" t="s">
        <v>250</v>
      </c>
      <c r="C3175" s="11" t="s">
        <v>5783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2">
        <f t="shared" si="1075"/>
        <v>1638.4</v>
      </c>
      <c r="S3175" s="72">
        <v>0</v>
      </c>
      <c r="T3175" s="72">
        <f t="shared" si="1076"/>
        <v>0</v>
      </c>
      <c r="U3175" s="72">
        <f t="shared" si="1077"/>
        <v>1638.4</v>
      </c>
      <c r="V3175" s="72">
        <f>U3175*0</f>
        <v>0</v>
      </c>
      <c r="W3175" s="72">
        <f t="shared" si="1078"/>
        <v>1638.4</v>
      </c>
      <c r="X3175" s="72">
        <v>0</v>
      </c>
      <c r="Y3175" s="14">
        <f t="shared" ref="Y3175" si="1080">T3175-X3175</f>
        <v>0</v>
      </c>
      <c r="Z3175" s="11" t="s">
        <v>26</v>
      </c>
      <c r="AA3175" s="12" t="s">
        <v>31</v>
      </c>
    </row>
    <row r="3176" spans="1:27" x14ac:dyDescent="0.25">
      <c r="A3176" s="10">
        <v>45705</v>
      </c>
      <c r="B3176" s="11" t="s">
        <v>3000</v>
      </c>
      <c r="C3176" s="11" t="s">
        <v>5784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4439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2">
        <f t="shared" si="1075"/>
        <v>3849.5400000000004</v>
      </c>
      <c r="S3176" s="72">
        <v>38</v>
      </c>
      <c r="T3176" s="72">
        <f t="shared" si="1076"/>
        <v>1762.44</v>
      </c>
      <c r="U3176" s="72">
        <f t="shared" si="1077"/>
        <v>2087.1000000000004</v>
      </c>
      <c r="V3176" s="72">
        <f>U3176*1</f>
        <v>2087.1000000000004</v>
      </c>
      <c r="W3176" s="72">
        <f t="shared" si="1078"/>
        <v>0</v>
      </c>
      <c r="X3176" s="72">
        <f>L3176*37</f>
        <v>1716.0600000000002</v>
      </c>
      <c r="Y3176" s="73">
        <f>+T3176-X3176</f>
        <v>46.379999999999882</v>
      </c>
      <c r="Z3176" s="12" t="s">
        <v>41</v>
      </c>
      <c r="AA3176" s="12" t="s">
        <v>78</v>
      </c>
    </row>
    <row r="3177" spans="1:27" x14ac:dyDescent="0.25">
      <c r="A3177" s="10">
        <v>45705</v>
      </c>
      <c r="B3177" s="11" t="s">
        <v>5785</v>
      </c>
      <c r="C3177" s="11" t="s">
        <v>5786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2">
        <f>M3177*P3177</f>
        <v>1450</v>
      </c>
      <c r="S3177" s="72">
        <v>0</v>
      </c>
      <c r="T3177" s="72">
        <f>M3177*S3177</f>
        <v>0</v>
      </c>
      <c r="U3177" s="72">
        <f t="shared" si="1077"/>
        <v>1450</v>
      </c>
      <c r="V3177" s="72">
        <f t="shared" ref="V3177" si="1081">U3177*0</f>
        <v>0</v>
      </c>
      <c r="W3177" s="72">
        <f t="shared" si="1078"/>
        <v>1450</v>
      </c>
      <c r="X3177" s="72">
        <v>0</v>
      </c>
      <c r="Y3177" s="14">
        <f t="shared" ref="Y3177:Y3178" si="1082">T3177-X3177</f>
        <v>0</v>
      </c>
      <c r="Z3177" s="11" t="s">
        <v>26</v>
      </c>
      <c r="AA3177" s="12" t="s">
        <v>31</v>
      </c>
    </row>
    <row r="3178" spans="1:27" x14ac:dyDescent="0.25">
      <c r="A3178" s="10">
        <v>45705</v>
      </c>
      <c r="B3178" s="11" t="s">
        <v>5787</v>
      </c>
      <c r="C3178" s="11" t="s">
        <v>5788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2">
        <f>(L3178*O3178)-Q3178</f>
        <v>463.50000000000006</v>
      </c>
      <c r="S3178" s="72">
        <v>0</v>
      </c>
      <c r="T3178" s="72">
        <f t="shared" ref="T3178" si="1083">+L3178*S3178</f>
        <v>0</v>
      </c>
      <c r="U3178" s="72">
        <f t="shared" ref="U3178" si="1084">+R3178-T3178</f>
        <v>463.50000000000006</v>
      </c>
      <c r="V3178" s="72">
        <f>+U3178*0</f>
        <v>0</v>
      </c>
      <c r="W3178" s="72">
        <f t="shared" ref="W3178" si="1085">+U3178-V3178</f>
        <v>463.50000000000006</v>
      </c>
      <c r="X3178" s="72">
        <v>0</v>
      </c>
      <c r="Y3178" s="14">
        <f t="shared" si="1082"/>
        <v>0</v>
      </c>
      <c r="Z3178" s="11" t="s">
        <v>26</v>
      </c>
      <c r="AA3178" s="12" t="s">
        <v>31</v>
      </c>
    </row>
    <row r="3179" spans="1:27" x14ac:dyDescent="0.25">
      <c r="A3179" s="10">
        <v>45705</v>
      </c>
      <c r="B3179" s="11" t="s">
        <v>5442</v>
      </c>
      <c r="C3179" s="11" t="s">
        <v>5789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2">
        <f>+L3179*O3179</f>
        <v>4002.18</v>
      </c>
      <c r="S3179" s="72">
        <v>40</v>
      </c>
      <c r="T3179" s="72">
        <f>L3179*S3179</f>
        <v>1759.1999999999998</v>
      </c>
      <c r="U3179" s="72">
        <f t="shared" ref="U3179" si="1086">R3179-T3179</f>
        <v>2242.98</v>
      </c>
      <c r="V3179" s="72">
        <f>U3179*1</f>
        <v>2242.98</v>
      </c>
      <c r="W3179" s="72">
        <f t="shared" ref="W3179" si="1087">U3179-V3179</f>
        <v>0</v>
      </c>
      <c r="X3179" s="72">
        <f>L3179*37</f>
        <v>1627.26</v>
      </c>
      <c r="Y3179" s="73">
        <f>+T3179-X3179</f>
        <v>131.93999999999983</v>
      </c>
      <c r="Z3179" s="12" t="s">
        <v>41</v>
      </c>
      <c r="AA3179" s="12" t="s">
        <v>79</v>
      </c>
    </row>
    <row r="3180" spans="1:27" x14ac:dyDescent="0.25">
      <c r="A3180" s="10">
        <v>45705</v>
      </c>
      <c r="B3180" s="11" t="s">
        <v>5790</v>
      </c>
      <c r="C3180" s="11" t="s">
        <v>5791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2">
        <f>(L3180*O3180)-Q3180</f>
        <v>270.89999999999998</v>
      </c>
      <c r="S3180" s="72">
        <v>0</v>
      </c>
      <c r="T3180" s="72">
        <f t="shared" ref="T3180" si="1088">+L3180*S3180</f>
        <v>0</v>
      </c>
      <c r="U3180" s="72">
        <f t="shared" ref="U3180" si="1089">+R3180-T3180</f>
        <v>270.89999999999998</v>
      </c>
      <c r="V3180" s="72">
        <f>+U3180*0</f>
        <v>0</v>
      </c>
      <c r="W3180" s="72">
        <f t="shared" ref="W3180" si="1090">+U3180-V3180</f>
        <v>270.89999999999998</v>
      </c>
      <c r="X3180" s="72">
        <v>0</v>
      </c>
      <c r="Y3180" s="14">
        <f t="shared" ref="Y3180:Y3186" si="1091">T3180-X3180</f>
        <v>0</v>
      </c>
      <c r="Z3180" s="11" t="s">
        <v>26</v>
      </c>
      <c r="AA3180" s="12" t="s">
        <v>31</v>
      </c>
    </row>
    <row r="3181" spans="1:27" x14ac:dyDescent="0.25">
      <c r="A3181" s="10">
        <v>45705</v>
      </c>
      <c r="B3181" s="11" t="s">
        <v>5792</v>
      </c>
      <c r="C3181" s="11" t="s">
        <v>5793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2">
        <f>M3181*P3181</f>
        <v>1450</v>
      </c>
      <c r="S3181" s="72">
        <v>0</v>
      </c>
      <c r="T3181" s="72">
        <f>M3181*S3181</f>
        <v>0</v>
      </c>
      <c r="U3181" s="72">
        <f>R3181-T3181</f>
        <v>1450</v>
      </c>
      <c r="V3181" s="72">
        <f t="shared" ref="V3181" si="1092">U3181*0</f>
        <v>0</v>
      </c>
      <c r="W3181" s="72">
        <f t="shared" ref="W3181" si="1093">U3181-V3181</f>
        <v>1450</v>
      </c>
      <c r="X3181" s="72">
        <v>0</v>
      </c>
      <c r="Y3181" s="14">
        <f t="shared" si="1091"/>
        <v>0</v>
      </c>
      <c r="Z3181" s="11" t="s">
        <v>26</v>
      </c>
      <c r="AA3181" s="12" t="s">
        <v>31</v>
      </c>
    </row>
    <row r="3182" spans="1:27" x14ac:dyDescent="0.25">
      <c r="A3182" s="10">
        <v>45705</v>
      </c>
      <c r="B3182" s="11" t="s">
        <v>3793</v>
      </c>
      <c r="C3182" s="11" t="s">
        <v>5794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4465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2">
        <f>+L3182*O3182</f>
        <v>2038.3</v>
      </c>
      <c r="S3182" s="72">
        <v>0</v>
      </c>
      <c r="T3182" s="72">
        <f>+L3182*S3182</f>
        <v>0</v>
      </c>
      <c r="U3182" s="72">
        <f>+R3182-T3182</f>
        <v>2038.3</v>
      </c>
      <c r="V3182" s="72">
        <f>+U3182*0.75</f>
        <v>1528.7249999999999</v>
      </c>
      <c r="W3182" s="72">
        <f>+U3182-V3182</f>
        <v>509.57500000000005</v>
      </c>
      <c r="X3182" s="72">
        <v>0</v>
      </c>
      <c r="Y3182" s="14">
        <f t="shared" si="1091"/>
        <v>0</v>
      </c>
      <c r="Z3182" s="11" t="s">
        <v>26</v>
      </c>
      <c r="AA3182" s="12" t="s">
        <v>31</v>
      </c>
    </row>
    <row r="3183" spans="1:27" x14ac:dyDescent="0.25">
      <c r="A3183" s="10">
        <v>45705</v>
      </c>
      <c r="B3183" s="11" t="s">
        <v>316</v>
      </c>
      <c r="C3183" s="11" t="s">
        <v>5795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4465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2">
        <f>+L3183*O3183</f>
        <v>2000.0500000000002</v>
      </c>
      <c r="S3183" s="72">
        <v>0</v>
      </c>
      <c r="T3183" s="72">
        <f>+L3183*S3183</f>
        <v>0</v>
      </c>
      <c r="U3183" s="72">
        <f>+R3183-T3183</f>
        <v>2000.0500000000002</v>
      </c>
      <c r="V3183" s="72">
        <f>+U3183*0.75</f>
        <v>1500.0375000000001</v>
      </c>
      <c r="W3183" s="72">
        <f>+U3183-V3183</f>
        <v>500.01250000000005</v>
      </c>
      <c r="X3183" s="72">
        <v>0</v>
      </c>
      <c r="Y3183" s="14">
        <f t="shared" si="1091"/>
        <v>0</v>
      </c>
      <c r="Z3183" s="11" t="s">
        <v>26</v>
      </c>
      <c r="AA3183" s="12" t="s">
        <v>31</v>
      </c>
    </row>
    <row r="3184" spans="1:27" x14ac:dyDescent="0.25">
      <c r="A3184" s="10">
        <v>45705</v>
      </c>
      <c r="B3184" s="11" t="s">
        <v>3651</v>
      </c>
      <c r="C3184" s="11" t="s">
        <v>5796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2">
        <f>M3184*P3184</f>
        <v>1600</v>
      </c>
      <c r="S3184" s="72">
        <v>0</v>
      </c>
      <c r="T3184" s="72">
        <f>M3184*S3184</f>
        <v>0</v>
      </c>
      <c r="U3184" s="72">
        <f>R3184-T3184</f>
        <v>1600</v>
      </c>
      <c r="V3184" s="72">
        <f t="shared" ref="V3184:V3185" si="1094">U3184*0</f>
        <v>0</v>
      </c>
      <c r="W3184" s="72">
        <f t="shared" ref="W3184:W3185" si="1095">U3184-V3184</f>
        <v>1600</v>
      </c>
      <c r="X3184" s="72">
        <v>0</v>
      </c>
      <c r="Y3184" s="14">
        <f t="shared" si="1091"/>
        <v>0</v>
      </c>
      <c r="Z3184" s="11" t="s">
        <v>26</v>
      </c>
      <c r="AA3184" s="12" t="s">
        <v>31</v>
      </c>
    </row>
    <row r="3185" spans="1:27" x14ac:dyDescent="0.25">
      <c r="A3185" s="10">
        <v>45705</v>
      </c>
      <c r="B3185" s="11" t="s">
        <v>1659</v>
      </c>
      <c r="C3185" s="11" t="s">
        <v>5797</v>
      </c>
      <c r="D3185" s="11">
        <v>17726</v>
      </c>
      <c r="E3185" s="11" t="s">
        <v>1217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2">
        <f>M3185*P3185</f>
        <v>1600</v>
      </c>
      <c r="S3185" s="72">
        <v>0</v>
      </c>
      <c r="T3185" s="72">
        <f>M3185*S3185</f>
        <v>0</v>
      </c>
      <c r="U3185" s="72">
        <f>R3185-T3185</f>
        <v>1600</v>
      </c>
      <c r="V3185" s="72">
        <f t="shared" si="1094"/>
        <v>0</v>
      </c>
      <c r="W3185" s="72">
        <f t="shared" si="1095"/>
        <v>1600</v>
      </c>
      <c r="X3185" s="72">
        <v>0</v>
      </c>
      <c r="Y3185" s="14">
        <f t="shared" si="1091"/>
        <v>0</v>
      </c>
      <c r="Z3185" s="11" t="s">
        <v>26</v>
      </c>
      <c r="AA3185" s="12" t="s">
        <v>31</v>
      </c>
    </row>
    <row r="3186" spans="1:27" x14ac:dyDescent="0.25">
      <c r="A3186" s="10">
        <v>45705</v>
      </c>
      <c r="B3186" s="11" t="s">
        <v>5798</v>
      </c>
      <c r="C3186" s="11" t="s">
        <v>5799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2">
        <f>(L3186*O3186)-Q3186</f>
        <v>436.49999999999994</v>
      </c>
      <c r="S3186" s="72">
        <v>0</v>
      </c>
      <c r="T3186" s="72">
        <f t="shared" ref="T3186" si="1096">+L3186*S3186</f>
        <v>0</v>
      </c>
      <c r="U3186" s="72">
        <f t="shared" ref="U3186" si="1097">+R3186-T3186</f>
        <v>436.49999999999994</v>
      </c>
      <c r="V3186" s="72">
        <f>+U3186*0</f>
        <v>0</v>
      </c>
      <c r="W3186" s="72">
        <f t="shared" ref="W3186" si="1098">+U3186-V3186</f>
        <v>436.49999999999994</v>
      </c>
      <c r="X3186" s="72">
        <v>0</v>
      </c>
      <c r="Y3186" s="14">
        <f t="shared" si="1091"/>
        <v>0</v>
      </c>
      <c r="Z3186" s="11" t="s">
        <v>26</v>
      </c>
      <c r="AA3186" s="12" t="s">
        <v>31</v>
      </c>
    </row>
    <row r="3187" spans="1:27" x14ac:dyDescent="0.25">
      <c r="A3187" s="10">
        <v>45705</v>
      </c>
      <c r="B3187" s="11" t="s">
        <v>5800</v>
      </c>
      <c r="C3187" s="11" t="s">
        <v>5801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4439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2">
        <f t="shared" ref="R3187" si="1099">L3187*O3187</f>
        <v>3814.8</v>
      </c>
      <c r="S3187" s="72">
        <v>38</v>
      </c>
      <c r="T3187" s="72">
        <f t="shared" ref="T3187:T3188" si="1100">L3187*S3187</f>
        <v>1705.44</v>
      </c>
      <c r="U3187" s="72">
        <f t="shared" ref="U3187" si="1101">R3187-T3187</f>
        <v>2109.36</v>
      </c>
      <c r="V3187" s="72">
        <f>U3187*1</f>
        <v>2109.36</v>
      </c>
      <c r="W3187" s="72">
        <f t="shared" ref="W3187" si="1102">U3187-V3187</f>
        <v>0</v>
      </c>
      <c r="X3187" s="72">
        <f>L3187*36</f>
        <v>1615.68</v>
      </c>
      <c r="Y3187" s="73">
        <f>+T3187-X3187</f>
        <v>89.759999999999991</v>
      </c>
      <c r="Z3187" s="12" t="s">
        <v>140</v>
      </c>
      <c r="AA3187" s="12" t="s">
        <v>78</v>
      </c>
    </row>
    <row r="3188" spans="1:27" x14ac:dyDescent="0.25">
      <c r="A3188" s="10">
        <v>45705</v>
      </c>
      <c r="B3188" s="11" t="s">
        <v>5802</v>
      </c>
      <c r="C3188" s="11" t="s">
        <v>5803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2">
        <f>L3188*O3188</f>
        <v>1029</v>
      </c>
      <c r="S3188" s="72">
        <v>0</v>
      </c>
      <c r="T3188" s="72">
        <f t="shared" si="1100"/>
        <v>0</v>
      </c>
      <c r="U3188" s="72">
        <f>R3188-T3188</f>
        <v>1029</v>
      </c>
      <c r="V3188" s="72">
        <f>U3188*0</f>
        <v>0</v>
      </c>
      <c r="W3188" s="72">
        <f>U3188-V3188</f>
        <v>1029</v>
      </c>
      <c r="X3188" s="72">
        <v>0</v>
      </c>
      <c r="Y3188" s="14">
        <f t="shared" ref="Y3188:Y3192" si="1103">T3188-X3188</f>
        <v>0</v>
      </c>
      <c r="Z3188" s="11" t="s">
        <v>26</v>
      </c>
      <c r="AA3188" s="12" t="s">
        <v>31</v>
      </c>
    </row>
    <row r="3189" spans="1:27" x14ac:dyDescent="0.25">
      <c r="A3189" s="10">
        <v>45705</v>
      </c>
      <c r="B3189" s="11" t="s">
        <v>669</v>
      </c>
      <c r="C3189" s="11" t="s">
        <v>5804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2">
        <f>M3189*P3189</f>
        <v>1550</v>
      </c>
      <c r="S3189" s="72">
        <v>0</v>
      </c>
      <c r="T3189" s="72">
        <f>M3189*S3189</f>
        <v>0</v>
      </c>
      <c r="U3189" s="72">
        <f>R3189-T3189</f>
        <v>1550</v>
      </c>
      <c r="V3189" s="72">
        <f>U3189*0</f>
        <v>0</v>
      </c>
      <c r="W3189" s="72">
        <f>U3189-V3189</f>
        <v>1550</v>
      </c>
      <c r="X3189" s="72">
        <v>0</v>
      </c>
      <c r="Y3189" s="14">
        <f t="shared" si="1103"/>
        <v>0</v>
      </c>
      <c r="Z3189" s="11" t="s">
        <v>26</v>
      </c>
      <c r="AA3189" s="12" t="s">
        <v>31</v>
      </c>
    </row>
    <row r="3190" spans="1:27" x14ac:dyDescent="0.25">
      <c r="A3190" s="10">
        <v>45705</v>
      </c>
      <c r="B3190" s="11" t="s">
        <v>5805</v>
      </c>
      <c r="C3190" s="11" t="s">
        <v>5806</v>
      </c>
      <c r="D3190" s="11">
        <v>17731</v>
      </c>
      <c r="E3190" s="11" t="s">
        <v>5226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2">
        <f>(L3190*O3190)-Q3190</f>
        <v>549.81999999999994</v>
      </c>
      <c r="S3190" s="72">
        <v>0</v>
      </c>
      <c r="T3190" s="72">
        <f t="shared" ref="T3190" si="1104">+L3190*S3190</f>
        <v>0</v>
      </c>
      <c r="U3190" s="72">
        <f t="shared" ref="U3190" si="1105">+R3190-T3190</f>
        <v>549.81999999999994</v>
      </c>
      <c r="V3190" s="72">
        <f>+U3190*0</f>
        <v>0</v>
      </c>
      <c r="W3190" s="72">
        <f t="shared" ref="W3190" si="1106">+U3190-V3190</f>
        <v>549.81999999999994</v>
      </c>
      <c r="X3190" s="72">
        <v>0</v>
      </c>
      <c r="Y3190" s="14">
        <f t="shared" si="1103"/>
        <v>0</v>
      </c>
      <c r="Z3190" s="11" t="s">
        <v>26</v>
      </c>
      <c r="AA3190" s="12" t="s">
        <v>31</v>
      </c>
    </row>
    <row r="3191" spans="1:27" x14ac:dyDescent="0.25">
      <c r="A3191" s="10">
        <v>45705</v>
      </c>
      <c r="B3191" s="11" t="s">
        <v>365</v>
      </c>
      <c r="C3191" s="11" t="s">
        <v>5807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2">
        <f>L3191*O3191</f>
        <v>1769.6000000000001</v>
      </c>
      <c r="S3191" s="72">
        <v>0</v>
      </c>
      <c r="T3191" s="72">
        <f>L3191*S3191</f>
        <v>0</v>
      </c>
      <c r="U3191" s="72">
        <f>R3191-T3191</f>
        <v>1769.6000000000001</v>
      </c>
      <c r="V3191" s="72">
        <f>U3191*0</f>
        <v>0</v>
      </c>
      <c r="W3191" s="72">
        <f>U3191-V3191</f>
        <v>1769.6000000000001</v>
      </c>
      <c r="X3191" s="72">
        <v>0</v>
      </c>
      <c r="Y3191" s="14">
        <f t="shared" si="1103"/>
        <v>0</v>
      </c>
      <c r="Z3191" s="11" t="s">
        <v>26</v>
      </c>
      <c r="AA3191" s="12" t="s">
        <v>31</v>
      </c>
    </row>
    <row r="3192" spans="1:27" x14ac:dyDescent="0.25">
      <c r="A3192" s="10">
        <v>45705</v>
      </c>
      <c r="B3192" s="11" t="s">
        <v>5808</v>
      </c>
      <c r="C3192" s="11" t="s">
        <v>5809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2">
        <f>M3192*P3192</f>
        <v>1680</v>
      </c>
      <c r="S3192" s="72">
        <v>0</v>
      </c>
      <c r="T3192" s="72">
        <f>M3192*S3192</f>
        <v>0</v>
      </c>
      <c r="U3192" s="72">
        <f t="shared" ref="U3192" si="1107">+R3192-T3192</f>
        <v>1680</v>
      </c>
      <c r="V3192" s="72">
        <f>+U3192*0</f>
        <v>0</v>
      </c>
      <c r="W3192" s="72">
        <f t="shared" ref="W3192" si="1108">+U3192-V3192</f>
        <v>1680</v>
      </c>
      <c r="X3192" s="72">
        <v>0</v>
      </c>
      <c r="Y3192" s="14">
        <f t="shared" si="1103"/>
        <v>0</v>
      </c>
      <c r="Z3192" s="11" t="s">
        <v>26</v>
      </c>
      <c r="AA3192" s="12" t="s">
        <v>31</v>
      </c>
    </row>
    <row r="3193" spans="1:27" x14ac:dyDescent="0.25">
      <c r="A3193" s="10">
        <v>45705</v>
      </c>
      <c r="B3193" s="11" t="s">
        <v>5810</v>
      </c>
      <c r="C3193" s="11" t="s">
        <v>5811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2">
        <f>+L3193*O3193</f>
        <v>4042.2200000000003</v>
      </c>
      <c r="S3193" s="72">
        <v>40</v>
      </c>
      <c r="T3193" s="72">
        <f>L3193*S3193</f>
        <v>1776.8000000000002</v>
      </c>
      <c r="U3193" s="72">
        <f t="shared" ref="U3193" si="1109">R3193-T3193</f>
        <v>2265.42</v>
      </c>
      <c r="V3193" s="72">
        <f>U3193*1</f>
        <v>2265.42</v>
      </c>
      <c r="W3193" s="72">
        <f t="shared" ref="W3193" si="1110">U3193-V3193</f>
        <v>0</v>
      </c>
      <c r="X3193" s="72">
        <f>L3193*37</f>
        <v>1643.54</v>
      </c>
      <c r="Y3193" s="73">
        <f>+T3193-X3193</f>
        <v>133.26000000000022</v>
      </c>
      <c r="Z3193" s="12" t="s">
        <v>41</v>
      </c>
      <c r="AA3193" s="12" t="s">
        <v>79</v>
      </c>
    </row>
    <row r="3194" spans="1:27" x14ac:dyDescent="0.25">
      <c r="A3194" s="10">
        <v>45705</v>
      </c>
      <c r="B3194" s="11" t="s">
        <v>316</v>
      </c>
      <c r="C3194" s="11" t="s">
        <v>5812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4463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2">
        <f t="shared" ref="R3194:R3195" si="1111">+L3194*O3194</f>
        <v>1544.4</v>
      </c>
      <c r="S3194" s="72">
        <v>0</v>
      </c>
      <c r="T3194" s="72">
        <f>+L3194*S3194</f>
        <v>0</v>
      </c>
      <c r="U3194" s="72">
        <f>+R3194-T3194</f>
        <v>1544.4</v>
      </c>
      <c r="V3194" s="72">
        <f>+U3194*1</f>
        <v>1544.4</v>
      </c>
      <c r="W3194" s="72">
        <f>+U3194-V3194</f>
        <v>0</v>
      </c>
      <c r="X3194" s="72">
        <v>0</v>
      </c>
      <c r="Y3194" s="14">
        <f t="shared" ref="Y3194:Y3198" si="1112">T3194-X3194</f>
        <v>0</v>
      </c>
      <c r="Z3194" s="11" t="s">
        <v>26</v>
      </c>
      <c r="AA3194" s="12" t="s">
        <v>31</v>
      </c>
    </row>
    <row r="3195" spans="1:27" x14ac:dyDescent="0.25">
      <c r="A3195" s="10">
        <v>45705</v>
      </c>
      <c r="B3195" s="11" t="s">
        <v>5813</v>
      </c>
      <c r="C3195" s="11" t="s">
        <v>5814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4440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2">
        <f t="shared" si="1111"/>
        <v>1587</v>
      </c>
      <c r="S3195" s="72">
        <v>0</v>
      </c>
      <c r="T3195" s="72">
        <f t="shared" ref="T3195" si="1113">+L3195*S3195</f>
        <v>0</v>
      </c>
      <c r="U3195" s="72">
        <f t="shared" ref="U3195:U3196" si="1114">+R3195-T3195</f>
        <v>1587</v>
      </c>
      <c r="V3195" s="72">
        <f>+U3195*1</f>
        <v>1587</v>
      </c>
      <c r="W3195" s="72">
        <f t="shared" ref="W3195:W3196" si="1115">+U3195-V3195</f>
        <v>0</v>
      </c>
      <c r="X3195" s="72">
        <v>0</v>
      </c>
      <c r="Y3195" s="14">
        <f t="shared" si="1112"/>
        <v>0</v>
      </c>
      <c r="Z3195" s="11" t="s">
        <v>26</v>
      </c>
      <c r="AA3195" s="12" t="s">
        <v>31</v>
      </c>
    </row>
    <row r="3196" spans="1:27" x14ac:dyDescent="0.25">
      <c r="A3196" s="10">
        <v>45705</v>
      </c>
      <c r="B3196" s="11" t="s">
        <v>5815</v>
      </c>
      <c r="C3196" s="11" t="s">
        <v>5816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4440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2">
        <f>+L3196*O3196</f>
        <v>1475.9999999999998</v>
      </c>
      <c r="S3196" s="72">
        <v>0</v>
      </c>
      <c r="T3196" s="72">
        <f>+L3196*S3196</f>
        <v>0</v>
      </c>
      <c r="U3196" s="72">
        <f t="shared" si="1114"/>
        <v>1475.9999999999998</v>
      </c>
      <c r="V3196" s="72">
        <f>+U3196*1</f>
        <v>1475.9999999999998</v>
      </c>
      <c r="W3196" s="72">
        <f t="shared" si="1115"/>
        <v>0</v>
      </c>
      <c r="X3196" s="72">
        <v>0</v>
      </c>
      <c r="Y3196" s="14">
        <f t="shared" si="1112"/>
        <v>0</v>
      </c>
      <c r="Z3196" s="11" t="s">
        <v>26</v>
      </c>
      <c r="AA3196" s="12" t="s">
        <v>31</v>
      </c>
    </row>
    <row r="3197" spans="1:27" x14ac:dyDescent="0.25">
      <c r="A3197" s="10">
        <v>45705</v>
      </c>
      <c r="B3197" s="11" t="s">
        <v>5817</v>
      </c>
      <c r="C3197" s="11" t="s">
        <v>5818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2">
        <f>M3197*P3197</f>
        <v>1550</v>
      </c>
      <c r="S3197" s="72">
        <v>0</v>
      </c>
      <c r="T3197" s="72">
        <f>M3197*S3197</f>
        <v>0</v>
      </c>
      <c r="U3197" s="72">
        <f>R3197-T3197</f>
        <v>1550</v>
      </c>
      <c r="V3197" s="72">
        <f>U3197*0</f>
        <v>0</v>
      </c>
      <c r="W3197" s="72">
        <f>U3197-V3197</f>
        <v>1550</v>
      </c>
      <c r="X3197" s="72">
        <v>0</v>
      </c>
      <c r="Y3197" s="14">
        <f t="shared" si="1112"/>
        <v>0</v>
      </c>
      <c r="Z3197" s="11" t="s">
        <v>26</v>
      </c>
      <c r="AA3197" s="12" t="s">
        <v>31</v>
      </c>
    </row>
    <row r="3198" spans="1:27" x14ac:dyDescent="0.25">
      <c r="A3198" s="10">
        <v>45705</v>
      </c>
      <c r="B3198" s="11" t="s">
        <v>5819</v>
      </c>
      <c r="C3198" s="11" t="s">
        <v>5820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4440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2">
        <f>+L3198*O3198</f>
        <v>1506.6</v>
      </c>
      <c r="S3198" s="72">
        <v>0</v>
      </c>
      <c r="T3198" s="72">
        <f>+L3198*S3198</f>
        <v>0</v>
      </c>
      <c r="U3198" s="72">
        <f t="shared" ref="U3198" si="1116">+R3198-T3198</f>
        <v>1506.6</v>
      </c>
      <c r="V3198" s="72">
        <f>+U3198*1</f>
        <v>1506.6</v>
      </c>
      <c r="W3198" s="72">
        <f t="shared" ref="W3198" si="1117">+U3198-V3198</f>
        <v>0</v>
      </c>
      <c r="X3198" s="72">
        <v>0</v>
      </c>
      <c r="Y3198" s="14">
        <f t="shared" si="1112"/>
        <v>0</v>
      </c>
      <c r="Z3198" s="11" t="s">
        <v>26</v>
      </c>
      <c r="AA3198" s="12" t="s">
        <v>31</v>
      </c>
    </row>
    <row r="3199" spans="1:27" x14ac:dyDescent="0.25">
      <c r="A3199" s="10">
        <v>45705</v>
      </c>
      <c r="B3199" s="11" t="s">
        <v>1870</v>
      </c>
      <c r="C3199" s="11" t="s">
        <v>5821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4439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2">
        <f>L3199*O3199</f>
        <v>3449.48</v>
      </c>
      <c r="S3199" s="72">
        <v>38</v>
      </c>
      <c r="T3199" s="72">
        <f>L3199*S3199</f>
        <v>1579.2800000000002</v>
      </c>
      <c r="U3199" s="72">
        <f>R3199-T3199</f>
        <v>1870.1999999999998</v>
      </c>
      <c r="V3199" s="72">
        <f>U3199*1</f>
        <v>1870.1999999999998</v>
      </c>
      <c r="W3199" s="72">
        <f>U3199-V3199</f>
        <v>0</v>
      </c>
      <c r="X3199" s="72">
        <f>L3199*36</f>
        <v>1496.16</v>
      </c>
      <c r="Y3199" s="73">
        <f>+T3199-X3199</f>
        <v>83.120000000000118</v>
      </c>
      <c r="Z3199" s="12" t="s">
        <v>6345</v>
      </c>
      <c r="AA3199" s="12" t="s">
        <v>78</v>
      </c>
    </row>
    <row r="3200" spans="1:27" x14ac:dyDescent="0.25">
      <c r="A3200" s="10">
        <v>45705</v>
      </c>
      <c r="B3200" s="11" t="s">
        <v>5822</v>
      </c>
      <c r="C3200" s="11" t="s">
        <v>5823</v>
      </c>
      <c r="D3200" s="11">
        <v>17741</v>
      </c>
      <c r="E3200" s="11" t="s">
        <v>1217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2">
        <f>M3200*P3200</f>
        <v>1500</v>
      </c>
      <c r="S3200" s="72">
        <v>0</v>
      </c>
      <c r="T3200" s="72">
        <f>M3200*S3200</f>
        <v>0</v>
      </c>
      <c r="U3200" s="72">
        <f>R3200-T3200</f>
        <v>1500</v>
      </c>
      <c r="V3200" s="72">
        <f>U3200*0</f>
        <v>0</v>
      </c>
      <c r="W3200" s="72">
        <f>U3200-V3200</f>
        <v>1500</v>
      </c>
      <c r="X3200" s="72">
        <v>0</v>
      </c>
      <c r="Y3200" s="14">
        <f t="shared" ref="Y3200:Y3201" si="1118">T3200-X3200</f>
        <v>0</v>
      </c>
      <c r="Z3200" s="11" t="s">
        <v>26</v>
      </c>
      <c r="AA3200" s="12" t="s">
        <v>31</v>
      </c>
    </row>
    <row r="3201" spans="1:27" x14ac:dyDescent="0.25">
      <c r="A3201" s="10">
        <v>45705</v>
      </c>
      <c r="B3201" s="11" t="s">
        <v>5824</v>
      </c>
      <c r="C3201" s="11" t="s">
        <v>5825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2">
        <f>M3201*P3201</f>
        <v>1450</v>
      </c>
      <c r="S3201" s="72">
        <v>0</v>
      </c>
      <c r="T3201" s="72">
        <f>M3201*S3201</f>
        <v>0</v>
      </c>
      <c r="U3201" s="72">
        <f>R3201-T3201</f>
        <v>1450</v>
      </c>
      <c r="V3201" s="72">
        <f>U3201*0</f>
        <v>0</v>
      </c>
      <c r="W3201" s="72">
        <f>U3201-V3201</f>
        <v>1450</v>
      </c>
      <c r="X3201" s="72">
        <v>0</v>
      </c>
      <c r="Y3201" s="14">
        <f t="shared" si="1118"/>
        <v>0</v>
      </c>
      <c r="Z3201" s="11" t="s">
        <v>26</v>
      </c>
      <c r="AA3201" s="12" t="s">
        <v>31</v>
      </c>
    </row>
    <row r="3202" spans="1:27" x14ac:dyDescent="0.25">
      <c r="A3202" s="10">
        <v>45705</v>
      </c>
      <c r="B3202" s="11" t="s">
        <v>2676</v>
      </c>
      <c r="C3202" s="11" t="s">
        <v>5826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4439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2">
        <f t="shared" ref="R3202" si="1119">L3202*O3202</f>
        <v>3746.7999999999997</v>
      </c>
      <c r="S3202" s="72">
        <v>38</v>
      </c>
      <c r="T3202" s="72">
        <f t="shared" ref="T3202" si="1120">L3202*S3202</f>
        <v>1675.04</v>
      </c>
      <c r="U3202" s="72">
        <f t="shared" ref="U3202" si="1121">R3202-T3202</f>
        <v>2071.7599999999998</v>
      </c>
      <c r="V3202" s="72">
        <f>U3202*1</f>
        <v>2071.7599999999998</v>
      </c>
      <c r="W3202" s="72">
        <f t="shared" ref="W3202" si="1122">U3202-V3202</f>
        <v>0</v>
      </c>
      <c r="X3202" s="72">
        <f>L3202*36</f>
        <v>1586.8799999999999</v>
      </c>
      <c r="Y3202" s="73">
        <f>+T3202-X3202</f>
        <v>88.160000000000082</v>
      </c>
      <c r="Z3202" s="12" t="s">
        <v>140</v>
      </c>
      <c r="AA3202" s="12" t="s">
        <v>78</v>
      </c>
    </row>
    <row r="3203" spans="1:27" x14ac:dyDescent="0.25">
      <c r="A3203" s="10">
        <v>45705</v>
      </c>
      <c r="B3203" s="11" t="s">
        <v>3773</v>
      </c>
      <c r="C3203" s="11" t="s">
        <v>5827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2">
        <f>L3203*O3203</f>
        <v>1032.4000000000001</v>
      </c>
      <c r="S3203" s="72">
        <v>0</v>
      </c>
      <c r="T3203" s="72">
        <f>L3203*S3203</f>
        <v>0</v>
      </c>
      <c r="U3203" s="72">
        <f>R3203-T3203</f>
        <v>1032.4000000000001</v>
      </c>
      <c r="V3203" s="72">
        <f>U3203*0</f>
        <v>0</v>
      </c>
      <c r="W3203" s="72">
        <f>U3203-V3203</f>
        <v>1032.4000000000001</v>
      </c>
      <c r="X3203" s="72">
        <v>0</v>
      </c>
      <c r="Y3203" s="14">
        <f t="shared" ref="Y3203:Y3231" si="1123">T3203-X3203</f>
        <v>0</v>
      </c>
      <c r="Z3203" s="11" t="s">
        <v>26</v>
      </c>
      <c r="AA3203" s="12" t="s">
        <v>31</v>
      </c>
    </row>
    <row r="3204" spans="1:27" x14ac:dyDescent="0.25">
      <c r="A3204" s="10">
        <v>45705</v>
      </c>
      <c r="B3204" s="11" t="s">
        <v>5828</v>
      </c>
      <c r="C3204" s="11" t="s">
        <v>5829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2">
        <f>+M3204*P3204</f>
        <v>528</v>
      </c>
      <c r="S3204" s="72">
        <v>0</v>
      </c>
      <c r="T3204" s="72">
        <f>+M3204*S3204</f>
        <v>0</v>
      </c>
      <c r="U3204" s="72">
        <f t="shared" ref="U3204" si="1124">+R3204-T3204</f>
        <v>528</v>
      </c>
      <c r="V3204" s="72">
        <f>+U3204*0</f>
        <v>0</v>
      </c>
      <c r="W3204" s="72">
        <f t="shared" ref="W3204" si="1125">+U3204-V3204</f>
        <v>528</v>
      </c>
      <c r="X3204" s="72">
        <v>0</v>
      </c>
      <c r="Y3204" s="14">
        <f t="shared" si="1123"/>
        <v>0</v>
      </c>
      <c r="Z3204" s="11" t="s">
        <v>26</v>
      </c>
      <c r="AA3204" s="12" t="s">
        <v>31</v>
      </c>
    </row>
    <row r="3205" spans="1:27" x14ac:dyDescent="0.25">
      <c r="A3205" s="10">
        <v>45705</v>
      </c>
      <c r="B3205" s="11" t="s">
        <v>5830</v>
      </c>
      <c r="C3205" s="11" t="s">
        <v>5831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2">
        <f>+L3205*O3205</f>
        <v>1668</v>
      </c>
      <c r="S3205" s="72">
        <v>0</v>
      </c>
      <c r="T3205" s="72">
        <f>+L3205*S3205</f>
        <v>0</v>
      </c>
      <c r="U3205" s="72">
        <f>+R3205-T3205</f>
        <v>1668</v>
      </c>
      <c r="V3205" s="72">
        <f t="shared" ref="V3205" si="1126">+U3205*0</f>
        <v>0</v>
      </c>
      <c r="W3205" s="72">
        <f>+U3205-V3205</f>
        <v>1668</v>
      </c>
      <c r="X3205" s="72">
        <v>0</v>
      </c>
      <c r="Y3205" s="14">
        <f t="shared" si="1123"/>
        <v>0</v>
      </c>
      <c r="Z3205" s="11" t="s">
        <v>26</v>
      </c>
      <c r="AA3205" s="12" t="s">
        <v>31</v>
      </c>
    </row>
    <row r="3206" spans="1:27" x14ac:dyDescent="0.25">
      <c r="A3206" s="10">
        <v>45705</v>
      </c>
      <c r="B3206" s="11" t="s">
        <v>5832</v>
      </c>
      <c r="C3206" s="11" t="s">
        <v>5833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2">
        <f>+M3206*P3206</f>
        <v>600</v>
      </c>
      <c r="S3206" s="72">
        <v>0</v>
      </c>
      <c r="T3206" s="72">
        <f>+M3206*S3206</f>
        <v>0</v>
      </c>
      <c r="U3206" s="72">
        <f t="shared" ref="U3206:U3209" si="1127">+R3206-T3206</f>
        <v>600</v>
      </c>
      <c r="V3206" s="72">
        <f>+U3206*0</f>
        <v>0</v>
      </c>
      <c r="W3206" s="72">
        <f t="shared" ref="W3206:W3209" si="1128">+U3206-V3206</f>
        <v>600</v>
      </c>
      <c r="X3206" s="72">
        <v>0</v>
      </c>
      <c r="Y3206" s="14">
        <f t="shared" si="1123"/>
        <v>0</v>
      </c>
      <c r="Z3206" s="11" t="s">
        <v>26</v>
      </c>
      <c r="AA3206" s="12" t="s">
        <v>31</v>
      </c>
    </row>
    <row r="3207" spans="1:27" x14ac:dyDescent="0.25">
      <c r="A3207" s="10">
        <v>45705</v>
      </c>
      <c r="B3207" s="11" t="s">
        <v>5834</v>
      </c>
      <c r="C3207" s="11" t="s">
        <v>5835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2">
        <f>+M3207*P3207</f>
        <v>1500</v>
      </c>
      <c r="S3207" s="72">
        <v>0</v>
      </c>
      <c r="T3207" s="72">
        <f>+M3207*S3207</f>
        <v>0</v>
      </c>
      <c r="U3207" s="72">
        <f t="shared" si="1127"/>
        <v>1500</v>
      </c>
      <c r="V3207" s="72">
        <f>+U3207*0</f>
        <v>0</v>
      </c>
      <c r="W3207" s="72">
        <f t="shared" si="1128"/>
        <v>1500</v>
      </c>
      <c r="X3207" s="72">
        <v>0</v>
      </c>
      <c r="Y3207" s="14">
        <f t="shared" si="1123"/>
        <v>0</v>
      </c>
      <c r="Z3207" s="11" t="s">
        <v>26</v>
      </c>
      <c r="AA3207" s="12" t="s">
        <v>31</v>
      </c>
    </row>
    <row r="3208" spans="1:27" x14ac:dyDescent="0.25">
      <c r="A3208" s="10">
        <v>45705</v>
      </c>
      <c r="B3208" s="11" t="s">
        <v>615</v>
      </c>
      <c r="C3208" s="11" t="s">
        <v>5836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4440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2">
        <f t="shared" ref="R3208" si="1129">+L3208*O3208</f>
        <v>1603.56</v>
      </c>
      <c r="S3208" s="72">
        <v>0</v>
      </c>
      <c r="T3208" s="72">
        <f t="shared" ref="T3208:T3209" si="1130">+L3208*S3208</f>
        <v>0</v>
      </c>
      <c r="U3208" s="72">
        <f t="shared" si="1127"/>
        <v>1603.56</v>
      </c>
      <c r="V3208" s="72">
        <f>+U3208*1</f>
        <v>1603.56</v>
      </c>
      <c r="W3208" s="72">
        <f t="shared" si="1128"/>
        <v>0</v>
      </c>
      <c r="X3208" s="72">
        <v>0</v>
      </c>
      <c r="Y3208" s="14">
        <f t="shared" si="1123"/>
        <v>0</v>
      </c>
      <c r="Z3208" s="11" t="s">
        <v>26</v>
      </c>
      <c r="AA3208" s="12" t="s">
        <v>31</v>
      </c>
    </row>
    <row r="3209" spans="1:27" x14ac:dyDescent="0.25">
      <c r="A3209" s="10">
        <v>45705</v>
      </c>
      <c r="B3209" s="11" t="s">
        <v>195</v>
      </c>
      <c r="C3209" s="11" t="s">
        <v>5837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2">
        <f>(L3209*O3209)-Q3209</f>
        <v>459.90000000000003</v>
      </c>
      <c r="S3209" s="72">
        <v>0</v>
      </c>
      <c r="T3209" s="72">
        <f t="shared" si="1130"/>
        <v>0</v>
      </c>
      <c r="U3209" s="72">
        <f t="shared" si="1127"/>
        <v>459.90000000000003</v>
      </c>
      <c r="V3209" s="72">
        <f>+U3209*0</f>
        <v>0</v>
      </c>
      <c r="W3209" s="72">
        <f t="shared" si="1128"/>
        <v>459.90000000000003</v>
      </c>
      <c r="X3209" s="72">
        <v>0</v>
      </c>
      <c r="Y3209" s="14">
        <f t="shared" si="1123"/>
        <v>0</v>
      </c>
      <c r="Z3209" s="11" t="s">
        <v>26</v>
      </c>
      <c r="AA3209" s="12" t="s">
        <v>31</v>
      </c>
    </row>
    <row r="3210" spans="1:27" x14ac:dyDescent="0.25">
      <c r="A3210" s="10">
        <v>45705</v>
      </c>
      <c r="B3210" s="11" t="s">
        <v>1072</v>
      </c>
      <c r="C3210" s="11" t="s">
        <v>5838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2">
        <f>L3210*O3210</f>
        <v>1042</v>
      </c>
      <c r="S3210" s="72">
        <v>0</v>
      </c>
      <c r="T3210" s="72">
        <f>L3210*S3210</f>
        <v>0</v>
      </c>
      <c r="U3210" s="72">
        <f>R3210-T3210</f>
        <v>1042</v>
      </c>
      <c r="V3210" s="72">
        <f>U3210*0</f>
        <v>0</v>
      </c>
      <c r="W3210" s="72">
        <f>U3210-V3210</f>
        <v>1042</v>
      </c>
      <c r="X3210" s="72">
        <v>0</v>
      </c>
      <c r="Y3210" s="14">
        <f t="shared" si="1123"/>
        <v>0</v>
      </c>
      <c r="Z3210" s="11" t="s">
        <v>26</v>
      </c>
      <c r="AA3210" s="12" t="s">
        <v>31</v>
      </c>
    </row>
    <row r="3211" spans="1:27" x14ac:dyDescent="0.25">
      <c r="A3211" s="10">
        <v>45705</v>
      </c>
      <c r="B3211" s="11" t="s">
        <v>5839</v>
      </c>
      <c r="C3211" s="11" t="s">
        <v>5840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4465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2">
        <f>+L3211*O3211</f>
        <v>1747.0182</v>
      </c>
      <c r="S3211" s="72">
        <v>0</v>
      </c>
      <c r="T3211" s="72">
        <f>+L3211*S3211</f>
        <v>0</v>
      </c>
      <c r="U3211" s="72">
        <f>+R3211-T3211</f>
        <v>1747.0182</v>
      </c>
      <c r="V3211" s="72">
        <f>+U3211*0.75</f>
        <v>1310.2636499999999</v>
      </c>
      <c r="W3211" s="72">
        <f>+U3211-V3211</f>
        <v>436.75455000000011</v>
      </c>
      <c r="X3211" s="72">
        <v>0</v>
      </c>
      <c r="Y3211" s="14">
        <f t="shared" si="1123"/>
        <v>0</v>
      </c>
      <c r="Z3211" s="11" t="s">
        <v>26</v>
      </c>
      <c r="AA3211" s="12" t="s">
        <v>31</v>
      </c>
    </row>
    <row r="3212" spans="1:27" x14ac:dyDescent="0.25">
      <c r="A3212" s="10">
        <v>45705</v>
      </c>
      <c r="B3212" s="11" t="s">
        <v>736</v>
      </c>
      <c r="C3212" s="11" t="s">
        <v>5841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2">
        <f>L3212*O3212</f>
        <v>1812</v>
      </c>
      <c r="S3212" s="72">
        <v>0</v>
      </c>
      <c r="T3212" s="72">
        <f>L3212*S3212</f>
        <v>0</v>
      </c>
      <c r="U3212" s="72">
        <f>R3212-T3212</f>
        <v>1812</v>
      </c>
      <c r="V3212" s="72">
        <f>U3212*0</f>
        <v>0</v>
      </c>
      <c r="W3212" s="72">
        <f>U3212-V3212</f>
        <v>1812</v>
      </c>
      <c r="X3212" s="72">
        <v>0</v>
      </c>
      <c r="Y3212" s="14">
        <f t="shared" si="1123"/>
        <v>0</v>
      </c>
      <c r="Z3212" s="11" t="s">
        <v>26</v>
      </c>
      <c r="AA3212" s="12" t="s">
        <v>31</v>
      </c>
    </row>
    <row r="3213" spans="1:27" x14ac:dyDescent="0.25">
      <c r="A3213" s="10">
        <v>45705</v>
      </c>
      <c r="B3213" s="11" t="s">
        <v>1389</v>
      </c>
      <c r="C3213" s="11" t="s">
        <v>5842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35</v>
      </c>
      <c r="P3213" s="13"/>
      <c r="Q3213" s="13">
        <v>0</v>
      </c>
      <c r="R3213" s="72">
        <f>+L3213*O3213</f>
        <v>1526</v>
      </c>
      <c r="S3213" s="72">
        <v>0</v>
      </c>
      <c r="T3213" s="72">
        <f>+L3213*S3213</f>
        <v>0</v>
      </c>
      <c r="U3213" s="72">
        <f>+R3213-T3213</f>
        <v>1526</v>
      </c>
      <c r="V3213" s="72">
        <f t="shared" ref="V3213" si="1131">+U3213*0</f>
        <v>0</v>
      </c>
      <c r="W3213" s="72">
        <f>+U3213-V3213</f>
        <v>1526</v>
      </c>
      <c r="X3213" s="72">
        <v>0</v>
      </c>
      <c r="Y3213" s="14">
        <f t="shared" si="1123"/>
        <v>0</v>
      </c>
      <c r="Z3213" s="11" t="s">
        <v>26</v>
      </c>
      <c r="AA3213" s="12" t="s">
        <v>31</v>
      </c>
    </row>
    <row r="3214" spans="1:27" x14ac:dyDescent="0.25">
      <c r="A3214" s="10">
        <v>45705</v>
      </c>
      <c r="B3214" s="11" t="s">
        <v>4241</v>
      </c>
      <c r="C3214" s="11" t="s">
        <v>5843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4463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2">
        <f t="shared" ref="R3214" si="1132">+L3214*O3214</f>
        <v>1688.4</v>
      </c>
      <c r="S3214" s="72">
        <v>0</v>
      </c>
      <c r="T3214" s="72">
        <f>+L3214*S3214</f>
        <v>0</v>
      </c>
      <c r="U3214" s="72">
        <f t="shared" ref="U3214" si="1133">+R3214-T3214</f>
        <v>1688.4</v>
      </c>
      <c r="V3214" s="72">
        <f>+U3214*1</f>
        <v>1688.4</v>
      </c>
      <c r="W3214" s="72">
        <f t="shared" ref="W3214" si="1134">+U3214-V3214</f>
        <v>0</v>
      </c>
      <c r="X3214" s="72">
        <v>0</v>
      </c>
      <c r="Y3214" s="14">
        <f t="shared" si="1123"/>
        <v>0</v>
      </c>
      <c r="Z3214" s="11" t="s">
        <v>26</v>
      </c>
      <c r="AA3214" s="12" t="s">
        <v>31</v>
      </c>
    </row>
    <row r="3215" spans="1:27" x14ac:dyDescent="0.25">
      <c r="A3215" s="10">
        <v>45705</v>
      </c>
      <c r="B3215" s="11" t="s">
        <v>5844</v>
      </c>
      <c r="C3215" s="11" t="s">
        <v>5845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2">
        <f>L3215*O3215</f>
        <v>1524.8</v>
      </c>
      <c r="S3215" s="72">
        <v>0</v>
      </c>
      <c r="T3215" s="72">
        <f>L3215*S3215</f>
        <v>0</v>
      </c>
      <c r="U3215" s="72">
        <f>R3215-T3215</f>
        <v>1524.8</v>
      </c>
      <c r="V3215" s="72">
        <f>U3215*0</f>
        <v>0</v>
      </c>
      <c r="W3215" s="72">
        <f>U3215-V3215</f>
        <v>1524.8</v>
      </c>
      <c r="X3215" s="72">
        <v>0</v>
      </c>
      <c r="Y3215" s="14">
        <f t="shared" si="1123"/>
        <v>0</v>
      </c>
      <c r="Z3215" s="11" t="s">
        <v>26</v>
      </c>
      <c r="AA3215" s="12" t="s">
        <v>31</v>
      </c>
    </row>
    <row r="3216" spans="1:27" x14ac:dyDescent="0.25">
      <c r="A3216" s="10">
        <v>45705</v>
      </c>
      <c r="B3216" s="11" t="s">
        <v>5846</v>
      </c>
      <c r="C3216" s="11" t="s">
        <v>5847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4440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2">
        <f t="shared" ref="R3216" si="1135">+L3216*O3216</f>
        <v>1513.3999999999999</v>
      </c>
      <c r="S3216" s="72">
        <v>0</v>
      </c>
      <c r="T3216" s="72">
        <f t="shared" ref="T3216" si="1136">+L3216*S3216</f>
        <v>0</v>
      </c>
      <c r="U3216" s="72">
        <f t="shared" ref="U3216:U3217" si="1137">+R3216-T3216</f>
        <v>1513.3999999999999</v>
      </c>
      <c r="V3216" s="72">
        <f>+U3216*1</f>
        <v>1513.3999999999999</v>
      </c>
      <c r="W3216" s="72">
        <f t="shared" ref="W3216:W3217" si="1138">+U3216-V3216</f>
        <v>0</v>
      </c>
      <c r="X3216" s="72">
        <v>0</v>
      </c>
      <c r="Y3216" s="14">
        <f t="shared" si="1123"/>
        <v>0</v>
      </c>
      <c r="Z3216" s="11" t="s">
        <v>26</v>
      </c>
      <c r="AA3216" s="12" t="s">
        <v>31</v>
      </c>
    </row>
    <row r="3217" spans="1:27" x14ac:dyDescent="0.25">
      <c r="A3217" s="10">
        <v>45705</v>
      </c>
      <c r="B3217" s="11" t="s">
        <v>5848</v>
      </c>
      <c r="C3217" s="11" t="s">
        <v>5849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4464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2">
        <f>+M3217*P3217</f>
        <v>852.8</v>
      </c>
      <c r="S3217" s="72">
        <v>0</v>
      </c>
      <c r="T3217" s="72">
        <f>+M3217*S3217</f>
        <v>0</v>
      </c>
      <c r="U3217" s="72">
        <f t="shared" si="1137"/>
        <v>852.8</v>
      </c>
      <c r="V3217" s="72">
        <f>+U3217*1</f>
        <v>852.8</v>
      </c>
      <c r="W3217" s="72">
        <f t="shared" si="1138"/>
        <v>0</v>
      </c>
      <c r="X3217" s="72">
        <v>0</v>
      </c>
      <c r="Y3217" s="14">
        <f t="shared" si="1123"/>
        <v>0</v>
      </c>
      <c r="Z3217" s="11" t="s">
        <v>26</v>
      </c>
      <c r="AA3217" s="12" t="s">
        <v>31</v>
      </c>
    </row>
    <row r="3218" spans="1:27" x14ac:dyDescent="0.25">
      <c r="A3218" s="10">
        <v>45705</v>
      </c>
      <c r="B3218" s="11" t="s">
        <v>5850</v>
      </c>
      <c r="C3218" s="11" t="s">
        <v>5851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35</v>
      </c>
      <c r="P3218" s="13"/>
      <c r="Q3218" s="13">
        <v>0</v>
      </c>
      <c r="R3218" s="72">
        <f>+L3218*O3218</f>
        <v>1567.3</v>
      </c>
      <c r="S3218" s="72">
        <v>0</v>
      </c>
      <c r="T3218" s="72">
        <f>+L3218*S3218</f>
        <v>0</v>
      </c>
      <c r="U3218" s="72">
        <f>+R3218-T3218</f>
        <v>1567.3</v>
      </c>
      <c r="V3218" s="72">
        <f t="shared" ref="V3218:V3219" si="1139">+U3218*0</f>
        <v>0</v>
      </c>
      <c r="W3218" s="72">
        <f>+U3218-V3218</f>
        <v>1567.3</v>
      </c>
      <c r="X3218" s="72">
        <v>0</v>
      </c>
      <c r="Y3218" s="14">
        <f t="shared" si="1123"/>
        <v>0</v>
      </c>
      <c r="Z3218" s="11" t="s">
        <v>26</v>
      </c>
      <c r="AA3218" s="12" t="s">
        <v>31</v>
      </c>
    </row>
    <row r="3219" spans="1:27" x14ac:dyDescent="0.25">
      <c r="A3219" s="10">
        <v>45705</v>
      </c>
      <c r="B3219" s="11" t="s">
        <v>2548</v>
      </c>
      <c r="C3219" s="11" t="s">
        <v>5852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2">
        <f>+M3219*P3219</f>
        <v>1600</v>
      </c>
      <c r="S3219" s="72">
        <v>0</v>
      </c>
      <c r="T3219" s="72">
        <f>+M3219*S3219</f>
        <v>0</v>
      </c>
      <c r="U3219" s="72">
        <f t="shared" ref="U3219" si="1140">+R3219-T3219</f>
        <v>1600</v>
      </c>
      <c r="V3219" s="72">
        <f t="shared" si="1139"/>
        <v>0</v>
      </c>
      <c r="W3219" s="72">
        <f t="shared" ref="W3219" si="1141">+U3219-V3219</f>
        <v>1600</v>
      </c>
      <c r="X3219" s="72">
        <v>0</v>
      </c>
      <c r="Y3219" s="14">
        <f t="shared" si="1123"/>
        <v>0</v>
      </c>
      <c r="Z3219" s="11" t="s">
        <v>26</v>
      </c>
      <c r="AA3219" s="12" t="s">
        <v>31</v>
      </c>
    </row>
    <row r="3220" spans="1:27" x14ac:dyDescent="0.25">
      <c r="A3220" s="10">
        <v>45705</v>
      </c>
      <c r="B3220" s="11" t="s">
        <v>5853</v>
      </c>
      <c r="C3220" s="11" t="s">
        <v>5854</v>
      </c>
      <c r="D3220" s="11">
        <v>17763</v>
      </c>
      <c r="E3220" s="11" t="s">
        <v>1217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2">
        <f>M3220*P3220</f>
        <v>1500</v>
      </c>
      <c r="S3220" s="72">
        <v>0</v>
      </c>
      <c r="T3220" s="72">
        <f>M3220*S3220</f>
        <v>0</v>
      </c>
      <c r="U3220" s="72">
        <f>R3220-T3220</f>
        <v>1500</v>
      </c>
      <c r="V3220" s="72">
        <f>U3220*0</f>
        <v>0</v>
      </c>
      <c r="W3220" s="72">
        <f>U3220-V3220</f>
        <v>1500</v>
      </c>
      <c r="X3220" s="72">
        <v>0</v>
      </c>
      <c r="Y3220" s="14">
        <f t="shared" si="1123"/>
        <v>0</v>
      </c>
      <c r="Z3220" s="11" t="s">
        <v>26</v>
      </c>
      <c r="AA3220" s="12" t="s">
        <v>31</v>
      </c>
    </row>
    <row r="3221" spans="1:27" x14ac:dyDescent="0.25">
      <c r="A3221" s="10">
        <v>45705</v>
      </c>
      <c r="B3221" s="11" t="s">
        <v>5855</v>
      </c>
      <c r="C3221" s="11" t="s">
        <v>5856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2">
        <f>M3221*P3221</f>
        <v>1500</v>
      </c>
      <c r="S3221" s="72">
        <v>0</v>
      </c>
      <c r="T3221" s="72">
        <f>M3221*S3221</f>
        <v>0</v>
      </c>
      <c r="U3221" s="72">
        <f>R3221-T3221</f>
        <v>1500</v>
      </c>
      <c r="V3221" s="72">
        <f>U3221*0</f>
        <v>0</v>
      </c>
      <c r="W3221" s="72">
        <f>U3221-V3221</f>
        <v>1500</v>
      </c>
      <c r="X3221" s="72">
        <v>0</v>
      </c>
      <c r="Y3221" s="14">
        <f t="shared" si="1123"/>
        <v>0</v>
      </c>
      <c r="Z3221" s="11" t="s">
        <v>26</v>
      </c>
      <c r="AA3221" s="12" t="s">
        <v>31</v>
      </c>
    </row>
    <row r="3222" spans="1:27" x14ac:dyDescent="0.25">
      <c r="A3222" s="10">
        <v>45705</v>
      </c>
      <c r="B3222" s="11" t="s">
        <v>626</v>
      </c>
      <c r="C3222" s="11" t="s">
        <v>5857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4440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2">
        <f t="shared" ref="R3222" si="1142">+L3222*O3222</f>
        <v>1558.48</v>
      </c>
      <c r="S3222" s="72">
        <v>0</v>
      </c>
      <c r="T3222" s="72">
        <f t="shared" ref="T3222" si="1143">+L3222*S3222</f>
        <v>0</v>
      </c>
      <c r="U3222" s="72">
        <f t="shared" ref="U3222:U3224" si="1144">+R3222-T3222</f>
        <v>1558.48</v>
      </c>
      <c r="V3222" s="72">
        <f>+U3222*1</f>
        <v>1558.48</v>
      </c>
      <c r="W3222" s="72">
        <f t="shared" ref="W3222:W3224" si="1145">+U3222-V3222</f>
        <v>0</v>
      </c>
      <c r="X3222" s="72">
        <v>0</v>
      </c>
      <c r="Y3222" s="14">
        <f t="shared" si="1123"/>
        <v>0</v>
      </c>
      <c r="Z3222" s="11" t="s">
        <v>26</v>
      </c>
      <c r="AA3222" s="12" t="s">
        <v>31</v>
      </c>
    </row>
    <row r="3223" spans="1:27" x14ac:dyDescent="0.25">
      <c r="A3223" s="10">
        <v>45705</v>
      </c>
      <c r="B3223" s="11" t="s">
        <v>2945</v>
      </c>
      <c r="C3223" s="11" t="s">
        <v>5858</v>
      </c>
      <c r="D3223" s="11">
        <v>17766</v>
      </c>
      <c r="E3223" s="11" t="s">
        <v>5759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2">
        <f>M3223*P3223</f>
        <v>1440</v>
      </c>
      <c r="S3223" s="72">
        <v>0</v>
      </c>
      <c r="T3223" s="72">
        <f>M3223*S3223</f>
        <v>0</v>
      </c>
      <c r="U3223" s="72">
        <f t="shared" si="1144"/>
        <v>1440</v>
      </c>
      <c r="V3223" s="72">
        <f>+U3223*0</f>
        <v>0</v>
      </c>
      <c r="W3223" s="72">
        <f t="shared" si="1145"/>
        <v>1440</v>
      </c>
      <c r="X3223" s="72">
        <v>0</v>
      </c>
      <c r="Y3223" s="14">
        <f t="shared" si="1123"/>
        <v>0</v>
      </c>
      <c r="Z3223" s="11" t="s">
        <v>26</v>
      </c>
      <c r="AA3223" s="12" t="s">
        <v>31</v>
      </c>
    </row>
    <row r="3224" spans="1:27" x14ac:dyDescent="0.25">
      <c r="A3224" s="10">
        <v>45705</v>
      </c>
      <c r="B3224" s="11" t="s">
        <v>5859</v>
      </c>
      <c r="C3224" s="11" t="s">
        <v>5860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2">
        <f>+M3224*P3224</f>
        <v>1600</v>
      </c>
      <c r="S3224" s="72">
        <v>0</v>
      </c>
      <c r="T3224" s="72">
        <f>+M3224*S3224</f>
        <v>0</v>
      </c>
      <c r="U3224" s="72">
        <f t="shared" si="1144"/>
        <v>1600</v>
      </c>
      <c r="V3224" s="72">
        <f t="shared" ref="V3224:V3225" si="1146">+U3224*0</f>
        <v>0</v>
      </c>
      <c r="W3224" s="72">
        <f t="shared" si="1145"/>
        <v>1600</v>
      </c>
      <c r="X3224" s="72">
        <v>0</v>
      </c>
      <c r="Y3224" s="14">
        <f t="shared" si="1123"/>
        <v>0</v>
      </c>
      <c r="Z3224" s="11" t="s">
        <v>26</v>
      </c>
      <c r="AA3224" s="12" t="s">
        <v>31</v>
      </c>
    </row>
    <row r="3225" spans="1:27" x14ac:dyDescent="0.25">
      <c r="A3225" s="10">
        <v>45705</v>
      </c>
      <c r="B3225" s="11" t="s">
        <v>3690</v>
      </c>
      <c r="C3225" s="11" t="s">
        <v>5861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35</v>
      </c>
      <c r="P3225" s="13"/>
      <c r="Q3225" s="13">
        <v>0</v>
      </c>
      <c r="R3225" s="72">
        <f>+L3225*O3225</f>
        <v>1573.6000000000001</v>
      </c>
      <c r="S3225" s="72">
        <v>0</v>
      </c>
      <c r="T3225" s="72">
        <f>+L3225*S3225</f>
        <v>0</v>
      </c>
      <c r="U3225" s="72">
        <f>+R3225-T3225</f>
        <v>1573.6000000000001</v>
      </c>
      <c r="V3225" s="72">
        <f t="shared" si="1146"/>
        <v>0</v>
      </c>
      <c r="W3225" s="72">
        <f>+U3225-V3225</f>
        <v>1573.6000000000001</v>
      </c>
      <c r="X3225" s="72">
        <v>0</v>
      </c>
      <c r="Y3225" s="14">
        <f t="shared" si="1123"/>
        <v>0</v>
      </c>
      <c r="Z3225" s="11" t="s">
        <v>26</v>
      </c>
      <c r="AA3225" s="12" t="s">
        <v>31</v>
      </c>
    </row>
    <row r="3226" spans="1:27" x14ac:dyDescent="0.25">
      <c r="A3226" s="10">
        <v>45705</v>
      </c>
      <c r="B3226" s="11" t="s">
        <v>5485</v>
      </c>
      <c r="C3226" s="11" t="s">
        <v>5862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2">
        <f>+M3226*P3226</f>
        <v>480</v>
      </c>
      <c r="S3226" s="72">
        <v>0</v>
      </c>
      <c r="T3226" s="72">
        <f>+M3226*S3226</f>
        <v>0</v>
      </c>
      <c r="U3226" s="72">
        <f t="shared" ref="U3226:U3227" si="1147">+R3226-T3226</f>
        <v>480</v>
      </c>
      <c r="V3226" s="72">
        <f>+U3226*0</f>
        <v>0</v>
      </c>
      <c r="W3226" s="72">
        <f t="shared" ref="W3226:W3227" si="1148">+U3226-V3226</f>
        <v>480</v>
      </c>
      <c r="X3226" s="72">
        <v>0</v>
      </c>
      <c r="Y3226" s="14">
        <f t="shared" si="1123"/>
        <v>0</v>
      </c>
      <c r="Z3226" s="11" t="s">
        <v>26</v>
      </c>
      <c r="AA3226" s="12" t="s">
        <v>31</v>
      </c>
    </row>
    <row r="3227" spans="1:27" x14ac:dyDescent="0.25">
      <c r="A3227" s="10">
        <v>45705</v>
      </c>
      <c r="B3227" s="11" t="s">
        <v>5863</v>
      </c>
      <c r="C3227" s="11" t="s">
        <v>5864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2">
        <f>+M3227*P3227</f>
        <v>576</v>
      </c>
      <c r="S3227" s="72">
        <v>0</v>
      </c>
      <c r="T3227" s="72">
        <f>+M3227*S3227</f>
        <v>0</v>
      </c>
      <c r="U3227" s="72">
        <f t="shared" si="1147"/>
        <v>576</v>
      </c>
      <c r="V3227" s="72">
        <f>+U3227*0</f>
        <v>0</v>
      </c>
      <c r="W3227" s="72">
        <f t="shared" si="1148"/>
        <v>576</v>
      </c>
      <c r="X3227" s="72">
        <v>0</v>
      </c>
      <c r="Y3227" s="14">
        <f t="shared" si="1123"/>
        <v>0</v>
      </c>
      <c r="Z3227" s="11" t="s">
        <v>26</v>
      </c>
      <c r="AA3227" s="12" t="s">
        <v>31</v>
      </c>
    </row>
    <row r="3228" spans="1:27" x14ac:dyDescent="0.25">
      <c r="A3228" s="10">
        <v>45705</v>
      </c>
      <c r="B3228" s="11" t="s">
        <v>3891</v>
      </c>
      <c r="C3228" s="11" t="s">
        <v>5865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2">
        <f>M3228*P3228</f>
        <v>1550</v>
      </c>
      <c r="S3228" s="72">
        <v>0</v>
      </c>
      <c r="T3228" s="72">
        <f>M3228*S3228</f>
        <v>0</v>
      </c>
      <c r="U3228" s="72">
        <f>R3228-T3228</f>
        <v>1550</v>
      </c>
      <c r="V3228" s="72">
        <f>U3228*0</f>
        <v>0</v>
      </c>
      <c r="W3228" s="72">
        <f>U3228-V3228</f>
        <v>1550</v>
      </c>
      <c r="X3228" s="72">
        <v>0</v>
      </c>
      <c r="Y3228" s="14">
        <f t="shared" si="1123"/>
        <v>0</v>
      </c>
      <c r="Z3228" s="11" t="s">
        <v>26</v>
      </c>
      <c r="AA3228" s="12" t="s">
        <v>31</v>
      </c>
    </row>
    <row r="3229" spans="1:27" x14ac:dyDescent="0.25">
      <c r="A3229" s="10">
        <v>45706</v>
      </c>
      <c r="B3229" s="11" t="s">
        <v>5866</v>
      </c>
      <c r="C3229" s="11" t="s">
        <v>5867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4463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2">
        <f t="shared" ref="R3229" si="1149">+L3229*O3229</f>
        <v>1591.92</v>
      </c>
      <c r="S3229" s="72">
        <v>0</v>
      </c>
      <c r="T3229" s="72">
        <f>+L3229*S3229</f>
        <v>0</v>
      </c>
      <c r="U3229" s="72">
        <f>+R3229-T3229</f>
        <v>1591.92</v>
      </c>
      <c r="V3229" s="72">
        <f>+U3229*1</f>
        <v>1591.92</v>
      </c>
      <c r="W3229" s="72">
        <f>+U3229-V3229</f>
        <v>0</v>
      </c>
      <c r="X3229" s="72">
        <v>0</v>
      </c>
      <c r="Y3229" s="14">
        <f t="shared" si="1123"/>
        <v>0</v>
      </c>
      <c r="Z3229" s="11" t="s">
        <v>26</v>
      </c>
      <c r="AA3229" s="12" t="s">
        <v>31</v>
      </c>
    </row>
    <row r="3230" spans="1:27" x14ac:dyDescent="0.25">
      <c r="A3230" s="10">
        <v>45706</v>
      </c>
      <c r="B3230" s="11" t="s">
        <v>5628</v>
      </c>
      <c r="C3230" s="11" t="s">
        <v>5868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2">
        <f>M3230*P3230</f>
        <v>1500</v>
      </c>
      <c r="S3230" s="72">
        <v>0</v>
      </c>
      <c r="T3230" s="72">
        <f>M3230*S3230</f>
        <v>0</v>
      </c>
      <c r="U3230" s="72">
        <f>R3230-T3230</f>
        <v>1500</v>
      </c>
      <c r="V3230" s="72">
        <f>U3230*0</f>
        <v>0</v>
      </c>
      <c r="W3230" s="72">
        <f>U3230-V3230</f>
        <v>1500</v>
      </c>
      <c r="X3230" s="72">
        <v>0</v>
      </c>
      <c r="Y3230" s="14">
        <f t="shared" si="1123"/>
        <v>0</v>
      </c>
      <c r="Z3230" s="11" t="s">
        <v>26</v>
      </c>
      <c r="AA3230" s="12" t="s">
        <v>31</v>
      </c>
    </row>
    <row r="3231" spans="1:27" x14ac:dyDescent="0.25">
      <c r="A3231" s="10">
        <v>45706</v>
      </c>
      <c r="B3231" s="11" t="s">
        <v>2755</v>
      </c>
      <c r="C3231" s="11" t="s">
        <v>5869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4465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2">
        <f>+L3231*O3231</f>
        <v>1786.9086</v>
      </c>
      <c r="S3231" s="72">
        <v>0</v>
      </c>
      <c r="T3231" s="72">
        <f>+L3231*S3231</f>
        <v>0</v>
      </c>
      <c r="U3231" s="72">
        <f>+R3231-T3231</f>
        <v>1786.9086</v>
      </c>
      <c r="V3231" s="72">
        <f>+U3231*0.75</f>
        <v>1340.18145</v>
      </c>
      <c r="W3231" s="72">
        <f>+U3231-V3231</f>
        <v>446.72714999999994</v>
      </c>
      <c r="X3231" s="72">
        <v>0</v>
      </c>
      <c r="Y3231" s="14">
        <f t="shared" si="1123"/>
        <v>0</v>
      </c>
      <c r="Z3231" s="11" t="s">
        <v>26</v>
      </c>
      <c r="AA3231" s="12" t="s">
        <v>31</v>
      </c>
    </row>
    <row r="3232" spans="1:27" x14ac:dyDescent="0.25">
      <c r="A3232" s="10">
        <v>45706</v>
      </c>
      <c r="B3232" s="11" t="s">
        <v>5870</v>
      </c>
      <c r="C3232" s="11" t="s">
        <v>5871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4439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2">
        <f>L3232*O3232</f>
        <v>3605.52</v>
      </c>
      <c r="S3232" s="72">
        <v>38</v>
      </c>
      <c r="T3232" s="72">
        <f>L3232*S3232</f>
        <v>1650.7199999999998</v>
      </c>
      <c r="U3232" s="72">
        <f>R3232-T3232</f>
        <v>1954.8000000000002</v>
      </c>
      <c r="V3232" s="72">
        <f>U3232*1</f>
        <v>1954.8000000000002</v>
      </c>
      <c r="W3232" s="72">
        <f>U3232-V3232</f>
        <v>0</v>
      </c>
      <c r="X3232" s="72">
        <f>L3232*36</f>
        <v>1563.84</v>
      </c>
      <c r="Y3232" s="73">
        <f>+T3232-X3232</f>
        <v>86.879999999999882</v>
      </c>
      <c r="Z3232" s="12" t="s">
        <v>141</v>
      </c>
      <c r="AA3232" s="12" t="s">
        <v>78</v>
      </c>
    </row>
    <row r="3233" spans="1:27" x14ac:dyDescent="0.25">
      <c r="A3233" s="10">
        <v>45706</v>
      </c>
      <c r="B3233" s="11" t="s">
        <v>4166</v>
      </c>
      <c r="C3233" s="11" t="s">
        <v>5872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4439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2">
        <f t="shared" ref="R3233" si="1151">L3233*O3233</f>
        <v>3608.7599999999998</v>
      </c>
      <c r="S3233" s="72">
        <v>38</v>
      </c>
      <c r="T3233" s="72">
        <f t="shared" ref="T3233" si="1152">L3233*S3233</f>
        <v>1576.2399999999998</v>
      </c>
      <c r="U3233" s="72">
        <f t="shared" ref="U3233" si="1153">R3233-T3233</f>
        <v>2032.52</v>
      </c>
      <c r="V3233" s="72">
        <f>U3233*1</f>
        <v>2032.52</v>
      </c>
      <c r="W3233" s="72">
        <f t="shared" ref="W3233" si="1154">U3233-V3233</f>
        <v>0</v>
      </c>
      <c r="X3233" s="72">
        <f>L3233*36</f>
        <v>1493.28</v>
      </c>
      <c r="Y3233" s="73">
        <f>+T3233-X3233</f>
        <v>82.959999999999809</v>
      </c>
      <c r="Z3233" s="12" t="s">
        <v>141</v>
      </c>
      <c r="AA3233" s="12" t="s">
        <v>78</v>
      </c>
    </row>
    <row r="3234" spans="1:27" x14ac:dyDescent="0.25">
      <c r="A3234" s="10">
        <v>45706</v>
      </c>
      <c r="B3234" s="11" t="s">
        <v>609</v>
      </c>
      <c r="C3234" s="11" t="s">
        <v>5873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4439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2">
        <f>L3234*O3234</f>
        <v>3432.88</v>
      </c>
      <c r="S3234" s="72">
        <v>38</v>
      </c>
      <c r="T3234" s="72">
        <f>L3234*S3234</f>
        <v>1571.68</v>
      </c>
      <c r="U3234" s="72">
        <f>R3234-T3234</f>
        <v>1861.2</v>
      </c>
      <c r="V3234" s="72">
        <f>U3234*1</f>
        <v>1861.2</v>
      </c>
      <c r="W3234" s="72">
        <f>U3234-V3234</f>
        <v>0</v>
      </c>
      <c r="X3234" s="72">
        <f>L3234*36</f>
        <v>1488.96</v>
      </c>
      <c r="Y3234" s="73">
        <f>+T3234-X3234</f>
        <v>82.720000000000027</v>
      </c>
      <c r="Z3234" s="12" t="s">
        <v>141</v>
      </c>
      <c r="AA3234" s="12" t="s">
        <v>78</v>
      </c>
    </row>
    <row r="3235" spans="1:27" x14ac:dyDescent="0.25">
      <c r="A3235" s="10">
        <v>45706</v>
      </c>
      <c r="B3235" s="11" t="s">
        <v>5874</v>
      </c>
      <c r="C3235" s="11" t="s">
        <v>5875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4439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2">
        <f>L3235*O3235</f>
        <v>3620.4599999999996</v>
      </c>
      <c r="S3235" s="72">
        <v>38</v>
      </c>
      <c r="T3235" s="72">
        <f>L3235*S3235</f>
        <v>1657.56</v>
      </c>
      <c r="U3235" s="72">
        <f>R3235-T3235</f>
        <v>1962.8999999999996</v>
      </c>
      <c r="V3235" s="72">
        <f>U3235*1</f>
        <v>1962.8999999999996</v>
      </c>
      <c r="W3235" s="72">
        <f>U3235-V3235</f>
        <v>0</v>
      </c>
      <c r="X3235" s="72">
        <f>L3235*36</f>
        <v>1570.32</v>
      </c>
      <c r="Y3235" s="73">
        <f>+T3235-X3235</f>
        <v>87.240000000000009</v>
      </c>
      <c r="Z3235" s="12" t="s">
        <v>141</v>
      </c>
      <c r="AA3235" s="12" t="s">
        <v>78</v>
      </c>
    </row>
    <row r="3236" spans="1:27" x14ac:dyDescent="0.25">
      <c r="A3236" s="10">
        <v>45706</v>
      </c>
      <c r="B3236" s="11" t="s">
        <v>5876</v>
      </c>
      <c r="C3236" s="11" t="s">
        <v>5877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4440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2">
        <f>+L3236*O3236</f>
        <v>1600.2</v>
      </c>
      <c r="S3236" s="72">
        <v>0</v>
      </c>
      <c r="T3236" s="72">
        <f>+L3236*S3236</f>
        <v>0</v>
      </c>
      <c r="U3236" s="72">
        <f t="shared" ref="U3236" si="1155">+R3236-T3236</f>
        <v>1600.2</v>
      </c>
      <c r="V3236" s="72">
        <f>+U3236*1</f>
        <v>1600.2</v>
      </c>
      <c r="W3236" s="72">
        <f t="shared" ref="W3236" si="1156">+U3236-V3236</f>
        <v>0</v>
      </c>
      <c r="X3236" s="72">
        <v>0</v>
      </c>
      <c r="Y3236" s="14">
        <f t="shared" ref="Y3236" si="1157">T3236-X3236</f>
        <v>0</v>
      </c>
      <c r="Z3236" s="11" t="s">
        <v>26</v>
      </c>
      <c r="AA3236" s="12" t="s">
        <v>31</v>
      </c>
    </row>
    <row r="3237" spans="1:27" x14ac:dyDescent="0.25">
      <c r="A3237" s="10">
        <v>45706</v>
      </c>
      <c r="B3237" s="11" t="s">
        <v>5878</v>
      </c>
      <c r="C3237" s="11" t="s">
        <v>5879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4439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2">
        <f t="shared" ref="R3237" si="1158">L3237*O3237</f>
        <v>3852.2</v>
      </c>
      <c r="S3237" s="72">
        <v>38</v>
      </c>
      <c r="T3237" s="72">
        <f t="shared" ref="T3237" si="1159">L3237*S3237</f>
        <v>1722.16</v>
      </c>
      <c r="U3237" s="72">
        <f t="shared" ref="U3237" si="1160">R3237-T3237</f>
        <v>2130.04</v>
      </c>
      <c r="V3237" s="72">
        <f>U3237*1</f>
        <v>2130.04</v>
      </c>
      <c r="W3237" s="72">
        <f t="shared" ref="W3237" si="1161">U3237-V3237</f>
        <v>0</v>
      </c>
      <c r="X3237" s="72">
        <f>L3237*37</f>
        <v>1676.84</v>
      </c>
      <c r="Y3237" s="73">
        <f>+T3237-X3237</f>
        <v>45.320000000000164</v>
      </c>
      <c r="Z3237" s="12" t="s">
        <v>41</v>
      </c>
      <c r="AA3237" s="12" t="s">
        <v>78</v>
      </c>
    </row>
    <row r="3238" spans="1:27" x14ac:dyDescent="0.25">
      <c r="A3238" s="10">
        <v>45706</v>
      </c>
      <c r="B3238" s="11" t="s">
        <v>5880</v>
      </c>
      <c r="C3238" s="11" t="s">
        <v>5881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4440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2">
        <f>+L3238*O3238</f>
        <v>1604.6999999999998</v>
      </c>
      <c r="S3238" s="72">
        <v>0</v>
      </c>
      <c r="T3238" s="72">
        <f>+L3238*S3238</f>
        <v>0</v>
      </c>
      <c r="U3238" s="72">
        <f t="shared" ref="U3238" si="1162">+R3238-T3238</f>
        <v>1604.6999999999998</v>
      </c>
      <c r="V3238" s="72">
        <f>+U3238*1</f>
        <v>1604.6999999999998</v>
      </c>
      <c r="W3238" s="72">
        <f t="shared" ref="W3238" si="1163">+U3238-V3238</f>
        <v>0</v>
      </c>
      <c r="X3238" s="72">
        <v>0</v>
      </c>
      <c r="Y3238" s="14">
        <f t="shared" ref="Y3238" si="1164">T3238-X3238</f>
        <v>0</v>
      </c>
      <c r="Z3238" s="11" t="s">
        <v>26</v>
      </c>
      <c r="AA3238" s="12" t="s">
        <v>31</v>
      </c>
    </row>
    <row r="3239" spans="1:27" x14ac:dyDescent="0.25">
      <c r="A3239" s="10">
        <v>45706</v>
      </c>
      <c r="B3239" s="11" t="s">
        <v>5882</v>
      </c>
      <c r="C3239" s="11" t="s">
        <v>5883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4439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2">
        <f>L3239*O3239</f>
        <v>3766.5400000000004</v>
      </c>
      <c r="S3239" s="72">
        <v>38</v>
      </c>
      <c r="T3239" s="72">
        <f>L3239*S3239</f>
        <v>1724.44</v>
      </c>
      <c r="U3239" s="72">
        <f>R3239-T3239</f>
        <v>2042.1000000000004</v>
      </c>
      <c r="V3239" s="72">
        <f>U3239*1</f>
        <v>2042.1000000000004</v>
      </c>
      <c r="W3239" s="72">
        <f>U3239-V3239</f>
        <v>0</v>
      </c>
      <c r="X3239" s="72">
        <f>L3239*36</f>
        <v>1633.68</v>
      </c>
      <c r="Y3239" s="73">
        <f>+T3239-X3239</f>
        <v>90.759999999999991</v>
      </c>
      <c r="Z3239" s="12" t="s">
        <v>141</v>
      </c>
      <c r="AA3239" s="12" t="s">
        <v>78</v>
      </c>
    </row>
    <row r="3240" spans="1:27" x14ac:dyDescent="0.25">
      <c r="A3240" s="10">
        <v>45706</v>
      </c>
      <c r="B3240" s="11" t="s">
        <v>5884</v>
      </c>
      <c r="C3240" s="11" t="s">
        <v>5885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4439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2">
        <f t="shared" ref="R3240" si="1165">L3240*O3240</f>
        <v>3809.7</v>
      </c>
      <c r="S3240" s="72">
        <v>38</v>
      </c>
      <c r="T3240" s="72">
        <f t="shared" ref="T3240" si="1166">L3240*S3240</f>
        <v>1703.16</v>
      </c>
      <c r="U3240" s="72">
        <f t="shared" ref="U3240" si="1167">R3240-T3240</f>
        <v>2106.54</v>
      </c>
      <c r="V3240" s="72">
        <f>U3240*1</f>
        <v>2106.54</v>
      </c>
      <c r="W3240" s="72">
        <f t="shared" ref="W3240" si="1168">U3240-V3240</f>
        <v>0</v>
      </c>
      <c r="X3240" s="72">
        <f>L3240*37</f>
        <v>1658.34</v>
      </c>
      <c r="Y3240" s="73">
        <f>+T3240-X3240</f>
        <v>44.820000000000164</v>
      </c>
      <c r="Z3240" s="12" t="s">
        <v>41</v>
      </c>
      <c r="AA3240" s="12" t="s">
        <v>78</v>
      </c>
    </row>
    <row r="3241" spans="1:27" x14ac:dyDescent="0.25">
      <c r="A3241" s="10">
        <v>45706</v>
      </c>
      <c r="B3241" s="11" t="s">
        <v>1917</v>
      </c>
      <c r="C3241" s="11" t="s">
        <v>5886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35</v>
      </c>
      <c r="P3241" s="13"/>
      <c r="Q3241" s="13">
        <v>0</v>
      </c>
      <c r="R3241" s="72">
        <f>+L3241*O3241</f>
        <v>1535.1</v>
      </c>
      <c r="S3241" s="72">
        <v>0</v>
      </c>
      <c r="T3241" s="72">
        <f>+L3241*S3241</f>
        <v>0</v>
      </c>
      <c r="U3241" s="72">
        <f>+R3241-T3241</f>
        <v>1535.1</v>
      </c>
      <c r="V3241" s="72">
        <f t="shared" ref="V3241" si="1169">+U3241*0</f>
        <v>0</v>
      </c>
      <c r="W3241" s="72">
        <f>+U3241-V3241</f>
        <v>1535.1</v>
      </c>
      <c r="X3241" s="72">
        <v>0</v>
      </c>
      <c r="Y3241" s="14">
        <f t="shared" ref="Y3241:Y3242" si="1170">T3241-X3241</f>
        <v>0</v>
      </c>
      <c r="Z3241" s="11" t="s">
        <v>26</v>
      </c>
      <c r="AA3241" s="12" t="s">
        <v>31</v>
      </c>
    </row>
    <row r="3242" spans="1:27" x14ac:dyDescent="0.25">
      <c r="A3242" s="10">
        <v>45706</v>
      </c>
      <c r="B3242" s="11" t="s">
        <v>5887</v>
      </c>
      <c r="C3242" s="11" t="s">
        <v>5888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2">
        <f>(L3242*O3242)-Q3242</f>
        <v>390.59999999999997</v>
      </c>
      <c r="S3242" s="72">
        <v>0</v>
      </c>
      <c r="T3242" s="72">
        <f t="shared" ref="T3242" si="1171">+L3242*S3242</f>
        <v>0</v>
      </c>
      <c r="U3242" s="72">
        <f t="shared" ref="U3242" si="1172">+R3242-T3242</f>
        <v>390.59999999999997</v>
      </c>
      <c r="V3242" s="72">
        <f>+U3242*0</f>
        <v>0</v>
      </c>
      <c r="W3242" s="72">
        <f t="shared" ref="W3242" si="1173">+U3242-V3242</f>
        <v>390.59999999999997</v>
      </c>
      <c r="X3242" s="72">
        <v>0</v>
      </c>
      <c r="Y3242" s="14">
        <f t="shared" si="1170"/>
        <v>0</v>
      </c>
      <c r="Z3242" s="11" t="s">
        <v>26</v>
      </c>
      <c r="AA3242" s="12" t="s">
        <v>31</v>
      </c>
    </row>
    <row r="3243" spans="1:27" x14ac:dyDescent="0.25">
      <c r="A3243" s="10">
        <v>45706</v>
      </c>
      <c r="B3243" s="11" t="s">
        <v>5889</v>
      </c>
      <c r="C3243" s="11" t="s">
        <v>5890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2">
        <f>+L3243*O3243</f>
        <v>4004</v>
      </c>
      <c r="S3243" s="72">
        <v>40</v>
      </c>
      <c r="T3243" s="72">
        <f>L3243*S3243</f>
        <v>1760</v>
      </c>
      <c r="U3243" s="72">
        <f t="shared" ref="U3243" si="1174">R3243-T3243</f>
        <v>2244</v>
      </c>
      <c r="V3243" s="72">
        <f>U3243*1</f>
        <v>2244</v>
      </c>
      <c r="W3243" s="72">
        <f t="shared" ref="W3243" si="1175">U3243-V3243</f>
        <v>0</v>
      </c>
      <c r="X3243" s="72">
        <f>L3243*37</f>
        <v>1628</v>
      </c>
      <c r="Y3243" s="73">
        <f>+T3243-X3243</f>
        <v>132</v>
      </c>
      <c r="Z3243" s="12" t="s">
        <v>41</v>
      </c>
      <c r="AA3243" s="12" t="s">
        <v>79</v>
      </c>
    </row>
    <row r="3244" spans="1:27" x14ac:dyDescent="0.25">
      <c r="A3244" s="10">
        <v>45706</v>
      </c>
      <c r="B3244" s="11" t="s">
        <v>5602</v>
      </c>
      <c r="C3244" s="11" t="s">
        <v>5891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35</v>
      </c>
      <c r="P3244" s="13"/>
      <c r="Q3244" s="13">
        <v>0</v>
      </c>
      <c r="R3244" s="72">
        <f>+L3244*O3244</f>
        <v>1547.7</v>
      </c>
      <c r="S3244" s="72">
        <v>0</v>
      </c>
      <c r="T3244" s="72">
        <f>+L3244*S3244</f>
        <v>0</v>
      </c>
      <c r="U3244" s="72">
        <f>+R3244-T3244</f>
        <v>1547.7</v>
      </c>
      <c r="V3244" s="72">
        <f t="shared" ref="V3244" si="1176">+U3244*0</f>
        <v>0</v>
      </c>
      <c r="W3244" s="72">
        <f>+U3244-V3244</f>
        <v>1547.7</v>
      </c>
      <c r="X3244" s="72">
        <v>0</v>
      </c>
      <c r="Y3244" s="14">
        <f t="shared" ref="Y3244:Y3293" si="1177">T3244-X3244</f>
        <v>0</v>
      </c>
      <c r="Z3244" s="11" t="s">
        <v>26</v>
      </c>
      <c r="AA3244" s="12" t="s">
        <v>31</v>
      </c>
    </row>
    <row r="3245" spans="1:27" x14ac:dyDescent="0.25">
      <c r="A3245" s="10">
        <v>45706</v>
      </c>
      <c r="B3245" s="11" t="s">
        <v>5892</v>
      </c>
      <c r="C3245" s="11" t="s">
        <v>5893</v>
      </c>
      <c r="D3245" s="11">
        <v>17789</v>
      </c>
      <c r="E3245" s="11" t="s">
        <v>1217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2">
        <f>M3245*P3245</f>
        <v>1500</v>
      </c>
      <c r="S3245" s="72">
        <v>0</v>
      </c>
      <c r="T3245" s="72">
        <f>M3245*S3245</f>
        <v>0</v>
      </c>
      <c r="U3245" s="72">
        <f>R3245-T3245</f>
        <v>1500</v>
      </c>
      <c r="V3245" s="72">
        <f>U3245*0</f>
        <v>0</v>
      </c>
      <c r="W3245" s="72">
        <f>U3245-V3245</f>
        <v>1500</v>
      </c>
      <c r="X3245" s="72">
        <v>0</v>
      </c>
      <c r="Y3245" s="14">
        <f t="shared" si="1177"/>
        <v>0</v>
      </c>
      <c r="Z3245" s="11" t="s">
        <v>26</v>
      </c>
      <c r="AA3245" s="12" t="s">
        <v>31</v>
      </c>
    </row>
    <row r="3246" spans="1:27" x14ac:dyDescent="0.25">
      <c r="A3246" s="10">
        <v>45706</v>
      </c>
      <c r="B3246" s="11" t="s">
        <v>5894</v>
      </c>
      <c r="C3246" s="11" t="s">
        <v>5895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2">
        <f>+L3246*O3246</f>
        <v>1721.6</v>
      </c>
      <c r="S3246" s="72">
        <v>0</v>
      </c>
      <c r="T3246" s="72">
        <f>+L3246*S3246</f>
        <v>0</v>
      </c>
      <c r="U3246" s="72">
        <f>+R3246-T3246</f>
        <v>1721.6</v>
      </c>
      <c r="V3246" s="72">
        <f t="shared" ref="V3246" si="1178">+U3246*0</f>
        <v>0</v>
      </c>
      <c r="W3246" s="72">
        <f>+U3246-V3246</f>
        <v>1721.6</v>
      </c>
      <c r="X3246" s="72">
        <v>0</v>
      </c>
      <c r="Y3246" s="14">
        <f t="shared" si="1177"/>
        <v>0</v>
      </c>
      <c r="Z3246" s="11" t="s">
        <v>26</v>
      </c>
      <c r="AA3246" s="12" t="s">
        <v>31</v>
      </c>
    </row>
    <row r="3247" spans="1:27" x14ac:dyDescent="0.25">
      <c r="A3247" s="10">
        <v>45706</v>
      </c>
      <c r="B3247" s="11" t="s">
        <v>5896</v>
      </c>
      <c r="C3247" s="11" t="s">
        <v>5897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2">
        <f>(L3247*O3247)-Q3247</f>
        <v>384.29999999999995</v>
      </c>
      <c r="S3247" s="72">
        <v>0</v>
      </c>
      <c r="T3247" s="72">
        <f t="shared" ref="T3247" si="1179">+L3247*S3247</f>
        <v>0</v>
      </c>
      <c r="U3247" s="72">
        <f t="shared" ref="U3247" si="1180">+R3247-T3247</f>
        <v>384.29999999999995</v>
      </c>
      <c r="V3247" s="72">
        <f>+U3247*0</f>
        <v>0</v>
      </c>
      <c r="W3247" s="72">
        <f t="shared" ref="W3247" si="1181">+U3247-V3247</f>
        <v>384.29999999999995</v>
      </c>
      <c r="X3247" s="72">
        <v>0</v>
      </c>
      <c r="Y3247" s="14">
        <f t="shared" si="1177"/>
        <v>0</v>
      </c>
      <c r="Z3247" s="11" t="s">
        <v>26</v>
      </c>
      <c r="AA3247" s="12" t="s">
        <v>31</v>
      </c>
    </row>
    <row r="3248" spans="1:27" x14ac:dyDescent="0.25">
      <c r="A3248" s="10">
        <v>45706</v>
      </c>
      <c r="B3248" s="11" t="s">
        <v>3578</v>
      </c>
      <c r="C3248" s="11" t="s">
        <v>5898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2">
        <f>M3248*P3248</f>
        <v>1450</v>
      </c>
      <c r="S3248" s="72">
        <v>0</v>
      </c>
      <c r="T3248" s="72">
        <f>M3248*S3248</f>
        <v>0</v>
      </c>
      <c r="U3248" s="72">
        <f>R3248-T3248</f>
        <v>1450</v>
      </c>
      <c r="V3248" s="72">
        <f t="shared" ref="V3248" si="1182">U3248*0</f>
        <v>0</v>
      </c>
      <c r="W3248" s="72">
        <f t="shared" ref="W3248" si="1183">U3248-V3248</f>
        <v>1450</v>
      </c>
      <c r="X3248" s="72">
        <v>0</v>
      </c>
      <c r="Y3248" s="14">
        <f t="shared" si="1177"/>
        <v>0</v>
      </c>
      <c r="Z3248" s="11" t="s">
        <v>26</v>
      </c>
      <c r="AA3248" s="12" t="s">
        <v>31</v>
      </c>
    </row>
    <row r="3249" spans="1:27" x14ac:dyDescent="0.25">
      <c r="A3249" s="10">
        <v>45706</v>
      </c>
      <c r="B3249" s="11" t="s">
        <v>430</v>
      </c>
      <c r="C3249" s="11" t="s">
        <v>5899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4440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2">
        <f>+L3249*O3249</f>
        <v>1561.5000000000002</v>
      </c>
      <c r="S3249" s="72">
        <v>0</v>
      </c>
      <c r="T3249" s="72">
        <f>+L3249*S3249</f>
        <v>0</v>
      </c>
      <c r="U3249" s="72">
        <f t="shared" ref="U3249" si="1184">+R3249-T3249</f>
        <v>1561.5000000000002</v>
      </c>
      <c r="V3249" s="72">
        <f>+U3249*1</f>
        <v>1561.5000000000002</v>
      </c>
      <c r="W3249" s="72">
        <f t="shared" ref="W3249" si="1185">+U3249-V3249</f>
        <v>0</v>
      </c>
      <c r="X3249" s="72">
        <v>0</v>
      </c>
      <c r="Y3249" s="14">
        <f t="shared" si="1177"/>
        <v>0</v>
      </c>
      <c r="Z3249" s="11" t="s">
        <v>26</v>
      </c>
      <c r="AA3249" s="12" t="s">
        <v>31</v>
      </c>
    </row>
    <row r="3250" spans="1:27" x14ac:dyDescent="0.25">
      <c r="A3250" s="10">
        <v>45706</v>
      </c>
      <c r="B3250" s="11" t="s">
        <v>1934</v>
      </c>
      <c r="C3250" s="11" t="s">
        <v>5900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2">
        <f>L3250*O3250</f>
        <v>1028.5</v>
      </c>
      <c r="S3250" s="72">
        <v>0</v>
      </c>
      <c r="T3250" s="72">
        <f t="shared" ref="T3250:T3251" si="1186">L3250*S3250</f>
        <v>0</v>
      </c>
      <c r="U3250" s="72">
        <f>R3250-T3250</f>
        <v>1028.5</v>
      </c>
      <c r="V3250" s="72">
        <f>U3250*0</f>
        <v>0</v>
      </c>
      <c r="W3250" s="72">
        <f>U3250-V3250</f>
        <v>1028.5</v>
      </c>
      <c r="X3250" s="72">
        <v>0</v>
      </c>
      <c r="Y3250" s="14">
        <f t="shared" si="1177"/>
        <v>0</v>
      </c>
      <c r="Z3250" s="11" t="s">
        <v>26</v>
      </c>
      <c r="AA3250" s="12" t="s">
        <v>31</v>
      </c>
    </row>
    <row r="3251" spans="1:27" x14ac:dyDescent="0.25">
      <c r="A3251" s="10">
        <v>45706</v>
      </c>
      <c r="B3251" s="11" t="s">
        <v>202</v>
      </c>
      <c r="C3251" s="11" t="s">
        <v>5901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2">
        <f>L3251*O3251</f>
        <v>1000.5000000000001</v>
      </c>
      <c r="S3251" s="72">
        <v>0</v>
      </c>
      <c r="T3251" s="72">
        <f t="shared" si="1186"/>
        <v>0</v>
      </c>
      <c r="U3251" s="72">
        <f>R3251-T3251</f>
        <v>1000.5000000000001</v>
      </c>
      <c r="V3251" s="72">
        <f>U3251*0</f>
        <v>0</v>
      </c>
      <c r="W3251" s="72">
        <f>U3251-V3251</f>
        <v>1000.5000000000001</v>
      </c>
      <c r="X3251" s="72">
        <v>0</v>
      </c>
      <c r="Y3251" s="14">
        <f t="shared" si="1177"/>
        <v>0</v>
      </c>
      <c r="Z3251" s="11" t="s">
        <v>26</v>
      </c>
      <c r="AA3251" s="12" t="s">
        <v>31</v>
      </c>
    </row>
    <row r="3252" spans="1:27" x14ac:dyDescent="0.25">
      <c r="A3252" s="10">
        <v>45706</v>
      </c>
      <c r="B3252" s="11" t="s">
        <v>5902</v>
      </c>
      <c r="C3252" s="11" t="s">
        <v>5903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4440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2">
        <f t="shared" ref="R3252" si="1187">+L3252*O3252</f>
        <v>1641.28</v>
      </c>
      <c r="S3252" s="72">
        <v>0</v>
      </c>
      <c r="T3252" s="72">
        <f t="shared" ref="T3252" si="1188">+L3252*S3252</f>
        <v>0</v>
      </c>
      <c r="U3252" s="72">
        <f t="shared" ref="U3252" si="1189">+R3252-T3252</f>
        <v>1641.28</v>
      </c>
      <c r="V3252" s="72">
        <f>+U3252*1</f>
        <v>1641.28</v>
      </c>
      <c r="W3252" s="72">
        <f t="shared" ref="W3252" si="1190">+U3252-V3252</f>
        <v>0</v>
      </c>
      <c r="X3252" s="72">
        <v>0</v>
      </c>
      <c r="Y3252" s="14">
        <f t="shared" si="1177"/>
        <v>0</v>
      </c>
      <c r="Z3252" s="11" t="s">
        <v>26</v>
      </c>
      <c r="AA3252" s="12" t="s">
        <v>31</v>
      </c>
    </row>
    <row r="3253" spans="1:27" x14ac:dyDescent="0.25">
      <c r="A3253" s="10">
        <v>45706</v>
      </c>
      <c r="B3253" s="11" t="s">
        <v>5904</v>
      </c>
      <c r="C3253" s="11" t="s">
        <v>5905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4465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2">
        <f>+L3253*O3253</f>
        <v>1886.15</v>
      </c>
      <c r="S3253" s="72">
        <v>0</v>
      </c>
      <c r="T3253" s="72">
        <f>+L3253*S3253</f>
        <v>0</v>
      </c>
      <c r="U3253" s="72">
        <f>+R3253-T3253</f>
        <v>1886.15</v>
      </c>
      <c r="V3253" s="72">
        <f>+U3253*0.75</f>
        <v>1414.6125000000002</v>
      </c>
      <c r="W3253" s="72">
        <f>+U3253-V3253</f>
        <v>471.53749999999991</v>
      </c>
      <c r="X3253" s="72">
        <v>0</v>
      </c>
      <c r="Y3253" s="14">
        <f t="shared" si="1177"/>
        <v>0</v>
      </c>
      <c r="Z3253" s="11" t="s">
        <v>26</v>
      </c>
      <c r="AA3253" s="12" t="s">
        <v>31</v>
      </c>
    </row>
    <row r="3254" spans="1:27" x14ac:dyDescent="0.25">
      <c r="A3254" s="10">
        <v>45706</v>
      </c>
      <c r="B3254" s="11" t="s">
        <v>3791</v>
      </c>
      <c r="C3254" s="11" t="s">
        <v>5906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2">
        <f>M3254*P3254</f>
        <v>1500</v>
      </c>
      <c r="S3254" s="72">
        <v>0</v>
      </c>
      <c r="T3254" s="72">
        <f>M3254*S3254</f>
        <v>0</v>
      </c>
      <c r="U3254" s="72">
        <f>R3254-T3254</f>
        <v>1500</v>
      </c>
      <c r="V3254" s="72">
        <f>U3254*0</f>
        <v>0</v>
      </c>
      <c r="W3254" s="72">
        <f>U3254-V3254</f>
        <v>1500</v>
      </c>
      <c r="X3254" s="72">
        <v>0</v>
      </c>
      <c r="Y3254" s="14">
        <f t="shared" si="1177"/>
        <v>0</v>
      </c>
      <c r="Z3254" s="11" t="s">
        <v>26</v>
      </c>
      <c r="AA3254" s="12" t="s">
        <v>31</v>
      </c>
    </row>
    <row r="3255" spans="1:27" x14ac:dyDescent="0.25">
      <c r="A3255" s="10">
        <v>45706</v>
      </c>
      <c r="B3255" s="11" t="s">
        <v>404</v>
      </c>
      <c r="C3255" s="11" t="s">
        <v>5907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2">
        <f>M3255*P3255</f>
        <v>1600</v>
      </c>
      <c r="S3255" s="72">
        <v>0</v>
      </c>
      <c r="T3255" s="72">
        <f>M3255*S3255</f>
        <v>0</v>
      </c>
      <c r="U3255" s="72">
        <f>+R3255-T3255</f>
        <v>1600</v>
      </c>
      <c r="V3255" s="72">
        <f t="shared" ref="V3255" si="1191">+U3255*0</f>
        <v>0</v>
      </c>
      <c r="W3255" s="72">
        <f>+U3255-V3255</f>
        <v>1600</v>
      </c>
      <c r="X3255" s="72">
        <v>0</v>
      </c>
      <c r="Y3255" s="14">
        <f t="shared" si="1177"/>
        <v>0</v>
      </c>
      <c r="Z3255" s="11" t="s">
        <v>26</v>
      </c>
      <c r="AA3255" s="12" t="s">
        <v>31</v>
      </c>
    </row>
    <row r="3256" spans="1:27" x14ac:dyDescent="0.25">
      <c r="A3256" s="10">
        <v>45706</v>
      </c>
      <c r="B3256" s="11" t="s">
        <v>5908</v>
      </c>
      <c r="C3256" s="11" t="s">
        <v>5909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2">
        <f>M3256*P3256</f>
        <v>1450</v>
      </c>
      <c r="S3256" s="72">
        <v>0</v>
      </c>
      <c r="T3256" s="72">
        <f>M3256*S3256</f>
        <v>0</v>
      </c>
      <c r="U3256" s="72">
        <f>R3256-T3256</f>
        <v>1450</v>
      </c>
      <c r="V3256" s="72">
        <f t="shared" ref="V3256" si="1192">U3256*0</f>
        <v>0</v>
      </c>
      <c r="W3256" s="72">
        <f t="shared" ref="W3256" si="1193">U3256-V3256</f>
        <v>1450</v>
      </c>
      <c r="X3256" s="72">
        <v>0</v>
      </c>
      <c r="Y3256" s="14">
        <f t="shared" si="1177"/>
        <v>0</v>
      </c>
      <c r="Z3256" s="11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5910</v>
      </c>
      <c r="D3257" s="11">
        <v>17801</v>
      </c>
      <c r="E3257" s="11" t="s">
        <v>5911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2">
        <f>M3257*P3257</f>
        <v>1500</v>
      </c>
      <c r="S3257" s="72">
        <v>0</v>
      </c>
      <c r="T3257" s="72">
        <f>M3257*S3257</f>
        <v>0</v>
      </c>
      <c r="U3257" s="72">
        <f>R3257-T3257</f>
        <v>1500</v>
      </c>
      <c r="V3257" s="72">
        <f>U3257*0</f>
        <v>0</v>
      </c>
      <c r="W3257" s="72">
        <f>U3257-V3257</f>
        <v>1500</v>
      </c>
      <c r="X3257" s="72">
        <v>0</v>
      </c>
      <c r="Y3257" s="14">
        <f t="shared" si="1177"/>
        <v>0</v>
      </c>
      <c r="Z3257" s="11" t="s">
        <v>26</v>
      </c>
      <c r="AA3257" s="12" t="s">
        <v>31</v>
      </c>
    </row>
    <row r="3258" spans="1:27" x14ac:dyDescent="0.25">
      <c r="A3258" s="10">
        <v>45706</v>
      </c>
      <c r="B3258" s="11" t="s">
        <v>392</v>
      </c>
      <c r="C3258" s="11" t="s">
        <v>5912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2">
        <f>(L3258*O3258)-Q3258</f>
        <v>359.1</v>
      </c>
      <c r="S3258" s="72">
        <v>0</v>
      </c>
      <c r="T3258" s="72">
        <f t="shared" ref="T3258" si="1194">+L3258*S3258</f>
        <v>0</v>
      </c>
      <c r="U3258" s="72">
        <f t="shared" ref="U3258" si="1195">+R3258-T3258</f>
        <v>359.1</v>
      </c>
      <c r="V3258" s="72">
        <f>+U3258*0</f>
        <v>0</v>
      </c>
      <c r="W3258" s="72">
        <f t="shared" ref="W3258" si="1196">+U3258-V3258</f>
        <v>359.1</v>
      </c>
      <c r="X3258" s="72">
        <v>0</v>
      </c>
      <c r="Y3258" s="14">
        <f t="shared" si="1177"/>
        <v>0</v>
      </c>
      <c r="Z3258" s="11" t="s">
        <v>26</v>
      </c>
      <c r="AA3258" s="12" t="s">
        <v>31</v>
      </c>
    </row>
    <row r="3259" spans="1:27" x14ac:dyDescent="0.25">
      <c r="A3259" s="10">
        <v>45706</v>
      </c>
      <c r="B3259" s="11" t="s">
        <v>378</v>
      </c>
      <c r="C3259" s="11" t="s">
        <v>5913</v>
      </c>
      <c r="D3259" s="11">
        <v>17803</v>
      </c>
      <c r="E3259" s="11" t="s">
        <v>1217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2">
        <f>L3259*O3259</f>
        <v>1024.5</v>
      </c>
      <c r="S3259" s="72">
        <v>0</v>
      </c>
      <c r="T3259" s="72">
        <f>L3259*S3259</f>
        <v>0</v>
      </c>
      <c r="U3259" s="72">
        <f>R3259-T3259</f>
        <v>1024.5</v>
      </c>
      <c r="V3259" s="72">
        <f>U3259*0</f>
        <v>0</v>
      </c>
      <c r="W3259" s="72">
        <f>U3259-V3259</f>
        <v>1024.5</v>
      </c>
      <c r="X3259" s="72">
        <v>0</v>
      </c>
      <c r="Y3259" s="14">
        <f t="shared" si="1177"/>
        <v>0</v>
      </c>
      <c r="Z3259" s="11" t="s">
        <v>26</v>
      </c>
      <c r="AA3259" s="12" t="s">
        <v>31</v>
      </c>
    </row>
    <row r="3260" spans="1:27" x14ac:dyDescent="0.25">
      <c r="A3260" s="10">
        <v>45706</v>
      </c>
      <c r="B3260" s="11" t="s">
        <v>5768</v>
      </c>
      <c r="C3260" s="11" t="s">
        <v>5914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2">
        <f>M3260*P3260</f>
        <v>1600</v>
      </c>
      <c r="S3260" s="72">
        <v>0</v>
      </c>
      <c r="T3260" s="72">
        <f>M3260*S3260</f>
        <v>0</v>
      </c>
      <c r="U3260" s="72">
        <f>+R3260-T3260</f>
        <v>1600</v>
      </c>
      <c r="V3260" s="72">
        <f t="shared" ref="V3260" si="1197">+U3260*0</f>
        <v>0</v>
      </c>
      <c r="W3260" s="72">
        <f>+U3260-V3260</f>
        <v>1600</v>
      </c>
      <c r="X3260" s="72">
        <v>0</v>
      </c>
      <c r="Y3260" s="14">
        <f t="shared" si="1177"/>
        <v>0</v>
      </c>
      <c r="Z3260" s="11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5915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4463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2">
        <f t="shared" ref="R3261:R3263" si="1198">+L3261*O3261</f>
        <v>1682.52</v>
      </c>
      <c r="S3261" s="72">
        <v>0</v>
      </c>
      <c r="T3261" s="72">
        <f>+L3261*S3261</f>
        <v>0</v>
      </c>
      <c r="U3261" s="72">
        <f t="shared" ref="U3261:U3265" si="1199">+R3261-T3261</f>
        <v>1682.52</v>
      </c>
      <c r="V3261" s="72">
        <f>+U3261*1</f>
        <v>1682.52</v>
      </c>
      <c r="W3261" s="72">
        <f t="shared" ref="W3261:W3265" si="1200">+U3261-V3261</f>
        <v>0</v>
      </c>
      <c r="X3261" s="72">
        <v>0</v>
      </c>
      <c r="Y3261" s="14">
        <f t="shared" si="1177"/>
        <v>0</v>
      </c>
      <c r="Z3261" s="11" t="s">
        <v>26</v>
      </c>
      <c r="AA3261" s="12" t="s">
        <v>31</v>
      </c>
    </row>
    <row r="3262" spans="1:27" x14ac:dyDescent="0.25">
      <c r="A3262" s="10">
        <v>45706</v>
      </c>
      <c r="B3262" s="11" t="s">
        <v>5916</v>
      </c>
      <c r="C3262" s="11" t="s">
        <v>5917</v>
      </c>
      <c r="D3262" s="11">
        <v>17806</v>
      </c>
      <c r="E3262" s="11" t="s">
        <v>5918</v>
      </c>
      <c r="F3262" s="11" t="s">
        <v>26</v>
      </c>
      <c r="G3262" s="11">
        <v>112265</v>
      </c>
      <c r="H3262" s="12" t="s">
        <v>4463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2">
        <f t="shared" si="1198"/>
        <v>2035.32</v>
      </c>
      <c r="S3262" s="72">
        <v>0</v>
      </c>
      <c r="T3262" s="72">
        <f>+L3262*S3262</f>
        <v>0</v>
      </c>
      <c r="U3262" s="72">
        <f t="shared" si="1199"/>
        <v>2035.32</v>
      </c>
      <c r="V3262" s="72">
        <f>+U3262*1</f>
        <v>2035.32</v>
      </c>
      <c r="W3262" s="72">
        <f t="shared" si="1200"/>
        <v>0</v>
      </c>
      <c r="X3262" s="72">
        <v>0</v>
      </c>
      <c r="Y3262" s="14">
        <f t="shared" si="1177"/>
        <v>0</v>
      </c>
      <c r="Z3262" s="11" t="s">
        <v>26</v>
      </c>
      <c r="AA3262" s="12" t="s">
        <v>31</v>
      </c>
    </row>
    <row r="3263" spans="1:27" x14ac:dyDescent="0.25">
      <c r="A3263" s="10">
        <v>45706</v>
      </c>
      <c r="B3263" s="11" t="s">
        <v>5919</v>
      </c>
      <c r="C3263" s="11" t="s">
        <v>5920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4463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2">
        <f t="shared" si="1198"/>
        <v>1766.52</v>
      </c>
      <c r="S3263" s="72">
        <v>0</v>
      </c>
      <c r="T3263" s="72">
        <f>+L3263*S3263</f>
        <v>0</v>
      </c>
      <c r="U3263" s="72">
        <f t="shared" si="1199"/>
        <v>1766.52</v>
      </c>
      <c r="V3263" s="72">
        <f>+U3263*1</f>
        <v>1766.52</v>
      </c>
      <c r="W3263" s="72">
        <f t="shared" si="1200"/>
        <v>0</v>
      </c>
      <c r="X3263" s="72">
        <v>0</v>
      </c>
      <c r="Y3263" s="14">
        <f t="shared" si="1177"/>
        <v>0</v>
      </c>
      <c r="Z3263" s="11" t="s">
        <v>26</v>
      </c>
      <c r="AA3263" s="12" t="s">
        <v>31</v>
      </c>
    </row>
    <row r="3264" spans="1:27" x14ac:dyDescent="0.25">
      <c r="A3264" s="10">
        <v>45706</v>
      </c>
      <c r="B3264" s="11" t="s">
        <v>5921</v>
      </c>
      <c r="C3264" s="11" t="s">
        <v>5922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2">
        <f>+M3264*P3264</f>
        <v>1600</v>
      </c>
      <c r="S3264" s="72">
        <v>0</v>
      </c>
      <c r="T3264" s="72">
        <f>+M3264*S3264</f>
        <v>0</v>
      </c>
      <c r="U3264" s="72">
        <f t="shared" si="1199"/>
        <v>1600</v>
      </c>
      <c r="V3264" s="72">
        <f t="shared" ref="V3264" si="1201">+U3264*0</f>
        <v>0</v>
      </c>
      <c r="W3264" s="72">
        <f t="shared" si="1200"/>
        <v>1600</v>
      </c>
      <c r="X3264" s="72">
        <v>0</v>
      </c>
      <c r="Y3264" s="14">
        <f t="shared" si="1177"/>
        <v>0</v>
      </c>
      <c r="Z3264" s="11" t="s">
        <v>26</v>
      </c>
      <c r="AA3264" s="12" t="s">
        <v>31</v>
      </c>
    </row>
    <row r="3265" spans="1:27" x14ac:dyDescent="0.25">
      <c r="A3265" s="10">
        <v>45706</v>
      </c>
      <c r="B3265" s="11" t="s">
        <v>5923</v>
      </c>
      <c r="C3265" s="11" t="s">
        <v>5924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4463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2">
        <f t="shared" ref="R3265" si="1202">+L3265*O3265</f>
        <v>1669.0800000000002</v>
      </c>
      <c r="S3265" s="72">
        <v>0</v>
      </c>
      <c r="T3265" s="72">
        <f>+L3265*S3265</f>
        <v>0</v>
      </c>
      <c r="U3265" s="72">
        <f t="shared" si="1199"/>
        <v>1669.0800000000002</v>
      </c>
      <c r="V3265" s="72">
        <f>+U3265*1</f>
        <v>1669.0800000000002</v>
      </c>
      <c r="W3265" s="72">
        <f t="shared" si="1200"/>
        <v>0</v>
      </c>
      <c r="X3265" s="72">
        <v>0</v>
      </c>
      <c r="Y3265" s="14">
        <f t="shared" si="1177"/>
        <v>0</v>
      </c>
      <c r="Z3265" s="11" t="s">
        <v>26</v>
      </c>
      <c r="AA3265" s="12" t="s">
        <v>31</v>
      </c>
    </row>
    <row r="3266" spans="1:27" x14ac:dyDescent="0.25">
      <c r="A3266" s="10">
        <v>45706</v>
      </c>
      <c r="B3266" s="11" t="s">
        <v>5925</v>
      </c>
      <c r="C3266" s="11" t="s">
        <v>5926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2">
        <f>M3266*P3266</f>
        <v>1450</v>
      </c>
      <c r="S3266" s="72">
        <v>0</v>
      </c>
      <c r="T3266" s="72">
        <f>M3266*S3266</f>
        <v>0</v>
      </c>
      <c r="U3266" s="72">
        <f>R3266-T3266</f>
        <v>1450</v>
      </c>
      <c r="V3266" s="72">
        <f t="shared" ref="V3266" si="1203">U3266*0</f>
        <v>0</v>
      </c>
      <c r="W3266" s="72">
        <f t="shared" ref="W3266" si="1204">U3266-V3266</f>
        <v>1450</v>
      </c>
      <c r="X3266" s="72">
        <v>0</v>
      </c>
      <c r="Y3266" s="14">
        <f t="shared" si="1177"/>
        <v>0</v>
      </c>
      <c r="Z3266" s="11" t="s">
        <v>26</v>
      </c>
      <c r="AA3266" s="12" t="s">
        <v>31</v>
      </c>
    </row>
    <row r="3267" spans="1:27" x14ac:dyDescent="0.25">
      <c r="A3267" s="10">
        <v>45706</v>
      </c>
      <c r="B3267" s="11" t="s">
        <v>5927</v>
      </c>
      <c r="C3267" s="11" t="s">
        <v>5928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4465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2">
        <f>+L3267*O3267</f>
        <v>1839.4</v>
      </c>
      <c r="S3267" s="72">
        <v>0</v>
      </c>
      <c r="T3267" s="72">
        <f>+L3267*S3267</f>
        <v>0</v>
      </c>
      <c r="U3267" s="72">
        <f>+R3267-T3267</f>
        <v>1839.4</v>
      </c>
      <c r="V3267" s="72">
        <f>+U3267*0.75</f>
        <v>1379.5500000000002</v>
      </c>
      <c r="W3267" s="72">
        <f>+U3267-V3267</f>
        <v>459.84999999999991</v>
      </c>
      <c r="X3267" s="72">
        <v>0</v>
      </c>
      <c r="Y3267" s="14">
        <f t="shared" si="1177"/>
        <v>0</v>
      </c>
      <c r="Z3267" s="11" t="s">
        <v>26</v>
      </c>
      <c r="AA3267" s="12" t="s">
        <v>31</v>
      </c>
    </row>
    <row r="3268" spans="1:27" x14ac:dyDescent="0.25">
      <c r="A3268" s="10">
        <v>45706</v>
      </c>
      <c r="B3268" s="11" t="s">
        <v>5929</v>
      </c>
      <c r="C3268" s="11" t="s">
        <v>5930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4440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2">
        <f>+L3268*O3268</f>
        <v>1522.8000000000002</v>
      </c>
      <c r="S3268" s="72">
        <v>0</v>
      </c>
      <c r="T3268" s="72">
        <f>+L3268*S3268</f>
        <v>0</v>
      </c>
      <c r="U3268" s="72">
        <f t="shared" ref="U3268:U3270" si="1205">+R3268-T3268</f>
        <v>1522.8000000000002</v>
      </c>
      <c r="V3268" s="72">
        <f>+U3268*1</f>
        <v>1522.8000000000002</v>
      </c>
      <c r="W3268" s="72">
        <f t="shared" ref="W3268:W3270" si="1206">+U3268-V3268</f>
        <v>0</v>
      </c>
      <c r="X3268" s="72">
        <v>0</v>
      </c>
      <c r="Y3268" s="14">
        <f t="shared" si="1177"/>
        <v>0</v>
      </c>
      <c r="Z3268" s="11" t="s">
        <v>26</v>
      </c>
      <c r="AA3268" s="12" t="s">
        <v>31</v>
      </c>
    </row>
    <row r="3269" spans="1:27" x14ac:dyDescent="0.25">
      <c r="A3269" s="10">
        <v>45706</v>
      </c>
      <c r="B3269" s="11" t="s">
        <v>5931</v>
      </c>
      <c r="C3269" s="11" t="s">
        <v>5932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4440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2">
        <f t="shared" ref="R3269:R3270" si="1207">+L3269*O3269</f>
        <v>1659.6799999999998</v>
      </c>
      <c r="S3269" s="72">
        <v>0</v>
      </c>
      <c r="T3269" s="72">
        <f t="shared" ref="T3269" si="1208">+L3269*S3269</f>
        <v>0</v>
      </c>
      <c r="U3269" s="72">
        <f t="shared" si="1205"/>
        <v>1659.6799999999998</v>
      </c>
      <c r="V3269" s="72">
        <f>+U3269*1</f>
        <v>1659.6799999999998</v>
      </c>
      <c r="W3269" s="72">
        <f t="shared" si="1206"/>
        <v>0</v>
      </c>
      <c r="X3269" s="72">
        <v>0</v>
      </c>
      <c r="Y3269" s="14">
        <f t="shared" si="1177"/>
        <v>0</v>
      </c>
      <c r="Z3269" s="11" t="s">
        <v>26</v>
      </c>
      <c r="AA3269" s="12" t="s">
        <v>31</v>
      </c>
    </row>
    <row r="3270" spans="1:27" x14ac:dyDescent="0.25">
      <c r="A3270" s="10">
        <v>45706</v>
      </c>
      <c r="B3270" s="11" t="s">
        <v>5933</v>
      </c>
      <c r="C3270" s="11" t="s">
        <v>5934</v>
      </c>
      <c r="D3270" s="11">
        <v>17814</v>
      </c>
      <c r="E3270" s="11" t="s">
        <v>5935</v>
      </c>
      <c r="F3270" s="11" t="s">
        <v>26</v>
      </c>
      <c r="G3270" s="11">
        <v>112235</v>
      </c>
      <c r="H3270" s="12" t="s">
        <v>4463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2">
        <f t="shared" si="1207"/>
        <v>1664.88</v>
      </c>
      <c r="S3270" s="72">
        <v>0</v>
      </c>
      <c r="T3270" s="72">
        <f>+L3270*S3270</f>
        <v>0</v>
      </c>
      <c r="U3270" s="72">
        <f t="shared" si="1205"/>
        <v>1664.88</v>
      </c>
      <c r="V3270" s="72">
        <f>+U3270*1</f>
        <v>1664.88</v>
      </c>
      <c r="W3270" s="72">
        <f t="shared" si="1206"/>
        <v>0</v>
      </c>
      <c r="X3270" s="72">
        <v>0</v>
      </c>
      <c r="Y3270" s="14">
        <f t="shared" si="1177"/>
        <v>0</v>
      </c>
      <c r="Z3270" s="11" t="s">
        <v>26</v>
      </c>
      <c r="AA3270" s="12" t="s">
        <v>31</v>
      </c>
    </row>
    <row r="3271" spans="1:27" x14ac:dyDescent="0.25">
      <c r="A3271" s="10">
        <v>45706</v>
      </c>
      <c r="B3271" s="11" t="s">
        <v>5936</v>
      </c>
      <c r="C3271" s="11" t="s">
        <v>5937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4465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2">
        <f>+L3271*O3271</f>
        <v>1960.1</v>
      </c>
      <c r="S3271" s="72">
        <v>0</v>
      </c>
      <c r="T3271" s="72">
        <f>+L3271*S3271</f>
        <v>0</v>
      </c>
      <c r="U3271" s="72">
        <f>+R3271-T3271</f>
        <v>1960.1</v>
      </c>
      <c r="V3271" s="72">
        <f>+U3271*0.75</f>
        <v>1470.0749999999998</v>
      </c>
      <c r="W3271" s="72">
        <f>+U3271-V3271</f>
        <v>490.02500000000009</v>
      </c>
      <c r="X3271" s="72">
        <v>0</v>
      </c>
      <c r="Y3271" s="14">
        <f t="shared" si="1177"/>
        <v>0</v>
      </c>
      <c r="Z3271" s="11" t="s">
        <v>26</v>
      </c>
      <c r="AA3271" s="12" t="s">
        <v>31</v>
      </c>
    </row>
    <row r="3272" spans="1:27" x14ac:dyDescent="0.25">
      <c r="A3272" s="10">
        <v>45706</v>
      </c>
      <c r="B3272" s="11" t="s">
        <v>5938</v>
      </c>
      <c r="C3272" s="11" t="s">
        <v>5939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4440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2">
        <f>+L3272*O3272</f>
        <v>1604.6999999999998</v>
      </c>
      <c r="S3272" s="72">
        <v>0</v>
      </c>
      <c r="T3272" s="72">
        <f>+L3272*S3272</f>
        <v>0</v>
      </c>
      <c r="U3272" s="72">
        <f t="shared" ref="U3272:U3273" si="1209">+R3272-T3272</f>
        <v>1604.6999999999998</v>
      </c>
      <c r="V3272" s="72">
        <f>+U3272*1</f>
        <v>1604.6999999999998</v>
      </c>
      <c r="W3272" s="72">
        <f t="shared" ref="W3272:W3273" si="1210">+U3272-V3272</f>
        <v>0</v>
      </c>
      <c r="X3272" s="72">
        <v>0</v>
      </c>
      <c r="Y3272" s="14">
        <f t="shared" si="1177"/>
        <v>0</v>
      </c>
      <c r="Z3272" s="11" t="s">
        <v>26</v>
      </c>
      <c r="AA3272" s="12" t="s">
        <v>31</v>
      </c>
    </row>
    <row r="3273" spans="1:27" x14ac:dyDescent="0.25">
      <c r="A3273" s="10">
        <v>45706</v>
      </c>
      <c r="B3273" s="11" t="s">
        <v>699</v>
      </c>
      <c r="C3273" s="11" t="s">
        <v>5940</v>
      </c>
      <c r="D3273" s="11">
        <v>17818</v>
      </c>
      <c r="E3273" s="11" t="s">
        <v>5941</v>
      </c>
      <c r="F3273" s="11" t="s">
        <v>26</v>
      </c>
      <c r="G3273" s="11">
        <v>112236</v>
      </c>
      <c r="H3273" s="12" t="s">
        <v>4463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2">
        <f t="shared" ref="R3273" si="1211">+L3273*O3273</f>
        <v>1831.2</v>
      </c>
      <c r="S3273" s="72">
        <v>0</v>
      </c>
      <c r="T3273" s="72">
        <f>+L3273*S3273</f>
        <v>0</v>
      </c>
      <c r="U3273" s="72">
        <f t="shared" si="1209"/>
        <v>1831.2</v>
      </c>
      <c r="V3273" s="72">
        <f>+U3273*1</f>
        <v>1831.2</v>
      </c>
      <c r="W3273" s="72">
        <f t="shared" si="1210"/>
        <v>0</v>
      </c>
      <c r="X3273" s="72">
        <v>0</v>
      </c>
      <c r="Y3273" s="14">
        <f t="shared" si="1177"/>
        <v>0</v>
      </c>
      <c r="Z3273" s="11" t="s">
        <v>26</v>
      </c>
      <c r="AA3273" s="12" t="s">
        <v>31</v>
      </c>
    </row>
    <row r="3274" spans="1:27" x14ac:dyDescent="0.25">
      <c r="A3274" s="10">
        <v>45706</v>
      </c>
      <c r="B3274" s="11" t="s">
        <v>5942</v>
      </c>
      <c r="C3274" s="11" t="s">
        <v>5943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2">
        <f>L3274*O3274</f>
        <v>1008.5000000000001</v>
      </c>
      <c r="S3274" s="72">
        <v>0</v>
      </c>
      <c r="T3274" s="72">
        <f t="shared" ref="T3274:T3275" si="1212">L3274*S3274</f>
        <v>0</v>
      </c>
      <c r="U3274" s="72">
        <f>R3274-T3274</f>
        <v>1008.5000000000001</v>
      </c>
      <c r="V3274" s="72">
        <f>U3274*0</f>
        <v>0</v>
      </c>
      <c r="W3274" s="72">
        <f>U3274-V3274</f>
        <v>1008.5000000000001</v>
      </c>
      <c r="X3274" s="72">
        <v>0</v>
      </c>
      <c r="Y3274" s="14">
        <f t="shared" si="1177"/>
        <v>0</v>
      </c>
      <c r="Z3274" s="11" t="s">
        <v>26</v>
      </c>
      <c r="AA3274" s="12" t="s">
        <v>31</v>
      </c>
    </row>
    <row r="3275" spans="1:27" x14ac:dyDescent="0.25">
      <c r="A3275" s="10">
        <v>45706</v>
      </c>
      <c r="B3275" s="11" t="s">
        <v>1238</v>
      </c>
      <c r="C3275" s="11" t="s">
        <v>5944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2">
        <f>L3275*O3275</f>
        <v>978.99999999999989</v>
      </c>
      <c r="S3275" s="72">
        <v>0</v>
      </c>
      <c r="T3275" s="72">
        <f t="shared" si="1212"/>
        <v>0</v>
      </c>
      <c r="U3275" s="72">
        <f>R3275-T3275</f>
        <v>978.99999999999989</v>
      </c>
      <c r="V3275" s="72">
        <f>U3275*0</f>
        <v>0</v>
      </c>
      <c r="W3275" s="72">
        <f>U3275-V3275</f>
        <v>978.99999999999989</v>
      </c>
      <c r="X3275" s="72">
        <v>0</v>
      </c>
      <c r="Y3275" s="14">
        <f t="shared" si="1177"/>
        <v>0</v>
      </c>
      <c r="Z3275" s="11" t="s">
        <v>26</v>
      </c>
      <c r="AA3275" s="12" t="s">
        <v>31</v>
      </c>
    </row>
    <row r="3276" spans="1:27" x14ac:dyDescent="0.25">
      <c r="A3276" s="10">
        <v>45706</v>
      </c>
      <c r="B3276" s="11" t="s">
        <v>1213</v>
      </c>
      <c r="C3276" s="11" t="s">
        <v>5945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2">
        <f>M3276*P3276</f>
        <v>1500</v>
      </c>
      <c r="S3276" s="72">
        <v>0</v>
      </c>
      <c r="T3276" s="72">
        <f>M3276*S3276</f>
        <v>0</v>
      </c>
      <c r="U3276" s="72">
        <f t="shared" ref="U3276:U3277" si="1213">+R3276-T3276</f>
        <v>1500</v>
      </c>
      <c r="V3276" s="72">
        <f>+U3276*0</f>
        <v>0</v>
      </c>
      <c r="W3276" s="72">
        <f t="shared" ref="W3276:W3277" si="1214">+U3276-V3276</f>
        <v>1500</v>
      </c>
      <c r="X3276" s="72">
        <v>0</v>
      </c>
      <c r="Y3276" s="14">
        <f t="shared" si="1177"/>
        <v>0</v>
      </c>
      <c r="Z3276" s="11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5946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2">
        <f>(L3277*O3277)-Q3277</f>
        <v>423.00000000000006</v>
      </c>
      <c r="S3277" s="72">
        <v>0</v>
      </c>
      <c r="T3277" s="72">
        <f t="shared" ref="T3277" si="1215">+L3277*S3277</f>
        <v>0</v>
      </c>
      <c r="U3277" s="72">
        <f t="shared" si="1213"/>
        <v>423.00000000000006</v>
      </c>
      <c r="V3277" s="72">
        <f t="shared" ref="V3277:V3278" si="1216">+U3277*0</f>
        <v>0</v>
      </c>
      <c r="W3277" s="72">
        <f t="shared" si="1214"/>
        <v>423.00000000000006</v>
      </c>
      <c r="X3277" s="72">
        <v>0</v>
      </c>
      <c r="Y3277" s="14">
        <f t="shared" si="1177"/>
        <v>0</v>
      </c>
      <c r="Z3277" s="11" t="s">
        <v>26</v>
      </c>
      <c r="AA3277" s="12" t="s">
        <v>31</v>
      </c>
    </row>
    <row r="3278" spans="1:27" x14ac:dyDescent="0.25">
      <c r="A3278" s="10">
        <v>45706</v>
      </c>
      <c r="B3278" s="11" t="s">
        <v>5947</v>
      </c>
      <c r="C3278" s="11" t="s">
        <v>5948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2">
        <f>+L3278*O3278</f>
        <v>1684</v>
      </c>
      <c r="S3278" s="72">
        <v>0</v>
      </c>
      <c r="T3278" s="72">
        <f>+L3278*S3278</f>
        <v>0</v>
      </c>
      <c r="U3278" s="72">
        <f>+R3278-T3278</f>
        <v>1684</v>
      </c>
      <c r="V3278" s="72">
        <f t="shared" si="1216"/>
        <v>0</v>
      </c>
      <c r="W3278" s="72">
        <f>+U3278-V3278</f>
        <v>1684</v>
      </c>
      <c r="X3278" s="72">
        <v>0</v>
      </c>
      <c r="Y3278" s="14">
        <f t="shared" si="1177"/>
        <v>0</v>
      </c>
      <c r="Z3278" s="11" t="s">
        <v>26</v>
      </c>
      <c r="AA3278" s="12" t="s">
        <v>31</v>
      </c>
    </row>
    <row r="3279" spans="1:27" x14ac:dyDescent="0.25">
      <c r="A3279" s="10">
        <v>45706</v>
      </c>
      <c r="B3279" s="11" t="s">
        <v>1487</v>
      </c>
      <c r="C3279" s="11" t="s">
        <v>5949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2">
        <f>+M3279*P3279</f>
        <v>1500</v>
      </c>
      <c r="S3279" s="72">
        <v>0</v>
      </c>
      <c r="T3279" s="72">
        <f>+M3279*S3279</f>
        <v>0</v>
      </c>
      <c r="U3279" s="72">
        <f t="shared" ref="U3279" si="1217">+R3279-T3279</f>
        <v>1500</v>
      </c>
      <c r="V3279" s="72">
        <f>+U3279*0</f>
        <v>0</v>
      </c>
      <c r="W3279" s="72">
        <f t="shared" ref="W3279" si="1218">+U3279-V3279</f>
        <v>1500</v>
      </c>
      <c r="X3279" s="72">
        <v>0</v>
      </c>
      <c r="Y3279" s="14">
        <f t="shared" si="1177"/>
        <v>0</v>
      </c>
      <c r="Z3279" s="11" t="s">
        <v>26</v>
      </c>
      <c r="AA3279" s="12" t="s">
        <v>31</v>
      </c>
    </row>
    <row r="3280" spans="1:27" x14ac:dyDescent="0.25">
      <c r="A3280" s="10">
        <v>45706</v>
      </c>
      <c r="B3280" s="11" t="s">
        <v>5950</v>
      </c>
      <c r="C3280" s="11" t="s">
        <v>5951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35</v>
      </c>
      <c r="P3280" s="13"/>
      <c r="Q3280" s="13">
        <v>0</v>
      </c>
      <c r="R3280" s="72">
        <f>+L3280*O3280</f>
        <v>1572.8999999999999</v>
      </c>
      <c r="S3280" s="72">
        <v>0</v>
      </c>
      <c r="T3280" s="72">
        <f>+L3280*S3280</f>
        <v>0</v>
      </c>
      <c r="U3280" s="72">
        <f>+R3280-T3280</f>
        <v>1572.8999999999999</v>
      </c>
      <c r="V3280" s="72">
        <f t="shared" ref="V3280" si="1219">+U3280*0</f>
        <v>0</v>
      </c>
      <c r="W3280" s="72">
        <f>+U3280-V3280</f>
        <v>1572.8999999999999</v>
      </c>
      <c r="X3280" s="72">
        <v>0</v>
      </c>
      <c r="Y3280" s="14">
        <f t="shared" si="1177"/>
        <v>0</v>
      </c>
      <c r="Z3280" s="11" t="s">
        <v>26</v>
      </c>
      <c r="AA3280" s="12" t="s">
        <v>31</v>
      </c>
    </row>
    <row r="3281" spans="1:27" x14ac:dyDescent="0.25">
      <c r="A3281" s="10">
        <v>45706</v>
      </c>
      <c r="B3281" s="11" t="s">
        <v>5952</v>
      </c>
      <c r="C3281" s="11" t="s">
        <v>5953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2">
        <f>(L3281*O3281)-Q3281</f>
        <v>418.50000000000006</v>
      </c>
      <c r="S3281" s="72">
        <v>0</v>
      </c>
      <c r="T3281" s="72">
        <f t="shared" ref="T3281" si="1220">+L3281*S3281</f>
        <v>0</v>
      </c>
      <c r="U3281" s="72">
        <f t="shared" ref="U3281" si="1221">+R3281-T3281</f>
        <v>418.50000000000006</v>
      </c>
      <c r="V3281" s="72">
        <f>+U3281*0</f>
        <v>0</v>
      </c>
      <c r="W3281" s="72">
        <f t="shared" ref="W3281" si="1222">+U3281-V3281</f>
        <v>418.50000000000006</v>
      </c>
      <c r="X3281" s="72">
        <v>0</v>
      </c>
      <c r="Y3281" s="14">
        <f t="shared" si="1177"/>
        <v>0</v>
      </c>
      <c r="Z3281" s="11" t="s">
        <v>26</v>
      </c>
      <c r="AA3281" s="12" t="s">
        <v>31</v>
      </c>
    </row>
    <row r="3282" spans="1:27" x14ac:dyDescent="0.25">
      <c r="A3282" s="10">
        <v>45706</v>
      </c>
      <c r="B3282" s="11" t="s">
        <v>419</v>
      </c>
      <c r="C3282" s="11" t="s">
        <v>5954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4463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2">
        <f t="shared" ref="R3282:R3283" si="1223">+L3282*O3282</f>
        <v>1517.12</v>
      </c>
      <c r="S3282" s="72">
        <v>0</v>
      </c>
      <c r="T3282" s="72">
        <f>+L3282*S3282</f>
        <v>0</v>
      </c>
      <c r="U3282" s="72">
        <f>+R3282-T3282</f>
        <v>1517.12</v>
      </c>
      <c r="V3282" s="72">
        <f>+U3282*1</f>
        <v>1517.12</v>
      </c>
      <c r="W3282" s="72">
        <f>+U3282-V3282</f>
        <v>0</v>
      </c>
      <c r="X3282" s="72">
        <v>0</v>
      </c>
      <c r="Y3282" s="14">
        <f t="shared" si="1177"/>
        <v>0</v>
      </c>
      <c r="Z3282" s="11" t="s">
        <v>26</v>
      </c>
      <c r="AA3282" s="12" t="s">
        <v>31</v>
      </c>
    </row>
    <row r="3283" spans="1:27" x14ac:dyDescent="0.25">
      <c r="A3283" s="10">
        <v>45706</v>
      </c>
      <c r="B3283" s="11" t="s">
        <v>1681</v>
      </c>
      <c r="C3283" s="11" t="s">
        <v>5955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4463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2">
        <f t="shared" si="1223"/>
        <v>1659.8400000000001</v>
      </c>
      <c r="S3283" s="72">
        <v>0</v>
      </c>
      <c r="T3283" s="72">
        <f>+L3283*S3283</f>
        <v>0</v>
      </c>
      <c r="U3283" s="72">
        <f t="shared" ref="U3283:U3284" si="1224">+R3283-T3283</f>
        <v>1659.8400000000001</v>
      </c>
      <c r="V3283" s="72">
        <f>+U3283*1</f>
        <v>1659.8400000000001</v>
      </c>
      <c r="W3283" s="72">
        <f t="shared" ref="W3283:W3284" si="1225">+U3283-V3283</f>
        <v>0</v>
      </c>
      <c r="X3283" s="72">
        <v>0</v>
      </c>
      <c r="Y3283" s="14">
        <f t="shared" si="1177"/>
        <v>0</v>
      </c>
      <c r="Z3283" s="11" t="s">
        <v>26</v>
      </c>
      <c r="AA3283" s="12" t="s">
        <v>31</v>
      </c>
    </row>
    <row r="3284" spans="1:27" x14ac:dyDescent="0.25">
      <c r="A3284" s="10">
        <v>45706</v>
      </c>
      <c r="B3284" s="11" t="s">
        <v>5956</v>
      </c>
      <c r="C3284" s="11" t="s">
        <v>5957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2">
        <f>+M3284*P3284</f>
        <v>1600</v>
      </c>
      <c r="S3284" s="72">
        <v>0</v>
      </c>
      <c r="T3284" s="72">
        <f>+M3284*S3284</f>
        <v>0</v>
      </c>
      <c r="U3284" s="72">
        <f t="shared" si="1224"/>
        <v>1600</v>
      </c>
      <c r="V3284" s="72">
        <f t="shared" ref="V3284" si="1226">+U3284*0</f>
        <v>0</v>
      </c>
      <c r="W3284" s="72">
        <f t="shared" si="1225"/>
        <v>1600</v>
      </c>
      <c r="X3284" s="72">
        <v>0</v>
      </c>
      <c r="Y3284" s="14">
        <f t="shared" si="1177"/>
        <v>0</v>
      </c>
      <c r="Z3284" s="11" t="s">
        <v>26</v>
      </c>
      <c r="AA3284" s="12" t="s">
        <v>31</v>
      </c>
    </row>
    <row r="3285" spans="1:27" x14ac:dyDescent="0.25">
      <c r="A3285" s="10">
        <v>45706</v>
      </c>
      <c r="B3285" s="11" t="s">
        <v>1620</v>
      </c>
      <c r="C3285" s="11" t="s">
        <v>5958</v>
      </c>
      <c r="D3285" s="11">
        <v>17830</v>
      </c>
      <c r="E3285" s="11" t="s">
        <v>5918</v>
      </c>
      <c r="F3285" s="11" t="s">
        <v>26</v>
      </c>
      <c r="G3285" s="11">
        <v>112888</v>
      </c>
      <c r="H3285" s="12" t="s">
        <v>4463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2">
        <f t="shared" ref="R3285:R3286" si="1227">+L3285*O3285</f>
        <v>1767.92</v>
      </c>
      <c r="S3285" s="72">
        <v>0</v>
      </c>
      <c r="T3285" s="72">
        <f>+L3285*S3285</f>
        <v>0</v>
      </c>
      <c r="U3285" s="72">
        <f>+R3285-T3285</f>
        <v>1767.92</v>
      </c>
      <c r="V3285" s="72">
        <f>+U3285*1</f>
        <v>1767.92</v>
      </c>
      <c r="W3285" s="72">
        <f>+U3285-V3285</f>
        <v>0</v>
      </c>
      <c r="X3285" s="72">
        <v>0</v>
      </c>
      <c r="Y3285" s="14">
        <f t="shared" si="1177"/>
        <v>0</v>
      </c>
      <c r="Z3285" s="11" t="s">
        <v>26</v>
      </c>
      <c r="AA3285" s="12" t="s">
        <v>31</v>
      </c>
    </row>
    <row r="3286" spans="1:27" x14ac:dyDescent="0.25">
      <c r="A3286" s="10">
        <v>45706</v>
      </c>
      <c r="B3286" s="11" t="s">
        <v>5959</v>
      </c>
      <c r="C3286" s="11" t="s">
        <v>5960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4463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2">
        <f t="shared" si="1227"/>
        <v>1594.5600000000002</v>
      </c>
      <c r="S3286" s="72">
        <v>0</v>
      </c>
      <c r="T3286" s="72">
        <f>+L3286*S3286</f>
        <v>0</v>
      </c>
      <c r="U3286" s="72">
        <f>+R3286-T3286</f>
        <v>1594.5600000000002</v>
      </c>
      <c r="V3286" s="72">
        <f>+U3286*1</f>
        <v>1594.5600000000002</v>
      </c>
      <c r="W3286" s="72">
        <f>+U3286-V3286</f>
        <v>0</v>
      </c>
      <c r="X3286" s="72">
        <v>0</v>
      </c>
      <c r="Y3286" s="14">
        <f t="shared" si="1177"/>
        <v>0</v>
      </c>
      <c r="Z3286" s="11" t="s">
        <v>26</v>
      </c>
      <c r="AA3286" s="12" t="s">
        <v>31</v>
      </c>
    </row>
    <row r="3287" spans="1:27" x14ac:dyDescent="0.25">
      <c r="A3287" s="10">
        <v>45706</v>
      </c>
      <c r="B3287" s="11" t="s">
        <v>1730</v>
      </c>
      <c r="C3287" s="11" t="s">
        <v>5961</v>
      </c>
      <c r="D3287" s="11">
        <v>17832</v>
      </c>
      <c r="E3287" s="11" t="s">
        <v>1217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2">
        <f>M3287*P3287</f>
        <v>1500</v>
      </c>
      <c r="S3287" s="72">
        <v>0</v>
      </c>
      <c r="T3287" s="72">
        <f>M3287*S3287</f>
        <v>0</v>
      </c>
      <c r="U3287" s="72">
        <f>R3287-T3287</f>
        <v>1500</v>
      </c>
      <c r="V3287" s="72">
        <f>U3287*0</f>
        <v>0</v>
      </c>
      <c r="W3287" s="72">
        <f>U3287-V3287</f>
        <v>1500</v>
      </c>
      <c r="X3287" s="72">
        <v>0</v>
      </c>
      <c r="Y3287" s="14">
        <f t="shared" si="1177"/>
        <v>0</v>
      </c>
      <c r="Z3287" s="11" t="s">
        <v>26</v>
      </c>
      <c r="AA3287" s="12" t="s">
        <v>31</v>
      </c>
    </row>
    <row r="3288" spans="1:27" x14ac:dyDescent="0.25">
      <c r="A3288" s="10">
        <v>45707</v>
      </c>
      <c r="B3288" s="11" t="s">
        <v>5962</v>
      </c>
      <c r="C3288" s="11" t="s">
        <v>5963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4440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2">
        <f t="shared" ref="R3288:R3290" si="1228">+L3288*O3288</f>
        <v>1652.3200000000002</v>
      </c>
      <c r="S3288" s="72">
        <v>0</v>
      </c>
      <c r="T3288" s="72">
        <f t="shared" ref="T3288" si="1229">+L3288*S3288</f>
        <v>0</v>
      </c>
      <c r="U3288" s="72">
        <f t="shared" ref="U3288" si="1230">+R3288-T3288</f>
        <v>1652.3200000000002</v>
      </c>
      <c r="V3288" s="72">
        <f>+U3288*1</f>
        <v>1652.3200000000002</v>
      </c>
      <c r="W3288" s="72">
        <f t="shared" ref="W3288" si="1231">+U3288-V3288</f>
        <v>0</v>
      </c>
      <c r="X3288" s="72">
        <v>0</v>
      </c>
      <c r="Y3288" s="14">
        <f t="shared" si="1177"/>
        <v>0</v>
      </c>
      <c r="Z3288" s="11" t="s">
        <v>26</v>
      </c>
      <c r="AA3288" s="12" t="s">
        <v>31</v>
      </c>
    </row>
    <row r="3289" spans="1:27" x14ac:dyDescent="0.25">
      <c r="A3289" s="10">
        <v>45707</v>
      </c>
      <c r="B3289" s="11" t="s">
        <v>2022</v>
      </c>
      <c r="C3289" s="11" t="s">
        <v>5964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4463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2">
        <f t="shared" si="1228"/>
        <v>1591.92</v>
      </c>
      <c r="S3289" s="72">
        <v>0</v>
      </c>
      <c r="T3289" s="72">
        <f>+L3289*S3289</f>
        <v>0</v>
      </c>
      <c r="U3289" s="72">
        <f>+R3289-T3289</f>
        <v>1591.92</v>
      </c>
      <c r="V3289" s="72">
        <f>+U3289*1</f>
        <v>1591.92</v>
      </c>
      <c r="W3289" s="72">
        <f>+U3289-V3289</f>
        <v>0</v>
      </c>
      <c r="X3289" s="72">
        <v>0</v>
      </c>
      <c r="Y3289" s="14">
        <f t="shared" si="1177"/>
        <v>0</v>
      </c>
      <c r="Z3289" s="11" t="s">
        <v>26</v>
      </c>
      <c r="AA3289" s="12" t="s">
        <v>31</v>
      </c>
    </row>
    <row r="3290" spans="1:27" x14ac:dyDescent="0.25">
      <c r="A3290" s="10">
        <v>45707</v>
      </c>
      <c r="B3290" s="11" t="s">
        <v>720</v>
      </c>
      <c r="C3290" s="11" t="s">
        <v>5965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4440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2">
        <f t="shared" si="1228"/>
        <v>1615.52</v>
      </c>
      <c r="S3290" s="72">
        <v>0</v>
      </c>
      <c r="T3290" s="72">
        <f t="shared" ref="T3290" si="1233">+L3290*S3290</f>
        <v>0</v>
      </c>
      <c r="U3290" s="72">
        <f t="shared" ref="U3290" si="1234">+R3290-T3290</f>
        <v>1615.52</v>
      </c>
      <c r="V3290" s="72">
        <f>+U3290*1</f>
        <v>1615.52</v>
      </c>
      <c r="W3290" s="72">
        <f t="shared" ref="W3290" si="1235">+U3290-V3290</f>
        <v>0</v>
      </c>
      <c r="X3290" s="72">
        <v>0</v>
      </c>
      <c r="Y3290" s="14">
        <f t="shared" si="1177"/>
        <v>0</v>
      </c>
      <c r="Z3290" s="11" t="s">
        <v>26</v>
      </c>
      <c r="AA3290" s="12" t="s">
        <v>31</v>
      </c>
    </row>
    <row r="3291" spans="1:27" x14ac:dyDescent="0.25">
      <c r="A3291" s="10">
        <v>45707</v>
      </c>
      <c r="B3291" s="11" t="s">
        <v>5966</v>
      </c>
      <c r="C3291" s="11" t="s">
        <v>5967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2">
        <f>M3291*P3291</f>
        <v>1550</v>
      </c>
      <c r="S3291" s="72">
        <v>0</v>
      </c>
      <c r="T3291" s="72">
        <f>M3291*S3291</f>
        <v>0</v>
      </c>
      <c r="U3291" s="72">
        <f>R3291-T3291</f>
        <v>1550</v>
      </c>
      <c r="V3291" s="72">
        <f>U3291*0</f>
        <v>0</v>
      </c>
      <c r="W3291" s="72">
        <f>U3291-V3291</f>
        <v>1550</v>
      </c>
      <c r="X3291" s="72">
        <v>0</v>
      </c>
      <c r="Y3291" s="14">
        <f t="shared" si="1177"/>
        <v>0</v>
      </c>
      <c r="Z3291" s="11" t="s">
        <v>26</v>
      </c>
      <c r="AA3291" s="12" t="s">
        <v>31</v>
      </c>
    </row>
    <row r="3292" spans="1:27" x14ac:dyDescent="0.25">
      <c r="A3292" s="10">
        <v>45707</v>
      </c>
      <c r="B3292" s="11" t="s">
        <v>5968</v>
      </c>
      <c r="C3292" s="11" t="s">
        <v>5969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4465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2">
        <f>+L3292*O3292</f>
        <v>1757.2155999999998</v>
      </c>
      <c r="S3292" s="72">
        <v>0</v>
      </c>
      <c r="T3292" s="72">
        <f>+L3292*S3292</f>
        <v>0</v>
      </c>
      <c r="U3292" s="72">
        <f>+R3292-T3292</f>
        <v>1757.2155999999998</v>
      </c>
      <c r="V3292" s="72">
        <f>+U3292*0.75</f>
        <v>1317.9116999999999</v>
      </c>
      <c r="W3292" s="72">
        <f>+U3292-V3292</f>
        <v>439.30389999999989</v>
      </c>
      <c r="X3292" s="72">
        <v>0</v>
      </c>
      <c r="Y3292" s="14">
        <f t="shared" si="1177"/>
        <v>0</v>
      </c>
      <c r="Z3292" s="11" t="s">
        <v>26</v>
      </c>
      <c r="AA3292" s="12" t="s">
        <v>31</v>
      </c>
    </row>
    <row r="3293" spans="1:27" x14ac:dyDescent="0.25">
      <c r="A3293" s="10">
        <v>45707</v>
      </c>
      <c r="B3293" s="11" t="s">
        <v>3349</v>
      </c>
      <c r="C3293" s="11" t="s">
        <v>5970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2">
        <f>L3293*O3293</f>
        <v>1522.4</v>
      </c>
      <c r="S3293" s="72">
        <v>0</v>
      </c>
      <c r="T3293" s="72">
        <f>L3293*S3293</f>
        <v>0</v>
      </c>
      <c r="U3293" s="72">
        <f>R3293-T3293</f>
        <v>1522.4</v>
      </c>
      <c r="V3293" s="72">
        <f>U3293*0</f>
        <v>0</v>
      </c>
      <c r="W3293" s="72">
        <f>U3293-V3293</f>
        <v>1522.4</v>
      </c>
      <c r="X3293" s="72">
        <v>0</v>
      </c>
      <c r="Y3293" s="14">
        <f t="shared" si="1177"/>
        <v>0</v>
      </c>
      <c r="Z3293" s="11" t="s">
        <v>26</v>
      </c>
      <c r="AA3293" s="12" t="s">
        <v>31</v>
      </c>
    </row>
    <row r="3294" spans="1:27" x14ac:dyDescent="0.25">
      <c r="A3294" s="10">
        <v>45707</v>
      </c>
      <c r="B3294" s="11" t="s">
        <v>3821</v>
      </c>
      <c r="C3294" s="11" t="s">
        <v>5971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4439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2">
        <f>L3294*O3294</f>
        <v>3658.64</v>
      </c>
      <c r="S3294" s="72">
        <v>38</v>
      </c>
      <c r="T3294" s="72">
        <f>L3294*S3294</f>
        <v>1675.04</v>
      </c>
      <c r="U3294" s="72">
        <f>R3294-T3294</f>
        <v>1983.6</v>
      </c>
      <c r="V3294" s="72">
        <f>U3294*1</f>
        <v>1983.6</v>
      </c>
      <c r="W3294" s="72">
        <f>U3294-V3294</f>
        <v>0</v>
      </c>
      <c r="X3294" s="72">
        <f>L3294*36</f>
        <v>1586.8799999999999</v>
      </c>
      <c r="Y3294" s="73">
        <f>+T3294-X3294</f>
        <v>88.160000000000082</v>
      </c>
      <c r="Z3294" s="12" t="s">
        <v>141</v>
      </c>
      <c r="AA3294" s="12" t="s">
        <v>78</v>
      </c>
    </row>
    <row r="3295" spans="1:27" x14ac:dyDescent="0.25">
      <c r="A3295" s="10">
        <v>45707</v>
      </c>
      <c r="B3295" s="11" t="s">
        <v>5972</v>
      </c>
      <c r="C3295" s="11" t="s">
        <v>5973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4439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2">
        <f t="shared" ref="R3295:R3296" si="1236">L3295*O3295</f>
        <v>3593.8</v>
      </c>
      <c r="S3295" s="72">
        <v>38</v>
      </c>
      <c r="T3295" s="72">
        <f t="shared" ref="T3295:T3296" si="1237">L3295*S3295</f>
        <v>1606.64</v>
      </c>
      <c r="U3295" s="72">
        <f t="shared" ref="U3295:U3296" si="1238">R3295-T3295</f>
        <v>1987.16</v>
      </c>
      <c r="V3295" s="72">
        <f>U3295*1</f>
        <v>1987.16</v>
      </c>
      <c r="W3295" s="72">
        <f t="shared" ref="W3295:W3296" si="1239">U3295-V3295</f>
        <v>0</v>
      </c>
      <c r="X3295" s="72">
        <f>L3295*36</f>
        <v>1522.08</v>
      </c>
      <c r="Y3295" s="73">
        <f>+T3295-X3295</f>
        <v>84.560000000000173</v>
      </c>
      <c r="Z3295" s="12" t="s">
        <v>141</v>
      </c>
      <c r="AA3295" s="12" t="s">
        <v>78</v>
      </c>
    </row>
    <row r="3296" spans="1:27" x14ac:dyDescent="0.25">
      <c r="A3296" s="10">
        <v>45707</v>
      </c>
      <c r="B3296" s="11" t="s">
        <v>5974</v>
      </c>
      <c r="C3296" s="11" t="s">
        <v>5975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4439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2">
        <f t="shared" si="1236"/>
        <v>3333.84</v>
      </c>
      <c r="S3296" s="72">
        <v>38</v>
      </c>
      <c r="T3296" s="72">
        <f t="shared" si="1237"/>
        <v>1456.16</v>
      </c>
      <c r="U3296" s="72">
        <f t="shared" si="1238"/>
        <v>1877.68</v>
      </c>
      <c r="V3296" s="72">
        <f>U3296*1</f>
        <v>1877.68</v>
      </c>
      <c r="W3296" s="72">
        <f t="shared" si="1239"/>
        <v>0</v>
      </c>
      <c r="X3296" s="72">
        <f>L3296*36</f>
        <v>1379.52</v>
      </c>
      <c r="Y3296" s="73">
        <f>+T3296-X3296</f>
        <v>76.6400000000001</v>
      </c>
      <c r="Z3296" s="12" t="s">
        <v>141</v>
      </c>
      <c r="AA3296" s="12" t="s">
        <v>78</v>
      </c>
    </row>
    <row r="3297" spans="1:27" x14ac:dyDescent="0.25">
      <c r="A3297" s="10">
        <v>45707</v>
      </c>
      <c r="B3297" s="11" t="s">
        <v>5976</v>
      </c>
      <c r="C3297" s="11" t="s">
        <v>5977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4465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2">
        <f>+L3297*O3297</f>
        <v>1857.2500000000002</v>
      </c>
      <c r="S3297" s="72">
        <v>0</v>
      </c>
      <c r="T3297" s="72">
        <f>+L3297*S3297</f>
        <v>0</v>
      </c>
      <c r="U3297" s="72">
        <f>+R3297-T3297</f>
        <v>1857.2500000000002</v>
      </c>
      <c r="V3297" s="72">
        <f>+U3297*0.75</f>
        <v>1392.9375000000002</v>
      </c>
      <c r="W3297" s="72">
        <f>+U3297-V3297</f>
        <v>464.3125</v>
      </c>
      <c r="X3297" s="72">
        <v>0</v>
      </c>
      <c r="Y3297" s="14">
        <f t="shared" ref="Y3297" si="1240">T3297-X3297</f>
        <v>0</v>
      </c>
      <c r="Z3297" s="11" t="s">
        <v>26</v>
      </c>
      <c r="AA3297" s="12" t="s">
        <v>31</v>
      </c>
    </row>
    <row r="3298" spans="1:27" x14ac:dyDescent="0.25">
      <c r="A3298" s="10">
        <v>45707</v>
      </c>
      <c r="B3298" s="11" t="s">
        <v>1456</v>
      </c>
      <c r="C3298" s="11" t="s">
        <v>5978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4439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2">
        <f>L3298*O3298</f>
        <v>3730.02</v>
      </c>
      <c r="S3298" s="72">
        <v>38</v>
      </c>
      <c r="T3298" s="72">
        <f>L3298*S3298</f>
        <v>1707.7199999999998</v>
      </c>
      <c r="U3298" s="72">
        <f>R3298-T3298</f>
        <v>2022.3000000000002</v>
      </c>
      <c r="V3298" s="72">
        <f>U3298*1</f>
        <v>2022.3000000000002</v>
      </c>
      <c r="W3298" s="72">
        <f>U3298-V3298</f>
        <v>0</v>
      </c>
      <c r="X3298" s="72">
        <f>L3298*36</f>
        <v>1617.84</v>
      </c>
      <c r="Y3298" s="73">
        <f>+T3298-X3298</f>
        <v>89.879999999999882</v>
      </c>
      <c r="Z3298" s="12" t="s">
        <v>141</v>
      </c>
      <c r="AA3298" s="12" t="s">
        <v>78</v>
      </c>
    </row>
    <row r="3299" spans="1:27" x14ac:dyDescent="0.25">
      <c r="A3299" s="10">
        <v>45707</v>
      </c>
      <c r="B3299" s="11" t="s">
        <v>2633</v>
      </c>
      <c r="C3299" s="11" t="s">
        <v>5979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4439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2">
        <f t="shared" ref="R3299" si="1241">L3299*O3299</f>
        <v>3770.6</v>
      </c>
      <c r="S3299" s="72">
        <v>38</v>
      </c>
      <c r="T3299" s="72">
        <f t="shared" ref="T3299" si="1242">L3299*S3299</f>
        <v>1685.68</v>
      </c>
      <c r="U3299" s="72">
        <f t="shared" ref="U3299" si="1243">R3299-T3299</f>
        <v>2084.92</v>
      </c>
      <c r="V3299" s="72">
        <f>U3299*1</f>
        <v>2084.92</v>
      </c>
      <c r="W3299" s="72">
        <f t="shared" ref="W3299" si="1244">U3299-V3299</f>
        <v>0</v>
      </c>
      <c r="X3299" s="72">
        <f>L3299*37</f>
        <v>1641.32</v>
      </c>
      <c r="Y3299" s="73">
        <f>+T3299-X3299</f>
        <v>44.360000000000127</v>
      </c>
      <c r="Z3299" s="12" t="s">
        <v>41</v>
      </c>
      <c r="AA3299" s="12" t="s">
        <v>78</v>
      </c>
    </row>
    <row r="3300" spans="1:27" x14ac:dyDescent="0.25">
      <c r="A3300" s="10">
        <v>45707</v>
      </c>
      <c r="B3300" s="11" t="s">
        <v>5980</v>
      </c>
      <c r="C3300" s="11" t="s">
        <v>5981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2">
        <f>(L3300*O3300)-Q3300</f>
        <v>681.59999999999991</v>
      </c>
      <c r="S3300" s="72">
        <v>0</v>
      </c>
      <c r="T3300" s="72">
        <f t="shared" ref="T3300" si="1245">+L3300*S3300</f>
        <v>0</v>
      </c>
      <c r="U3300" s="72">
        <f t="shared" ref="U3300" si="1246">+R3300-T3300</f>
        <v>681.59999999999991</v>
      </c>
      <c r="V3300" s="72">
        <f t="shared" ref="V3300" si="1247">+U3300*0</f>
        <v>0</v>
      </c>
      <c r="W3300" s="72">
        <f t="shared" ref="W3300" si="1248">+U3300-V3300</f>
        <v>681.59999999999991</v>
      </c>
      <c r="X3300" s="72">
        <v>0</v>
      </c>
      <c r="Y3300" s="14">
        <f t="shared" ref="Y3300:Y3306" si="1249">T3300-X3300</f>
        <v>0</v>
      </c>
      <c r="Z3300" s="11" t="s">
        <v>26</v>
      </c>
      <c r="AA3300" s="12" t="s">
        <v>31</v>
      </c>
    </row>
    <row r="3301" spans="1:27" x14ac:dyDescent="0.25">
      <c r="A3301" s="10">
        <v>45707</v>
      </c>
      <c r="B3301" s="11" t="s">
        <v>609</v>
      </c>
      <c r="C3301" s="11" t="s">
        <v>5982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2">
        <f>L3301*O3301</f>
        <v>989</v>
      </c>
      <c r="S3301" s="72">
        <v>0</v>
      </c>
      <c r="T3301" s="72">
        <f t="shared" ref="T3301" si="1250">L3301*S3301</f>
        <v>0</v>
      </c>
      <c r="U3301" s="72">
        <f>R3301-T3301</f>
        <v>989</v>
      </c>
      <c r="V3301" s="72">
        <f>U3301*0</f>
        <v>0</v>
      </c>
      <c r="W3301" s="72">
        <f>U3301-V3301</f>
        <v>989</v>
      </c>
      <c r="X3301" s="72">
        <v>0</v>
      </c>
      <c r="Y3301" s="14">
        <f t="shared" si="1249"/>
        <v>0</v>
      </c>
      <c r="Z3301" s="11" t="s">
        <v>26</v>
      </c>
      <c r="AA3301" s="12" t="s">
        <v>31</v>
      </c>
    </row>
    <row r="3302" spans="1:27" x14ac:dyDescent="0.25">
      <c r="A3302" s="10">
        <v>45707</v>
      </c>
      <c r="B3302" s="11" t="s">
        <v>5983</v>
      </c>
      <c r="C3302" s="11" t="s">
        <v>5984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2">
        <f>(L3302*O3302)-Q3302</f>
        <v>584</v>
      </c>
      <c r="S3302" s="72">
        <v>0</v>
      </c>
      <c r="T3302" s="72">
        <f t="shared" ref="T3302:T3303" si="1251">+L3302*S3302</f>
        <v>0</v>
      </c>
      <c r="U3302" s="72">
        <f t="shared" ref="U3302:U3303" si="1252">+R3302-T3302</f>
        <v>584</v>
      </c>
      <c r="V3302" s="72">
        <f t="shared" ref="V3302:V3304" si="1253">+U3302*0</f>
        <v>0</v>
      </c>
      <c r="W3302" s="72">
        <f t="shared" ref="W3302:W3303" si="1254">+U3302-V3302</f>
        <v>584</v>
      </c>
      <c r="X3302" s="72">
        <v>0</v>
      </c>
      <c r="Y3302" s="14">
        <f t="shared" si="1249"/>
        <v>0</v>
      </c>
      <c r="Z3302" s="11" t="s">
        <v>26</v>
      </c>
      <c r="AA3302" s="12" t="s">
        <v>31</v>
      </c>
    </row>
    <row r="3303" spans="1:27" x14ac:dyDescent="0.25">
      <c r="A3303" s="10">
        <v>45707</v>
      </c>
      <c r="B3303" s="11" t="s">
        <v>5985</v>
      </c>
      <c r="C3303" s="11" t="s">
        <v>5986</v>
      </c>
      <c r="D3303" s="11">
        <v>17848</v>
      </c>
      <c r="E3303" s="11" t="s">
        <v>4562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2">
        <f>(L3303*O3303)-Q3303</f>
        <v>625.20000000000005</v>
      </c>
      <c r="S3303" s="72">
        <v>0</v>
      </c>
      <c r="T3303" s="72">
        <f t="shared" si="1251"/>
        <v>0</v>
      </c>
      <c r="U3303" s="72">
        <f t="shared" si="1252"/>
        <v>625.20000000000005</v>
      </c>
      <c r="V3303" s="72">
        <f t="shared" si="1253"/>
        <v>0</v>
      </c>
      <c r="W3303" s="72">
        <f t="shared" si="1254"/>
        <v>625.20000000000005</v>
      </c>
      <c r="X3303" s="72">
        <v>0</v>
      </c>
      <c r="Y3303" s="14">
        <f t="shared" si="1249"/>
        <v>0</v>
      </c>
      <c r="Z3303" s="11" t="s">
        <v>26</v>
      </c>
      <c r="AA3303" s="12" t="s">
        <v>31</v>
      </c>
    </row>
    <row r="3304" spans="1:27" x14ac:dyDescent="0.25">
      <c r="A3304" s="10">
        <v>45707</v>
      </c>
      <c r="B3304" s="11" t="s">
        <v>5987</v>
      </c>
      <c r="C3304" s="11" t="s">
        <v>5988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2">
        <f>M3304*P3304</f>
        <v>1408</v>
      </c>
      <c r="S3304" s="72">
        <v>0</v>
      </c>
      <c r="T3304" s="72">
        <f>M3304*S3304</f>
        <v>0</v>
      </c>
      <c r="U3304" s="72">
        <f>+R3304-T3304</f>
        <v>1408</v>
      </c>
      <c r="V3304" s="72">
        <f t="shared" si="1253"/>
        <v>0</v>
      </c>
      <c r="W3304" s="72">
        <f>+U3304-V3304</f>
        <v>1408</v>
      </c>
      <c r="X3304" s="72">
        <v>0</v>
      </c>
      <c r="Y3304" s="14">
        <f t="shared" si="1249"/>
        <v>0</v>
      </c>
      <c r="Z3304" s="11" t="s">
        <v>26</v>
      </c>
      <c r="AA3304" s="12" t="s">
        <v>31</v>
      </c>
    </row>
    <row r="3305" spans="1:27" x14ac:dyDescent="0.25">
      <c r="A3305" s="10">
        <v>45707</v>
      </c>
      <c r="B3305" s="11" t="s">
        <v>273</v>
      </c>
      <c r="C3305" s="11" t="s">
        <v>5989</v>
      </c>
      <c r="D3305" s="11">
        <v>17850</v>
      </c>
      <c r="E3305" s="11" t="s">
        <v>1217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2">
        <f>L3305*O3305</f>
        <v>1012.5</v>
      </c>
      <c r="S3305" s="72">
        <v>0</v>
      </c>
      <c r="T3305" s="72">
        <f>L3305*S3305</f>
        <v>0</v>
      </c>
      <c r="U3305" s="72">
        <f>R3305-T3305</f>
        <v>1012.5</v>
      </c>
      <c r="V3305" s="72">
        <f>U3305*0</f>
        <v>0</v>
      </c>
      <c r="W3305" s="72">
        <f>U3305-V3305</f>
        <v>1012.5</v>
      </c>
      <c r="X3305" s="72">
        <v>0</v>
      </c>
      <c r="Y3305" s="14">
        <f t="shared" si="1249"/>
        <v>0</v>
      </c>
      <c r="Z3305" s="11" t="s">
        <v>26</v>
      </c>
      <c r="AA3305" s="12" t="s">
        <v>31</v>
      </c>
    </row>
    <row r="3306" spans="1:27" x14ac:dyDescent="0.25">
      <c r="A3306" s="10">
        <v>45707</v>
      </c>
      <c r="B3306" s="11" t="s">
        <v>5834</v>
      </c>
      <c r="C3306" s="11" t="s">
        <v>5990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2">
        <f>M3306*P3306</f>
        <v>1600</v>
      </c>
      <c r="S3306" s="72">
        <v>0</v>
      </c>
      <c r="T3306" s="72">
        <f>M3306*S3306</f>
        <v>0</v>
      </c>
      <c r="U3306" s="72">
        <f>+R3306-T3306</f>
        <v>1600</v>
      </c>
      <c r="V3306" s="72">
        <f t="shared" ref="V3306" si="1255">+U3306*0</f>
        <v>0</v>
      </c>
      <c r="W3306" s="72">
        <f>+U3306-V3306</f>
        <v>1600</v>
      </c>
      <c r="X3306" s="72">
        <v>0</v>
      </c>
      <c r="Y3306" s="14">
        <f t="shared" si="1249"/>
        <v>0</v>
      </c>
      <c r="Z3306" s="11" t="s">
        <v>26</v>
      </c>
      <c r="AA3306" s="12" t="s">
        <v>31</v>
      </c>
    </row>
    <row r="3307" spans="1:27" x14ac:dyDescent="0.25">
      <c r="A3307" s="10">
        <v>45707</v>
      </c>
      <c r="B3307" s="11" t="s">
        <v>5991</v>
      </c>
      <c r="C3307" s="11" t="s">
        <v>5992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2">
        <f>+L3307*O3307</f>
        <v>4036.7599999999998</v>
      </c>
      <c r="S3307" s="72">
        <v>40</v>
      </c>
      <c r="T3307" s="72">
        <f>L3307*S3307</f>
        <v>1774.4</v>
      </c>
      <c r="U3307" s="72">
        <f t="shared" ref="U3307" si="1256">R3307-T3307</f>
        <v>2262.3599999999997</v>
      </c>
      <c r="V3307" s="72">
        <f>U3307*1</f>
        <v>2262.3599999999997</v>
      </c>
      <c r="W3307" s="72">
        <f t="shared" ref="W3307" si="1257">U3307-V3307</f>
        <v>0</v>
      </c>
      <c r="X3307" s="72">
        <f>L3307*37</f>
        <v>1641.32</v>
      </c>
      <c r="Y3307" s="73">
        <f>+T3307-X3307</f>
        <v>133.08000000000015</v>
      </c>
      <c r="Z3307" s="12" t="s">
        <v>41</v>
      </c>
      <c r="AA3307" s="12" t="s">
        <v>79</v>
      </c>
    </row>
    <row r="3308" spans="1:27" x14ac:dyDescent="0.25">
      <c r="A3308" s="10">
        <v>45707</v>
      </c>
      <c r="B3308" s="11" t="s">
        <v>5993</v>
      </c>
      <c r="C3308" s="11" t="s">
        <v>5994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4440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2">
        <f>+L3308*O3308</f>
        <v>1630.8000000000002</v>
      </c>
      <c r="S3308" s="72">
        <v>0</v>
      </c>
      <c r="T3308" s="72">
        <f>+L3308*S3308</f>
        <v>0</v>
      </c>
      <c r="U3308" s="72">
        <f t="shared" ref="U3308:U3309" si="1258">+R3308-T3308</f>
        <v>1630.8000000000002</v>
      </c>
      <c r="V3308" s="72">
        <f>+U3308*1</f>
        <v>1630.8000000000002</v>
      </c>
      <c r="W3308" s="72">
        <f t="shared" ref="W3308:W3309" si="1259">+U3308-V3308</f>
        <v>0</v>
      </c>
      <c r="X3308" s="72">
        <v>0</v>
      </c>
      <c r="Y3308" s="14">
        <f t="shared" ref="Y3308:Y3309" si="1260">T3308-X3308</f>
        <v>0</v>
      </c>
      <c r="Z3308" s="11" t="s">
        <v>26</v>
      </c>
      <c r="AA3308" s="12" t="s">
        <v>31</v>
      </c>
    </row>
    <row r="3309" spans="1:27" x14ac:dyDescent="0.25">
      <c r="A3309" s="10">
        <v>45707</v>
      </c>
      <c r="B3309" s="11" t="s">
        <v>748</v>
      </c>
      <c r="C3309" s="11" t="s">
        <v>5995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4440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2">
        <f>+L3309*O3309</f>
        <v>1589.4</v>
      </c>
      <c r="S3309" s="72">
        <v>0</v>
      </c>
      <c r="T3309" s="72">
        <f>+L3309*S3309</f>
        <v>0</v>
      </c>
      <c r="U3309" s="72">
        <f t="shared" si="1258"/>
        <v>1589.4</v>
      </c>
      <c r="V3309" s="72">
        <f>+U3309*1</f>
        <v>1589.4</v>
      </c>
      <c r="W3309" s="72">
        <f t="shared" si="1259"/>
        <v>0</v>
      </c>
      <c r="X3309" s="72">
        <v>0</v>
      </c>
      <c r="Y3309" s="14">
        <f t="shared" si="1260"/>
        <v>0</v>
      </c>
      <c r="Z3309" s="11" t="s">
        <v>26</v>
      </c>
      <c r="AA3309" s="12" t="s">
        <v>31</v>
      </c>
    </row>
    <row r="3310" spans="1:27" x14ac:dyDescent="0.25">
      <c r="A3310" s="10">
        <v>45707</v>
      </c>
      <c r="B3310" s="11" t="s">
        <v>1704</v>
      </c>
      <c r="C3310" s="11" t="s">
        <v>5996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4439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2">
        <f>L3310*O3310</f>
        <v>3668.6000000000004</v>
      </c>
      <c r="S3310" s="72">
        <v>38</v>
      </c>
      <c r="T3310" s="72">
        <f>L3310*S3310</f>
        <v>1679.6000000000001</v>
      </c>
      <c r="U3310" s="72">
        <f>R3310-T3310</f>
        <v>1989.0000000000002</v>
      </c>
      <c r="V3310" s="72">
        <f>U3310*1</f>
        <v>1989.0000000000002</v>
      </c>
      <c r="W3310" s="72">
        <f>U3310-V3310</f>
        <v>0</v>
      </c>
      <c r="X3310" s="72">
        <f>L3310*36</f>
        <v>1591.2</v>
      </c>
      <c r="Y3310" s="73">
        <f>+T3310-X3310</f>
        <v>88.400000000000091</v>
      </c>
      <c r="Z3310" s="12" t="s">
        <v>6345</v>
      </c>
      <c r="AA3310" s="12" t="s">
        <v>78</v>
      </c>
    </row>
    <row r="3311" spans="1:27" x14ac:dyDescent="0.25">
      <c r="A3311" s="10">
        <v>45707</v>
      </c>
      <c r="B3311" s="11" t="s">
        <v>5997</v>
      </c>
      <c r="C3311" s="11" t="s">
        <v>5998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2">
        <f>+L3311*O3311</f>
        <v>3836.5599999999995</v>
      </c>
      <c r="S3311" s="72">
        <v>40</v>
      </c>
      <c r="T3311" s="72">
        <f>L3311*S3311</f>
        <v>1686.3999999999999</v>
      </c>
      <c r="U3311" s="72">
        <f t="shared" ref="U3311" si="1261">R3311-T3311</f>
        <v>2150.16</v>
      </c>
      <c r="V3311" s="72">
        <f>U3311*1</f>
        <v>2150.16</v>
      </c>
      <c r="W3311" s="72">
        <f t="shared" ref="W3311" si="1262">U3311-V3311</f>
        <v>0</v>
      </c>
      <c r="X3311" s="72">
        <f>L3311*37</f>
        <v>1559.9199999999998</v>
      </c>
      <c r="Y3311" s="73">
        <f>+T3311-X3311</f>
        <v>126.48000000000002</v>
      </c>
      <c r="Z3311" s="12" t="s">
        <v>41</v>
      </c>
      <c r="AA3311" s="12" t="s">
        <v>79</v>
      </c>
    </row>
    <row r="3312" spans="1:27" x14ac:dyDescent="0.25">
      <c r="A3312" s="10">
        <v>45707</v>
      </c>
      <c r="B3312" s="11" t="s">
        <v>318</v>
      </c>
      <c r="C3312" s="11" t="s">
        <v>5999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2">
        <f>(L3312*O3312)-Q3312</f>
        <v>487</v>
      </c>
      <c r="S3312" s="72">
        <v>0</v>
      </c>
      <c r="T3312" s="72">
        <f t="shared" ref="T3312" si="1263">+L3312*S3312</f>
        <v>0</v>
      </c>
      <c r="U3312" s="72">
        <f t="shared" ref="U3312:U3313" si="1264">+R3312-T3312</f>
        <v>487</v>
      </c>
      <c r="V3312" s="72">
        <f t="shared" ref="V3312" si="1265">+U3312*0</f>
        <v>0</v>
      </c>
      <c r="W3312" s="72">
        <f t="shared" ref="W3312:W3313" si="1266">+U3312-V3312</f>
        <v>487</v>
      </c>
      <c r="X3312" s="72">
        <v>0</v>
      </c>
      <c r="Y3312" s="14">
        <f t="shared" ref="Y3312:Y3322" si="1267">T3312-X3312</f>
        <v>0</v>
      </c>
      <c r="Z3312" s="11" t="s">
        <v>26</v>
      </c>
      <c r="AA3312" s="12" t="s">
        <v>31</v>
      </c>
    </row>
    <row r="3313" spans="1:27" x14ac:dyDescent="0.25">
      <c r="A3313" s="10">
        <v>45707</v>
      </c>
      <c r="B3313" s="11" t="s">
        <v>6000</v>
      </c>
      <c r="C3313" s="11" t="s">
        <v>6001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2">
        <f>M3313*P3313</f>
        <v>1500</v>
      </c>
      <c r="S3313" s="72">
        <v>0</v>
      </c>
      <c r="T3313" s="72">
        <f>M3313*S3313</f>
        <v>0</v>
      </c>
      <c r="U3313" s="72">
        <f t="shared" si="1264"/>
        <v>1500</v>
      </c>
      <c r="V3313" s="72">
        <f>+U3313*0</f>
        <v>0</v>
      </c>
      <c r="W3313" s="72">
        <f t="shared" si="1266"/>
        <v>1500</v>
      </c>
      <c r="X3313" s="72">
        <v>0</v>
      </c>
      <c r="Y3313" s="14">
        <f t="shared" si="1267"/>
        <v>0</v>
      </c>
      <c r="Z3313" s="11" t="s">
        <v>26</v>
      </c>
      <c r="AA3313" s="12" t="s">
        <v>31</v>
      </c>
    </row>
    <row r="3314" spans="1:27" x14ac:dyDescent="0.25">
      <c r="A3314" s="10">
        <v>45707</v>
      </c>
      <c r="B3314" s="11" t="s">
        <v>6002</v>
      </c>
      <c r="C3314" s="11" t="s">
        <v>6003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2">
        <f>M3314*P3314</f>
        <v>1600</v>
      </c>
      <c r="S3314" s="72">
        <v>0</v>
      </c>
      <c r="T3314" s="72">
        <f>M3314*S3314</f>
        <v>0</v>
      </c>
      <c r="U3314" s="72">
        <f>+R3314-T3314</f>
        <v>1600</v>
      </c>
      <c r="V3314" s="72">
        <f t="shared" ref="V3314" si="1268">+U3314*0</f>
        <v>0</v>
      </c>
      <c r="W3314" s="72">
        <f>+U3314-V3314</f>
        <v>1600</v>
      </c>
      <c r="X3314" s="72">
        <v>0</v>
      </c>
      <c r="Y3314" s="14">
        <f t="shared" si="1267"/>
        <v>0</v>
      </c>
      <c r="Z3314" s="11" t="s">
        <v>26</v>
      </c>
      <c r="AA3314" s="12" t="s">
        <v>31</v>
      </c>
    </row>
    <row r="3315" spans="1:27" x14ac:dyDescent="0.25">
      <c r="A3315" s="10">
        <v>45707</v>
      </c>
      <c r="B3315" s="11" t="s">
        <v>6004</v>
      </c>
      <c r="C3315" s="11" t="s">
        <v>6005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2">
        <f>M3315*P3315</f>
        <v>1800</v>
      </c>
      <c r="S3315" s="72">
        <v>0</v>
      </c>
      <c r="T3315" s="72">
        <f>M3315*S3315</f>
        <v>0</v>
      </c>
      <c r="U3315" s="72">
        <f>R3315-T3315</f>
        <v>1800</v>
      </c>
      <c r="V3315" s="72">
        <f>U3315*0</f>
        <v>0</v>
      </c>
      <c r="W3315" s="72">
        <f>+U3315-V3315</f>
        <v>1800</v>
      </c>
      <c r="X3315" s="72">
        <v>0</v>
      </c>
      <c r="Y3315" s="14">
        <f t="shared" si="1267"/>
        <v>0</v>
      </c>
      <c r="Z3315" s="11" t="s">
        <v>26</v>
      </c>
      <c r="AA3315" s="12" t="s">
        <v>31</v>
      </c>
    </row>
    <row r="3316" spans="1:27" x14ac:dyDescent="0.25">
      <c r="A3316" s="10">
        <v>45707</v>
      </c>
      <c r="B3316" s="11" t="s">
        <v>6006</v>
      </c>
      <c r="C3316" s="11" t="s">
        <v>6007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2">
        <f>(L3316*O3316)-Q3316</f>
        <v>273.60000000000002</v>
      </c>
      <c r="S3316" s="72">
        <v>0</v>
      </c>
      <c r="T3316" s="72">
        <f t="shared" ref="T3316" si="1269">+L3316*S3316</f>
        <v>0</v>
      </c>
      <c r="U3316" s="72">
        <f t="shared" ref="U3316" si="1270">+R3316-T3316</f>
        <v>273.60000000000002</v>
      </c>
      <c r="V3316" s="72">
        <f>+U3316*0</f>
        <v>0</v>
      </c>
      <c r="W3316" s="72">
        <f t="shared" ref="W3316" si="1271">+U3316-V3316</f>
        <v>273.60000000000002</v>
      </c>
      <c r="X3316" s="72">
        <v>0</v>
      </c>
      <c r="Y3316" s="14">
        <f t="shared" si="1267"/>
        <v>0</v>
      </c>
      <c r="Z3316" s="11" t="s">
        <v>26</v>
      </c>
      <c r="AA3316" s="12" t="s">
        <v>31</v>
      </c>
    </row>
    <row r="3317" spans="1:27" x14ac:dyDescent="0.25">
      <c r="A3317" s="10">
        <v>45707</v>
      </c>
      <c r="B3317" s="11" t="s">
        <v>6008</v>
      </c>
      <c r="C3317" s="11" t="s">
        <v>6009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2">
        <f>M3317*P3317</f>
        <v>1856</v>
      </c>
      <c r="S3317" s="72">
        <v>0</v>
      </c>
      <c r="T3317" s="72">
        <f>M3317*S3317</f>
        <v>0</v>
      </c>
      <c r="U3317" s="72">
        <f>R3317-T3317</f>
        <v>1856</v>
      </c>
      <c r="V3317" s="72">
        <f>U3317*0</f>
        <v>0</v>
      </c>
      <c r="W3317" s="72">
        <f>+U3317-V3317</f>
        <v>1856</v>
      </c>
      <c r="X3317" s="72">
        <v>0</v>
      </c>
      <c r="Y3317" s="14">
        <f t="shared" si="1267"/>
        <v>0</v>
      </c>
      <c r="Z3317" s="11" t="s">
        <v>26</v>
      </c>
      <c r="AA3317" s="12" t="s">
        <v>31</v>
      </c>
    </row>
    <row r="3318" spans="1:27" x14ac:dyDescent="0.25">
      <c r="A3318" s="10">
        <v>45707</v>
      </c>
      <c r="B3318" s="11" t="s">
        <v>3891</v>
      </c>
      <c r="C3318" s="11" t="s">
        <v>6010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4461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2">
        <f>L3318*O3318</f>
        <v>1209.6000000000001</v>
      </c>
      <c r="S3318" s="72">
        <v>0</v>
      </c>
      <c r="T3318" s="72">
        <f>L3318*S3318</f>
        <v>0</v>
      </c>
      <c r="U3318" s="72">
        <f>R3318-T3318</f>
        <v>1209.6000000000001</v>
      </c>
      <c r="V3318" s="72">
        <f>U3318*0</f>
        <v>0</v>
      </c>
      <c r="W3318" s="72">
        <f>U3318-V3318</f>
        <v>1209.6000000000001</v>
      </c>
      <c r="X3318" s="72">
        <v>0</v>
      </c>
      <c r="Y3318" s="14">
        <f t="shared" si="1267"/>
        <v>0</v>
      </c>
      <c r="Z3318" s="11" t="s">
        <v>26</v>
      </c>
      <c r="AA3318" s="12" t="s">
        <v>31</v>
      </c>
    </row>
    <row r="3319" spans="1:27" x14ac:dyDescent="0.25">
      <c r="A3319" s="10">
        <v>45707</v>
      </c>
      <c r="B3319" s="11" t="s">
        <v>1400</v>
      </c>
      <c r="C3319" s="11" t="s">
        <v>6011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2">
        <f>M3319*P3319</f>
        <v>1600</v>
      </c>
      <c r="S3319" s="72">
        <v>0</v>
      </c>
      <c r="T3319" s="72">
        <f>M3319*S3319</f>
        <v>0</v>
      </c>
      <c r="U3319" s="72">
        <f>+R3319-T3319</f>
        <v>1600</v>
      </c>
      <c r="V3319" s="72">
        <f t="shared" ref="V3319" si="1272">+U3319*0</f>
        <v>0</v>
      </c>
      <c r="W3319" s="72">
        <f>+U3319-V3319</f>
        <v>1600</v>
      </c>
      <c r="X3319" s="72">
        <v>0</v>
      </c>
      <c r="Y3319" s="14">
        <f t="shared" si="1267"/>
        <v>0</v>
      </c>
      <c r="Z3319" s="11" t="s">
        <v>26</v>
      </c>
      <c r="AA3319" s="12" t="s">
        <v>31</v>
      </c>
    </row>
    <row r="3320" spans="1:27" x14ac:dyDescent="0.25">
      <c r="A3320" s="10">
        <v>45707</v>
      </c>
      <c r="B3320" s="11" t="s">
        <v>2773</v>
      </c>
      <c r="C3320" s="11" t="s">
        <v>6012</v>
      </c>
      <c r="D3320" s="11">
        <v>17865</v>
      </c>
      <c r="E3320" s="11" t="s">
        <v>1217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2">
        <f>L3320*O3320</f>
        <v>1028.5</v>
      </c>
      <c r="S3320" s="72">
        <v>0</v>
      </c>
      <c r="T3320" s="72">
        <f>L3320*S3320</f>
        <v>0</v>
      </c>
      <c r="U3320" s="72">
        <f>R3320-T3320</f>
        <v>1028.5</v>
      </c>
      <c r="V3320" s="72">
        <f>U3320*0</f>
        <v>0</v>
      </c>
      <c r="W3320" s="72">
        <f>U3320-V3320</f>
        <v>1028.5</v>
      </c>
      <c r="X3320" s="72">
        <v>0</v>
      </c>
      <c r="Y3320" s="14">
        <f t="shared" si="1267"/>
        <v>0</v>
      </c>
      <c r="Z3320" s="11" t="s">
        <v>26</v>
      </c>
      <c r="AA3320" s="12" t="s">
        <v>31</v>
      </c>
    </row>
    <row r="3321" spans="1:27" x14ac:dyDescent="0.25">
      <c r="A3321" s="10">
        <v>45707</v>
      </c>
      <c r="B3321" s="11" t="s">
        <v>6013</v>
      </c>
      <c r="C3321" s="11" t="s">
        <v>6014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2">
        <f>L3321*O3321</f>
        <v>1523.1999999999998</v>
      </c>
      <c r="S3321" s="72">
        <v>0</v>
      </c>
      <c r="T3321" s="72">
        <f>L3321*S3321</f>
        <v>0</v>
      </c>
      <c r="U3321" s="72">
        <f>R3321-T3321</f>
        <v>1523.1999999999998</v>
      </c>
      <c r="V3321" s="72">
        <f>U3321*0</f>
        <v>0</v>
      </c>
      <c r="W3321" s="72">
        <f>U3321-V3321</f>
        <v>1523.1999999999998</v>
      </c>
      <c r="X3321" s="72">
        <v>0</v>
      </c>
      <c r="Y3321" s="14">
        <f t="shared" si="1267"/>
        <v>0</v>
      </c>
      <c r="Z3321" s="11" t="s">
        <v>26</v>
      </c>
      <c r="AA3321" s="12" t="s">
        <v>31</v>
      </c>
    </row>
    <row r="3322" spans="1:27" x14ac:dyDescent="0.25">
      <c r="A3322" s="10">
        <v>45707</v>
      </c>
      <c r="B3322" s="11" t="s">
        <v>6015</v>
      </c>
      <c r="C3322" s="11" t="s">
        <v>6016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2">
        <f>M3322*P3322</f>
        <v>1600</v>
      </c>
      <c r="S3322" s="72">
        <v>0</v>
      </c>
      <c r="T3322" s="72">
        <f>M3322*S3322</f>
        <v>0</v>
      </c>
      <c r="U3322" s="72">
        <f>R3322-T3322</f>
        <v>1600</v>
      </c>
      <c r="V3322" s="72">
        <f t="shared" ref="V3322" si="1273">U3322*0</f>
        <v>0</v>
      </c>
      <c r="W3322" s="72">
        <f t="shared" ref="W3322:W3323" si="1274">U3322-V3322</f>
        <v>1600</v>
      </c>
      <c r="X3322" s="72">
        <v>0</v>
      </c>
      <c r="Y3322" s="14">
        <f t="shared" si="1267"/>
        <v>0</v>
      </c>
      <c r="Z3322" s="11" t="s">
        <v>26</v>
      </c>
      <c r="AA3322" s="12" t="s">
        <v>31</v>
      </c>
    </row>
    <row r="3323" spans="1:27" x14ac:dyDescent="0.25">
      <c r="A3323" s="10">
        <v>45707</v>
      </c>
      <c r="B3323" s="11" t="s">
        <v>6017</v>
      </c>
      <c r="C3323" s="11" t="s">
        <v>6018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4439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2">
        <f t="shared" ref="R3323" si="1275">L3323*O3323</f>
        <v>3607.3999999999996</v>
      </c>
      <c r="S3323" s="72">
        <v>38</v>
      </c>
      <c r="T3323" s="72">
        <f t="shared" ref="T3323" si="1276">L3323*S3323</f>
        <v>1612.7199999999998</v>
      </c>
      <c r="U3323" s="72">
        <f t="shared" ref="U3323" si="1277">R3323-T3323</f>
        <v>1994.6799999999998</v>
      </c>
      <c r="V3323" s="72">
        <f>U3323*1</f>
        <v>1994.6799999999998</v>
      </c>
      <c r="W3323" s="72">
        <f t="shared" si="1274"/>
        <v>0</v>
      </c>
      <c r="X3323" s="72">
        <f>L3323*36</f>
        <v>1527.84</v>
      </c>
      <c r="Y3323" s="73">
        <f>+T3323-X3323</f>
        <v>84.879999999999882</v>
      </c>
      <c r="Z3323" s="12" t="s">
        <v>141</v>
      </c>
      <c r="AA3323" s="12" t="s">
        <v>78</v>
      </c>
    </row>
    <row r="3324" spans="1:27" x14ac:dyDescent="0.25">
      <c r="A3324" s="10">
        <v>45707</v>
      </c>
      <c r="B3324" s="11" t="s">
        <v>5894</v>
      </c>
      <c r="C3324" s="11" t="s">
        <v>6019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4439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2">
        <f>L3324*O3324</f>
        <v>3759.8999999999996</v>
      </c>
      <c r="S3324" s="72">
        <v>38</v>
      </c>
      <c r="T3324" s="72">
        <f>L3324*S3324</f>
        <v>1721.3999999999999</v>
      </c>
      <c r="U3324" s="72">
        <f>R3324-T3324</f>
        <v>2038.4999999999998</v>
      </c>
      <c r="V3324" s="72">
        <f>U3324*1</f>
        <v>2038.4999999999998</v>
      </c>
      <c r="W3324" s="72">
        <f>U3324-V3324</f>
        <v>0</v>
      </c>
      <c r="X3324" s="72">
        <f>L3324*36</f>
        <v>1630.8</v>
      </c>
      <c r="Y3324" s="73">
        <f>+T3324-X3324</f>
        <v>90.599999999999909</v>
      </c>
      <c r="Z3324" s="12" t="s">
        <v>141</v>
      </c>
      <c r="AA3324" s="12" t="s">
        <v>78</v>
      </c>
    </row>
    <row r="3325" spans="1:27" x14ac:dyDescent="0.25">
      <c r="A3325" s="10">
        <v>45707</v>
      </c>
      <c r="B3325" s="11" t="s">
        <v>5450</v>
      </c>
      <c r="C3325" s="11" t="s">
        <v>6020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2">
        <f>M3325*P3325</f>
        <v>1550</v>
      </c>
      <c r="S3325" s="72">
        <v>0</v>
      </c>
      <c r="T3325" s="72">
        <f>M3325*S3325</f>
        <v>0</v>
      </c>
      <c r="U3325" s="72">
        <f>R3325-T3325</f>
        <v>1550</v>
      </c>
      <c r="V3325" s="72">
        <f>U3325*0</f>
        <v>0</v>
      </c>
      <c r="W3325" s="72">
        <f>U3325-V3325</f>
        <v>1550</v>
      </c>
      <c r="X3325" s="72">
        <v>0</v>
      </c>
      <c r="Y3325" s="14">
        <f t="shared" ref="Y3325:Y3340" si="1278">T3325-X3325</f>
        <v>0</v>
      </c>
      <c r="Z3325" s="11" t="s">
        <v>26</v>
      </c>
      <c r="AA3325" s="12" t="s">
        <v>31</v>
      </c>
    </row>
    <row r="3326" spans="1:27" x14ac:dyDescent="0.25">
      <c r="A3326" s="10">
        <v>45707</v>
      </c>
      <c r="B3326" s="11" t="s">
        <v>1505</v>
      </c>
      <c r="C3326" s="11" t="s">
        <v>6021</v>
      </c>
      <c r="D3326" s="11">
        <v>17871</v>
      </c>
      <c r="E3326" s="11" t="s">
        <v>5120</v>
      </c>
      <c r="F3326" s="11" t="s">
        <v>26</v>
      </c>
      <c r="G3326" s="11">
        <v>78106</v>
      </c>
      <c r="H3326" s="12" t="s">
        <v>4465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2">
        <f>+L3326*O3326</f>
        <v>1960.1</v>
      </c>
      <c r="S3326" s="72">
        <v>0</v>
      </c>
      <c r="T3326" s="72">
        <f>+L3326*S3326</f>
        <v>0</v>
      </c>
      <c r="U3326" s="72">
        <f>+R3326-T3326</f>
        <v>1960.1</v>
      </c>
      <c r="V3326" s="72">
        <f>+U3326*0.75</f>
        <v>1470.0749999999998</v>
      </c>
      <c r="W3326" s="72">
        <f>+U3326-V3326</f>
        <v>490.02500000000009</v>
      </c>
      <c r="X3326" s="72">
        <v>0</v>
      </c>
      <c r="Y3326" s="14">
        <f t="shared" si="1278"/>
        <v>0</v>
      </c>
      <c r="Z3326" s="11" t="s">
        <v>26</v>
      </c>
      <c r="AA3326" s="12" t="s">
        <v>31</v>
      </c>
    </row>
    <row r="3327" spans="1:27" x14ac:dyDescent="0.25">
      <c r="A3327" s="10">
        <v>45707</v>
      </c>
      <c r="B3327" s="11" t="s">
        <v>3812</v>
      </c>
      <c r="C3327" s="11" t="s">
        <v>6022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2">
        <f>(L3327*O3327)-Q3327</f>
        <v>197.60000000000002</v>
      </c>
      <c r="S3327" s="72">
        <v>0</v>
      </c>
      <c r="T3327" s="72">
        <f t="shared" ref="T3327" si="1279">+L3327*S3327</f>
        <v>0</v>
      </c>
      <c r="U3327" s="72">
        <f t="shared" ref="U3327:U3328" si="1280">+R3327-T3327</f>
        <v>197.60000000000002</v>
      </c>
      <c r="V3327" s="72">
        <f t="shared" ref="V3327" si="1281">+U3327*0</f>
        <v>0</v>
      </c>
      <c r="W3327" s="72">
        <f t="shared" ref="W3327:W3328" si="1282">+U3327-V3327</f>
        <v>197.60000000000002</v>
      </c>
      <c r="X3327" s="72">
        <v>0</v>
      </c>
      <c r="Y3327" s="14">
        <f t="shared" si="1278"/>
        <v>0</v>
      </c>
      <c r="Z3327" s="11" t="s">
        <v>26</v>
      </c>
      <c r="AA3327" s="12" t="s">
        <v>31</v>
      </c>
    </row>
    <row r="3328" spans="1:27" x14ac:dyDescent="0.25">
      <c r="A3328" s="10">
        <v>45707</v>
      </c>
      <c r="B3328" s="11" t="s">
        <v>6023</v>
      </c>
      <c r="C3328" s="11" t="s">
        <v>6024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2">
        <f>+M3328*P3328</f>
        <v>552</v>
      </c>
      <c r="S3328" s="72">
        <v>0</v>
      </c>
      <c r="T3328" s="72">
        <f>+M3328*S3328</f>
        <v>0</v>
      </c>
      <c r="U3328" s="72">
        <f t="shared" si="1280"/>
        <v>552</v>
      </c>
      <c r="V3328" s="72">
        <f>+U3328*0</f>
        <v>0</v>
      </c>
      <c r="W3328" s="72">
        <f t="shared" si="1282"/>
        <v>552</v>
      </c>
      <c r="X3328" s="72">
        <v>0</v>
      </c>
      <c r="Y3328" s="14">
        <f t="shared" si="1278"/>
        <v>0</v>
      </c>
      <c r="Z3328" s="11" t="s">
        <v>26</v>
      </c>
      <c r="AA3328" s="12" t="s">
        <v>31</v>
      </c>
    </row>
    <row r="3329" spans="1:27" x14ac:dyDescent="0.25">
      <c r="A3329" s="10">
        <v>45707</v>
      </c>
      <c r="B3329" s="11" t="s">
        <v>5668</v>
      </c>
      <c r="C3329" s="11" t="s">
        <v>6025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2">
        <f>M3329*P3329</f>
        <v>1550</v>
      </c>
      <c r="S3329" s="72">
        <v>0</v>
      </c>
      <c r="T3329" s="72">
        <f>M3329*S3329</f>
        <v>0</v>
      </c>
      <c r="U3329" s="72">
        <f>R3329-T3329</f>
        <v>1550</v>
      </c>
      <c r="V3329" s="72">
        <f>U3329*0</f>
        <v>0</v>
      </c>
      <c r="W3329" s="72">
        <f>U3329-V3329</f>
        <v>1550</v>
      </c>
      <c r="X3329" s="72">
        <v>0</v>
      </c>
      <c r="Y3329" s="14">
        <f t="shared" si="1278"/>
        <v>0</v>
      </c>
      <c r="Z3329" s="11" t="s">
        <v>26</v>
      </c>
      <c r="AA3329" s="12" t="s">
        <v>31</v>
      </c>
    </row>
    <row r="3330" spans="1:27" x14ac:dyDescent="0.25">
      <c r="A3330" s="10">
        <v>45707</v>
      </c>
      <c r="B3330" s="11" t="s">
        <v>6026</v>
      </c>
      <c r="C3330" s="11" t="s">
        <v>6027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2">
        <f>(L3330*O3330)-Q3330</f>
        <v>580.4</v>
      </c>
      <c r="S3330" s="72">
        <v>0</v>
      </c>
      <c r="T3330" s="72">
        <f t="shared" ref="T3330" si="1283">+L3330*S3330</f>
        <v>0</v>
      </c>
      <c r="U3330" s="72">
        <f t="shared" ref="U3330:U3333" si="1284">+R3330-T3330</f>
        <v>580.4</v>
      </c>
      <c r="V3330" s="72">
        <f t="shared" ref="V3330" si="1285">+U3330*0</f>
        <v>0</v>
      </c>
      <c r="W3330" s="72">
        <f t="shared" ref="W3330:W3333" si="1286">+U3330-V3330</f>
        <v>580.4</v>
      </c>
      <c r="X3330" s="72">
        <v>0</v>
      </c>
      <c r="Y3330" s="14">
        <f t="shared" si="1278"/>
        <v>0</v>
      </c>
      <c r="Z3330" s="11" t="s">
        <v>26</v>
      </c>
      <c r="AA3330" s="12" t="s">
        <v>31</v>
      </c>
    </row>
    <row r="3331" spans="1:27" x14ac:dyDescent="0.25">
      <c r="A3331" s="10">
        <v>45707</v>
      </c>
      <c r="B3331" s="11" t="s">
        <v>6028</v>
      </c>
      <c r="C3331" s="11" t="s">
        <v>6029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4440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2">
        <f>+L3331*O3331</f>
        <v>1603.8</v>
      </c>
      <c r="S3331" s="72">
        <v>0</v>
      </c>
      <c r="T3331" s="72">
        <f>+L3331*S3331</f>
        <v>0</v>
      </c>
      <c r="U3331" s="72">
        <f t="shared" si="1284"/>
        <v>1603.8</v>
      </c>
      <c r="V3331" s="72">
        <f>+U3331*1</f>
        <v>1603.8</v>
      </c>
      <c r="W3331" s="72">
        <f t="shared" si="1286"/>
        <v>0</v>
      </c>
      <c r="X3331" s="72">
        <v>0</v>
      </c>
      <c r="Y3331" s="14">
        <f t="shared" si="1278"/>
        <v>0</v>
      </c>
      <c r="Z3331" s="11" t="s">
        <v>26</v>
      </c>
      <c r="AA3331" s="12" t="s">
        <v>31</v>
      </c>
    </row>
    <row r="3332" spans="1:27" x14ac:dyDescent="0.25">
      <c r="A3332" s="10">
        <v>45707</v>
      </c>
      <c r="B3332" s="11" t="s">
        <v>6030</v>
      </c>
      <c r="C3332" s="11" t="s">
        <v>6031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2">
        <f>+M3332*P3332</f>
        <v>528</v>
      </c>
      <c r="S3332" s="72">
        <v>0</v>
      </c>
      <c r="T3332" s="72">
        <f>+M3332*S3332</f>
        <v>0</v>
      </c>
      <c r="U3332" s="72">
        <f t="shared" si="1284"/>
        <v>528</v>
      </c>
      <c r="V3332" s="72">
        <f>+U3332*0</f>
        <v>0</v>
      </c>
      <c r="W3332" s="72">
        <f t="shared" si="1286"/>
        <v>528</v>
      </c>
      <c r="X3332" s="72">
        <v>0</v>
      </c>
      <c r="Y3332" s="14">
        <f t="shared" si="1278"/>
        <v>0</v>
      </c>
      <c r="Z3332" s="11" t="s">
        <v>26</v>
      </c>
      <c r="AA3332" s="12" t="s">
        <v>31</v>
      </c>
    </row>
    <row r="3333" spans="1:27" x14ac:dyDescent="0.25">
      <c r="A3333" s="10">
        <v>45707</v>
      </c>
      <c r="B3333" s="11" t="s">
        <v>6032</v>
      </c>
      <c r="C3333" s="11" t="s">
        <v>6033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4440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2">
        <f t="shared" ref="R3333" si="1287">+L3333*O3333</f>
        <v>1384.32</v>
      </c>
      <c r="S3333" s="72">
        <v>0</v>
      </c>
      <c r="T3333" s="72">
        <f t="shared" ref="T3333" si="1288">+L3333*S3333</f>
        <v>0</v>
      </c>
      <c r="U3333" s="72">
        <f t="shared" si="1284"/>
        <v>1384.32</v>
      </c>
      <c r="V3333" s="72">
        <f>+U3333*1</f>
        <v>1384.32</v>
      </c>
      <c r="W3333" s="72">
        <f t="shared" si="1286"/>
        <v>0</v>
      </c>
      <c r="X3333" s="72">
        <v>0</v>
      </c>
      <c r="Y3333" s="14">
        <f t="shared" si="1278"/>
        <v>0</v>
      </c>
      <c r="Z3333" s="11" t="s">
        <v>26</v>
      </c>
      <c r="AA3333" s="12" t="s">
        <v>31</v>
      </c>
    </row>
    <row r="3334" spans="1:27" x14ac:dyDescent="0.25">
      <c r="A3334" s="10">
        <v>45707</v>
      </c>
      <c r="B3334" s="11" t="s">
        <v>3398</v>
      </c>
      <c r="C3334" s="11" t="s">
        <v>6034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2">
        <f>M3334*P3334</f>
        <v>1275</v>
      </c>
      <c r="S3334" s="72">
        <v>0</v>
      </c>
      <c r="T3334" s="72">
        <f>M3334*S3334</f>
        <v>0</v>
      </c>
      <c r="U3334" s="72">
        <f t="shared" ref="U3334:U3335" si="1289">R3334-T3334</f>
        <v>1275</v>
      </c>
      <c r="V3334" s="72">
        <f>U3334*1</f>
        <v>1275</v>
      </c>
      <c r="W3334" s="72">
        <f>U3334-V3334</f>
        <v>0</v>
      </c>
      <c r="X3334" s="72">
        <v>0</v>
      </c>
      <c r="Y3334" s="14">
        <f t="shared" si="1278"/>
        <v>0</v>
      </c>
      <c r="Z3334" s="11" t="s">
        <v>26</v>
      </c>
      <c r="AA3334" s="12" t="s">
        <v>31</v>
      </c>
    </row>
    <row r="3335" spans="1:27" x14ac:dyDescent="0.25">
      <c r="A3335" s="10">
        <v>45707</v>
      </c>
      <c r="B3335" s="11" t="s">
        <v>1076</v>
      </c>
      <c r="C3335" s="11" t="s">
        <v>6035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2">
        <f>M3335*P3335</f>
        <v>1275</v>
      </c>
      <c r="S3335" s="72">
        <v>0</v>
      </c>
      <c r="T3335" s="72">
        <f>M3335*S3335</f>
        <v>0</v>
      </c>
      <c r="U3335" s="72">
        <f t="shared" si="1289"/>
        <v>1275</v>
      </c>
      <c r="V3335" s="72">
        <f>U3335*1</f>
        <v>1275</v>
      </c>
      <c r="W3335" s="72">
        <f>U3335-V3335</f>
        <v>0</v>
      </c>
      <c r="X3335" s="72">
        <v>0</v>
      </c>
      <c r="Y3335" s="14">
        <f t="shared" si="1278"/>
        <v>0</v>
      </c>
      <c r="Z3335" s="11" t="s">
        <v>26</v>
      </c>
      <c r="AA3335" s="12" t="s">
        <v>31</v>
      </c>
    </row>
    <row r="3336" spans="1:27" x14ac:dyDescent="0.25">
      <c r="A3336" s="10">
        <v>45707</v>
      </c>
      <c r="B3336" s="11" t="s">
        <v>6036</v>
      </c>
      <c r="C3336" s="11" t="s">
        <v>6037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2">
        <f>+L3336*O3336</f>
        <v>1630.3999999999999</v>
      </c>
      <c r="S3336" s="72">
        <v>0</v>
      </c>
      <c r="T3336" s="72">
        <f>+L3336*S3336</f>
        <v>0</v>
      </c>
      <c r="U3336" s="72">
        <f>+R3336-T3336</f>
        <v>1630.3999999999999</v>
      </c>
      <c r="V3336" s="72">
        <f t="shared" ref="V3336" si="1290">+U3336*0</f>
        <v>0</v>
      </c>
      <c r="W3336" s="72">
        <f>+U3336-V3336</f>
        <v>1630.3999999999999</v>
      </c>
      <c r="X3336" s="72">
        <v>0</v>
      </c>
      <c r="Y3336" s="14">
        <f t="shared" si="1278"/>
        <v>0</v>
      </c>
      <c r="Z3336" s="11" t="s">
        <v>26</v>
      </c>
      <c r="AA3336" s="12" t="s">
        <v>31</v>
      </c>
    </row>
    <row r="3337" spans="1:27" x14ac:dyDescent="0.25">
      <c r="A3337" s="10">
        <v>45707</v>
      </c>
      <c r="B3337" s="11" t="s">
        <v>6038</v>
      </c>
      <c r="C3337" s="11" t="s">
        <v>6039</v>
      </c>
      <c r="D3337" s="11">
        <v>17882</v>
      </c>
      <c r="E3337" s="11" t="s">
        <v>3803</v>
      </c>
      <c r="F3337" s="11" t="s">
        <v>26</v>
      </c>
      <c r="G3337" s="11">
        <v>24343</v>
      </c>
      <c r="H3337" s="12" t="s">
        <v>4465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2">
        <f>+L3337*O3337</f>
        <v>1950.0966000000001</v>
      </c>
      <c r="S3337" s="72">
        <v>0</v>
      </c>
      <c r="T3337" s="72">
        <f>+L3337*S3337</f>
        <v>0</v>
      </c>
      <c r="U3337" s="72">
        <f>+R3337-T3337</f>
        <v>1950.0966000000001</v>
      </c>
      <c r="V3337" s="72">
        <f>+U3337*0.75</f>
        <v>1462.5724500000001</v>
      </c>
      <c r="W3337" s="72">
        <f>+U3337-V3337</f>
        <v>487.52414999999996</v>
      </c>
      <c r="X3337" s="72">
        <v>0</v>
      </c>
      <c r="Y3337" s="14">
        <f t="shared" si="1278"/>
        <v>0</v>
      </c>
      <c r="Z3337" s="11" t="s">
        <v>26</v>
      </c>
      <c r="AA3337" s="12" t="s">
        <v>31</v>
      </c>
    </row>
    <row r="3338" spans="1:27" x14ac:dyDescent="0.25">
      <c r="A3338" s="10">
        <v>45707</v>
      </c>
      <c r="B3338" s="11" t="s">
        <v>3576</v>
      </c>
      <c r="C3338" s="11" t="s">
        <v>6040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2">
        <f>+M3338*P3338</f>
        <v>528</v>
      </c>
      <c r="S3338" s="72">
        <v>0</v>
      </c>
      <c r="T3338" s="72">
        <f>+M3338*S3338</f>
        <v>0</v>
      </c>
      <c r="U3338" s="72">
        <f t="shared" ref="U3338:U3339" si="1291">+R3338-T3338</f>
        <v>528</v>
      </c>
      <c r="V3338" s="72">
        <f>+U3338*0</f>
        <v>0</v>
      </c>
      <c r="W3338" s="72">
        <f t="shared" ref="W3338:W3339" si="1292">+U3338-V3338</f>
        <v>528</v>
      </c>
      <c r="X3338" s="72">
        <v>0</v>
      </c>
      <c r="Y3338" s="14">
        <f t="shared" si="1278"/>
        <v>0</v>
      </c>
      <c r="Z3338" s="11" t="s">
        <v>26</v>
      </c>
      <c r="AA3338" s="12" t="s">
        <v>31</v>
      </c>
    </row>
    <row r="3339" spans="1:27" x14ac:dyDescent="0.25">
      <c r="A3339" s="10">
        <v>45707</v>
      </c>
      <c r="B3339" s="11" t="s">
        <v>6041</v>
      </c>
      <c r="C3339" s="11" t="s">
        <v>6042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2">
        <f>+M3339*P3339</f>
        <v>1500</v>
      </c>
      <c r="S3339" s="72">
        <v>0</v>
      </c>
      <c r="T3339" s="72">
        <f>+M3339*S3339</f>
        <v>0</v>
      </c>
      <c r="U3339" s="72">
        <f t="shared" si="1291"/>
        <v>1500</v>
      </c>
      <c r="V3339" s="72">
        <f>+U3339*0</f>
        <v>0</v>
      </c>
      <c r="W3339" s="72">
        <f t="shared" si="1292"/>
        <v>1500</v>
      </c>
      <c r="X3339" s="72">
        <v>0</v>
      </c>
      <c r="Y3339" s="14">
        <f t="shared" si="1278"/>
        <v>0</v>
      </c>
      <c r="Z3339" s="11" t="s">
        <v>26</v>
      </c>
      <c r="AA3339" s="12" t="s">
        <v>31</v>
      </c>
    </row>
    <row r="3340" spans="1:27" x14ac:dyDescent="0.25">
      <c r="A3340" s="10">
        <v>45707</v>
      </c>
      <c r="B3340" s="11" t="s">
        <v>6043</v>
      </c>
      <c r="C3340" s="11" t="s">
        <v>6044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2">
        <f>L3340*O3340</f>
        <v>565.20000000000005</v>
      </c>
      <c r="S3340" s="72">
        <v>0</v>
      </c>
      <c r="T3340" s="72">
        <f>L3340*S3340</f>
        <v>0</v>
      </c>
      <c r="U3340" s="72">
        <f>R3340-T3340</f>
        <v>565.20000000000005</v>
      </c>
      <c r="V3340" s="72">
        <f>U3340*0</f>
        <v>0</v>
      </c>
      <c r="W3340" s="72">
        <f>U3340-V3340</f>
        <v>565.20000000000005</v>
      </c>
      <c r="X3340" s="72">
        <v>0</v>
      </c>
      <c r="Y3340" s="14">
        <f t="shared" si="1278"/>
        <v>0</v>
      </c>
      <c r="Z3340" s="11" t="s">
        <v>26</v>
      </c>
      <c r="AA3340" s="12" t="s">
        <v>31</v>
      </c>
    </row>
    <row r="3341" spans="1:27" x14ac:dyDescent="0.25">
      <c r="A3341" s="10">
        <v>45707</v>
      </c>
      <c r="B3341" s="11" t="s">
        <v>6045</v>
      </c>
      <c r="C3341" s="11" t="s">
        <v>6046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4440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2">
        <f>L3341*O3341</f>
        <v>3717.1200000000003</v>
      </c>
      <c r="S3341" s="72">
        <v>43</v>
      </c>
      <c r="T3341" s="72">
        <f>L3341*S3341</f>
        <v>1816.3200000000002</v>
      </c>
      <c r="U3341" s="72">
        <f>R3341-T3341</f>
        <v>1900.8000000000002</v>
      </c>
      <c r="V3341" s="72">
        <f>U3341*1</f>
        <v>1900.8000000000002</v>
      </c>
      <c r="W3341" s="72">
        <f>U3341-V3341</f>
        <v>0</v>
      </c>
      <c r="X3341" s="72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6047</v>
      </c>
    </row>
    <row r="3342" spans="1:27" x14ac:dyDescent="0.25">
      <c r="A3342" s="10">
        <v>45707</v>
      </c>
      <c r="B3342" s="11" t="s">
        <v>4063</v>
      </c>
      <c r="C3342" s="11" t="s">
        <v>6048</v>
      </c>
      <c r="D3342" s="11">
        <v>17887</v>
      </c>
      <c r="E3342" s="11" t="s">
        <v>3654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2">
        <f>(L3342*O3342)-Q3342</f>
        <v>437.40000000000003</v>
      </c>
      <c r="S3342" s="72">
        <v>0</v>
      </c>
      <c r="T3342" s="72">
        <f t="shared" ref="T3342" si="1293">+L3342*S3342</f>
        <v>0</v>
      </c>
      <c r="U3342" s="72">
        <f t="shared" ref="U3342:U3343" si="1294">+R3342-T3342</f>
        <v>437.40000000000003</v>
      </c>
      <c r="V3342" s="72">
        <f>+U3342*0</f>
        <v>0</v>
      </c>
      <c r="W3342" s="72">
        <f t="shared" ref="W3342:W3343" si="1295">+U3342-V3342</f>
        <v>437.40000000000003</v>
      </c>
      <c r="X3342" s="72">
        <v>0</v>
      </c>
      <c r="Y3342" s="14">
        <f t="shared" ref="Y3342:Y3343" si="1296">T3342-X3342</f>
        <v>0</v>
      </c>
      <c r="Z3342" s="11" t="s">
        <v>26</v>
      </c>
      <c r="AA3342" s="12" t="s">
        <v>31</v>
      </c>
    </row>
    <row r="3343" spans="1:27" x14ac:dyDescent="0.25">
      <c r="A3343" s="10">
        <v>45707</v>
      </c>
      <c r="B3343" s="11" t="s">
        <v>291</v>
      </c>
      <c r="C3343" s="11" t="s">
        <v>6049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2">
        <f>+M3343*P3343</f>
        <v>552</v>
      </c>
      <c r="S3343" s="72">
        <v>0</v>
      </c>
      <c r="T3343" s="72">
        <f>+M3343*S3343</f>
        <v>0</v>
      </c>
      <c r="U3343" s="72">
        <f t="shared" si="1294"/>
        <v>552</v>
      </c>
      <c r="V3343" s="72">
        <f>+U3343*0</f>
        <v>0</v>
      </c>
      <c r="W3343" s="72">
        <f t="shared" si="1295"/>
        <v>552</v>
      </c>
      <c r="X3343" s="72">
        <v>0</v>
      </c>
      <c r="Y3343" s="14">
        <f t="shared" si="1296"/>
        <v>0</v>
      </c>
      <c r="Z3343" s="11" t="s">
        <v>26</v>
      </c>
      <c r="AA3343" s="12" t="s">
        <v>31</v>
      </c>
    </row>
    <row r="3344" spans="1:27" x14ac:dyDescent="0.25">
      <c r="A3344" s="10">
        <v>45707</v>
      </c>
      <c r="B3344" s="11" t="s">
        <v>6050</v>
      </c>
      <c r="C3344" s="11" t="s">
        <v>6051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4440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2">
        <f>L3344*O3344</f>
        <v>3595.68</v>
      </c>
      <c r="S3344" s="72">
        <v>43</v>
      </c>
      <c r="T3344" s="72">
        <f>L3344*S3344</f>
        <v>1756.98</v>
      </c>
      <c r="U3344" s="72">
        <f>R3344-T3344</f>
        <v>1838.6999999999998</v>
      </c>
      <c r="V3344" s="72">
        <f>U3344*1</f>
        <v>1838.6999999999998</v>
      </c>
      <c r="W3344" s="72">
        <f>U3344-V3344</f>
        <v>0</v>
      </c>
      <c r="X3344" s="72">
        <f>L3344*42</f>
        <v>1716.12</v>
      </c>
      <c r="Y3344" s="14">
        <f>T3344-X3344</f>
        <v>40.860000000000127</v>
      </c>
      <c r="Z3344" s="12" t="s">
        <v>141</v>
      </c>
      <c r="AA3344" s="12" t="s">
        <v>6047</v>
      </c>
    </row>
    <row r="3345" spans="1:27" x14ac:dyDescent="0.25">
      <c r="A3345" s="10">
        <v>45707</v>
      </c>
      <c r="B3345" s="11" t="s">
        <v>333</v>
      </c>
      <c r="C3345" s="11" t="s">
        <v>6052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6345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2">
        <f>L3345*O3345</f>
        <v>1692.35</v>
      </c>
      <c r="S3345" s="72">
        <v>0</v>
      </c>
      <c r="T3345" s="72">
        <f>+L3345*S3345</f>
        <v>0</v>
      </c>
      <c r="U3345" s="72">
        <f>R3345-T3345</f>
        <v>1692.35</v>
      </c>
      <c r="V3345" s="72">
        <f>U3345*0</f>
        <v>0</v>
      </c>
      <c r="W3345" s="72">
        <f>U3345-V3345</f>
        <v>1692.35</v>
      </c>
      <c r="X3345" s="72"/>
      <c r="Y3345" s="14">
        <f t="shared" ref="Y3345:Y3348" si="1297">T3345-X3345</f>
        <v>0</v>
      </c>
      <c r="Z3345" s="76" t="s">
        <v>26</v>
      </c>
      <c r="AA3345" s="12" t="s">
        <v>31</v>
      </c>
    </row>
    <row r="3346" spans="1:27" x14ac:dyDescent="0.25">
      <c r="A3346" s="10">
        <v>45707</v>
      </c>
      <c r="B3346" s="11" t="s">
        <v>384</v>
      </c>
      <c r="C3346" s="11" t="s">
        <v>6053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2">
        <f>+L3346*O3346</f>
        <v>578.40000000000009</v>
      </c>
      <c r="S3346" s="72">
        <v>0</v>
      </c>
      <c r="T3346" s="72">
        <f>+L3346*S3346</f>
        <v>0</v>
      </c>
      <c r="U3346" s="72">
        <f>+R3346-T3346</f>
        <v>578.40000000000009</v>
      </c>
      <c r="V3346" s="72">
        <f t="shared" ref="V3346" si="1298">+U3346*0</f>
        <v>0</v>
      </c>
      <c r="W3346" s="72">
        <f>+U3346-V3346</f>
        <v>578.40000000000009</v>
      </c>
      <c r="X3346" s="72">
        <v>0</v>
      </c>
      <c r="Y3346" s="14">
        <f t="shared" si="1297"/>
        <v>0</v>
      </c>
      <c r="Z3346" s="11" t="s">
        <v>26</v>
      </c>
      <c r="AA3346" s="12" t="s">
        <v>31</v>
      </c>
    </row>
    <row r="3347" spans="1:27" x14ac:dyDescent="0.25">
      <c r="A3347" s="10">
        <v>45707</v>
      </c>
      <c r="B3347" s="11" t="s">
        <v>462</v>
      </c>
      <c r="C3347" s="11" t="s">
        <v>6054</v>
      </c>
      <c r="D3347" s="11">
        <v>17892</v>
      </c>
      <c r="E3347" s="11" t="s">
        <v>5139</v>
      </c>
      <c r="F3347" s="11" t="s">
        <v>26</v>
      </c>
      <c r="G3347" s="11">
        <v>78901</v>
      </c>
      <c r="H3347" s="12" t="s">
        <v>4465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2">
        <f>+L3347*O3347</f>
        <v>1867.4499999999998</v>
      </c>
      <c r="S3347" s="72">
        <v>0</v>
      </c>
      <c r="T3347" s="72">
        <f>+L3347*S3347</f>
        <v>0</v>
      </c>
      <c r="U3347" s="72">
        <f>+R3347-T3347</f>
        <v>1867.4499999999998</v>
      </c>
      <c r="V3347" s="72">
        <f>+U3347*0.75</f>
        <v>1400.5874999999999</v>
      </c>
      <c r="W3347" s="72">
        <f>+U3347-V3347</f>
        <v>466.86249999999995</v>
      </c>
      <c r="X3347" s="72">
        <v>0</v>
      </c>
      <c r="Y3347" s="14">
        <f t="shared" si="1297"/>
        <v>0</v>
      </c>
      <c r="Z3347" s="11" t="s">
        <v>26</v>
      </c>
      <c r="AA3347" s="12" t="s">
        <v>31</v>
      </c>
    </row>
    <row r="3348" spans="1:27" x14ac:dyDescent="0.25">
      <c r="A3348" s="10">
        <v>45707</v>
      </c>
      <c r="B3348" s="11" t="s">
        <v>6055</v>
      </c>
      <c r="C3348" s="11" t="s">
        <v>6056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4440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2">
        <f t="shared" ref="R3348" si="1299">+L3348*O3348</f>
        <v>1575.9599999999998</v>
      </c>
      <c r="S3348" s="72">
        <v>0</v>
      </c>
      <c r="T3348" s="72">
        <f t="shared" ref="T3348" si="1300">+L3348*S3348</f>
        <v>0</v>
      </c>
      <c r="U3348" s="72">
        <f t="shared" ref="U3348" si="1301">+R3348-T3348</f>
        <v>1575.9599999999998</v>
      </c>
      <c r="V3348" s="72">
        <f>+U3348*1</f>
        <v>1575.9599999999998</v>
      </c>
      <c r="W3348" s="72">
        <f t="shared" ref="W3348" si="1302">+U3348-V3348</f>
        <v>0</v>
      </c>
      <c r="X3348" s="72">
        <v>0</v>
      </c>
      <c r="Y3348" s="14">
        <f t="shared" si="1297"/>
        <v>0</v>
      </c>
      <c r="Z3348" s="11" t="s">
        <v>26</v>
      </c>
      <c r="AA3348" s="12" t="s">
        <v>31</v>
      </c>
    </row>
    <row r="3349" spans="1:27" x14ac:dyDescent="0.25">
      <c r="A3349" s="10">
        <v>45707</v>
      </c>
      <c r="B3349" s="11" t="s">
        <v>5916</v>
      </c>
      <c r="C3349" s="11" t="s">
        <v>6057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4440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2">
        <f>L3349*O3349</f>
        <v>3532.32</v>
      </c>
      <c r="S3349" s="72">
        <v>43</v>
      </c>
      <c r="T3349" s="72">
        <f>L3349*S3349</f>
        <v>1726.02</v>
      </c>
      <c r="U3349" s="72">
        <f>R3349-T3349</f>
        <v>1806.3000000000002</v>
      </c>
      <c r="V3349" s="72">
        <f>U3349*1</f>
        <v>1806.3000000000002</v>
      </c>
      <c r="W3349" s="72">
        <f>U3349-V3349</f>
        <v>0</v>
      </c>
      <c r="X3349" s="72">
        <f>L3349*42</f>
        <v>1685.88</v>
      </c>
      <c r="Y3349" s="14">
        <f>T3349-X3349</f>
        <v>40.139999999999873</v>
      </c>
      <c r="Z3349" s="12" t="s">
        <v>141</v>
      </c>
      <c r="AA3349" s="12" t="s">
        <v>6047</v>
      </c>
    </row>
    <row r="3350" spans="1:27" x14ac:dyDescent="0.25">
      <c r="A3350" s="10">
        <v>45707</v>
      </c>
      <c r="B3350" s="11" t="s">
        <v>5450</v>
      </c>
      <c r="C3350" s="11" t="s">
        <v>6058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2">
        <f>+M3350*P3350</f>
        <v>1600</v>
      </c>
      <c r="S3350" s="72">
        <v>0</v>
      </c>
      <c r="T3350" s="72">
        <f>+M3350*S3350</f>
        <v>0</v>
      </c>
      <c r="U3350" s="72">
        <f t="shared" ref="U3350:U3351" si="1303">+R3350-T3350</f>
        <v>1600</v>
      </c>
      <c r="V3350" s="72">
        <f t="shared" ref="V3350" si="1304">+U3350*0</f>
        <v>0</v>
      </c>
      <c r="W3350" s="72">
        <f t="shared" ref="W3350:W3351" si="1305">+U3350-V3350</f>
        <v>1600</v>
      </c>
      <c r="X3350" s="72">
        <v>0</v>
      </c>
      <c r="Y3350" s="14">
        <f t="shared" ref="Y3350:Y3362" si="1306">T3350-X3350</f>
        <v>0</v>
      </c>
      <c r="Z3350" s="11" t="s">
        <v>26</v>
      </c>
      <c r="AA3350" s="12" t="s">
        <v>31</v>
      </c>
    </row>
    <row r="3351" spans="1:27" x14ac:dyDescent="0.25">
      <c r="A3351" s="10">
        <v>45707</v>
      </c>
      <c r="B3351" s="11" t="s">
        <v>6059</v>
      </c>
      <c r="C3351" s="11" t="s">
        <v>6060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2">
        <f>+M3351*P3351</f>
        <v>1500</v>
      </c>
      <c r="S3351" s="72">
        <v>0</v>
      </c>
      <c r="T3351" s="72">
        <f>+M3351*S3351</f>
        <v>0</v>
      </c>
      <c r="U3351" s="72">
        <f t="shared" si="1303"/>
        <v>1500</v>
      </c>
      <c r="V3351" s="72">
        <f>+U3351*0</f>
        <v>0</v>
      </c>
      <c r="W3351" s="72">
        <f t="shared" si="1305"/>
        <v>1500</v>
      </c>
      <c r="X3351" s="72">
        <v>0</v>
      </c>
      <c r="Y3351" s="14">
        <f t="shared" si="1306"/>
        <v>0</v>
      </c>
      <c r="Z3351" s="11" t="s">
        <v>26</v>
      </c>
      <c r="AA3351" s="12" t="s">
        <v>31</v>
      </c>
    </row>
    <row r="3352" spans="1:27" x14ac:dyDescent="0.25">
      <c r="A3352" s="10">
        <v>45707</v>
      </c>
      <c r="B3352" s="11" t="s">
        <v>3336</v>
      </c>
      <c r="C3352" s="11" t="s">
        <v>6061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2">
        <f>+L3352*O3352</f>
        <v>547.80000000000007</v>
      </c>
      <c r="S3352" s="72">
        <v>0</v>
      </c>
      <c r="T3352" s="72">
        <f>+L3352*S3352</f>
        <v>0</v>
      </c>
      <c r="U3352" s="72">
        <f>+R3352-T3352</f>
        <v>547.80000000000007</v>
      </c>
      <c r="V3352" s="72">
        <f t="shared" ref="V3352" si="1307">+U3352*0</f>
        <v>0</v>
      </c>
      <c r="W3352" s="72">
        <f>+U3352-V3352</f>
        <v>547.80000000000007</v>
      </c>
      <c r="X3352" s="72">
        <v>0</v>
      </c>
      <c r="Y3352" s="14">
        <f t="shared" si="1306"/>
        <v>0</v>
      </c>
      <c r="Z3352" s="11" t="s">
        <v>26</v>
      </c>
      <c r="AA3352" s="12" t="s">
        <v>31</v>
      </c>
    </row>
    <row r="3353" spans="1:27" x14ac:dyDescent="0.25">
      <c r="A3353" s="10">
        <v>45707</v>
      </c>
      <c r="B3353" s="11" t="s">
        <v>4376</v>
      </c>
      <c r="C3353" s="11" t="s">
        <v>6062</v>
      </c>
      <c r="D3353" s="11">
        <v>17898</v>
      </c>
      <c r="E3353" s="11" t="s">
        <v>5759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2">
        <f>+M3353*P3353</f>
        <v>870</v>
      </c>
      <c r="S3353" s="72">
        <v>0</v>
      </c>
      <c r="T3353" s="72">
        <f>+M3353*S3353</f>
        <v>0</v>
      </c>
      <c r="U3353" s="72">
        <f t="shared" ref="U3353" si="1309">+R3353-T3353</f>
        <v>870</v>
      </c>
      <c r="V3353" s="72">
        <f>+U3353*0</f>
        <v>0</v>
      </c>
      <c r="W3353" s="72">
        <f t="shared" ref="W3353" si="1310">+U3353-V3353</f>
        <v>870</v>
      </c>
      <c r="X3353" s="72">
        <v>0</v>
      </c>
      <c r="Y3353" s="14">
        <f t="shared" si="1306"/>
        <v>0</v>
      </c>
      <c r="Z3353" s="11" t="s">
        <v>26</v>
      </c>
      <c r="AA3353" s="12" t="s">
        <v>31</v>
      </c>
    </row>
    <row r="3354" spans="1:27" x14ac:dyDescent="0.25">
      <c r="A3354" s="10">
        <v>45707</v>
      </c>
      <c r="B3354" s="11" t="s">
        <v>6063</v>
      </c>
      <c r="C3354" s="11" t="s">
        <v>6064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2">
        <f>M3354*P3354</f>
        <v>1275</v>
      </c>
      <c r="S3354" s="72">
        <v>0</v>
      </c>
      <c r="T3354" s="72">
        <f>M3354*S3354</f>
        <v>0</v>
      </c>
      <c r="U3354" s="72">
        <f t="shared" ref="U3354" si="1311">R3354-T3354</f>
        <v>1275</v>
      </c>
      <c r="V3354" s="72">
        <f>U3354*1</f>
        <v>1275</v>
      </c>
      <c r="W3354" s="72">
        <f>U3354-V3354</f>
        <v>0</v>
      </c>
      <c r="X3354" s="72">
        <v>0</v>
      </c>
      <c r="Y3354" s="14">
        <f t="shared" si="1306"/>
        <v>0</v>
      </c>
      <c r="Z3354" s="11" t="s">
        <v>26</v>
      </c>
      <c r="AA3354" s="12" t="s">
        <v>31</v>
      </c>
    </row>
    <row r="3355" spans="1:27" x14ac:dyDescent="0.25">
      <c r="A3355" s="10">
        <v>45707</v>
      </c>
      <c r="B3355" s="11" t="s">
        <v>6065</v>
      </c>
      <c r="C3355" s="11" t="s">
        <v>6066</v>
      </c>
      <c r="D3355" s="11">
        <v>17900</v>
      </c>
      <c r="E3355" s="11" t="s">
        <v>1217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2">
        <f>L3355*O3355</f>
        <v>1066.5</v>
      </c>
      <c r="S3355" s="72">
        <v>0</v>
      </c>
      <c r="T3355" s="72">
        <f>L3355*S3355</f>
        <v>0</v>
      </c>
      <c r="U3355" s="72">
        <f>R3355-T3355</f>
        <v>1066.5</v>
      </c>
      <c r="V3355" s="72">
        <f>U3355*0</f>
        <v>0</v>
      </c>
      <c r="W3355" s="72">
        <f>U3355-V3355</f>
        <v>1066.5</v>
      </c>
      <c r="X3355" s="72">
        <v>0</v>
      </c>
      <c r="Y3355" s="14">
        <f t="shared" si="1306"/>
        <v>0</v>
      </c>
      <c r="Z3355" s="11" t="s">
        <v>26</v>
      </c>
      <c r="AA3355" s="12" t="s">
        <v>31</v>
      </c>
    </row>
    <row r="3356" spans="1:27" x14ac:dyDescent="0.25">
      <c r="A3356" s="10">
        <v>45707</v>
      </c>
      <c r="B3356" s="11" t="s">
        <v>6067</v>
      </c>
      <c r="C3356" s="11" t="s">
        <v>6068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2">
        <f>M3356*P3356</f>
        <v>1275</v>
      </c>
      <c r="S3356" s="72">
        <v>0</v>
      </c>
      <c r="T3356" s="72">
        <f>M3356*S3356</f>
        <v>0</v>
      </c>
      <c r="U3356" s="72">
        <f t="shared" ref="U3356" si="1312">R3356-T3356</f>
        <v>1275</v>
      </c>
      <c r="V3356" s="72">
        <f>U3356*1</f>
        <v>1275</v>
      </c>
      <c r="W3356" s="72">
        <f>U3356-V3356</f>
        <v>0</v>
      </c>
      <c r="X3356" s="72">
        <v>0</v>
      </c>
      <c r="Y3356" s="14">
        <f t="shared" si="1306"/>
        <v>0</v>
      </c>
      <c r="Z3356" s="11" t="s">
        <v>26</v>
      </c>
      <c r="AA3356" s="12" t="s">
        <v>31</v>
      </c>
    </row>
    <row r="3357" spans="1:27" x14ac:dyDescent="0.25">
      <c r="A3357" s="10">
        <v>45707</v>
      </c>
      <c r="B3357" s="11" t="s">
        <v>6069</v>
      </c>
      <c r="C3357" s="11" t="s">
        <v>6070</v>
      </c>
      <c r="D3357" s="11">
        <v>17902</v>
      </c>
      <c r="E3357" s="11" t="s">
        <v>6071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2">
        <f>+L3357*O3357</f>
        <v>599.4</v>
      </c>
      <c r="S3357" s="72">
        <v>0</v>
      </c>
      <c r="T3357" s="72">
        <f>+L3357*S3357</f>
        <v>0</v>
      </c>
      <c r="U3357" s="72">
        <f>+R3357-T3357</f>
        <v>599.4</v>
      </c>
      <c r="V3357" s="72">
        <f t="shared" ref="V3357" si="1313">+U3357*0</f>
        <v>0</v>
      </c>
      <c r="W3357" s="72">
        <f>+U3357-V3357</f>
        <v>599.4</v>
      </c>
      <c r="X3357" s="72">
        <v>0</v>
      </c>
      <c r="Y3357" s="14">
        <f t="shared" si="1306"/>
        <v>0</v>
      </c>
      <c r="Z3357" s="11" t="s">
        <v>26</v>
      </c>
      <c r="AA3357" s="12" t="s">
        <v>31</v>
      </c>
    </row>
    <row r="3358" spans="1:27" x14ac:dyDescent="0.25">
      <c r="A3358" s="10">
        <v>45707</v>
      </c>
      <c r="B3358" s="11" t="s">
        <v>6072</v>
      </c>
      <c r="C3358" s="11" t="s">
        <v>6073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4440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2">
        <f t="shared" ref="R3358" si="1314">+L3358*O3358</f>
        <v>1641.36</v>
      </c>
      <c r="S3358" s="72">
        <v>0</v>
      </c>
      <c r="T3358" s="72">
        <f t="shared" ref="T3358" si="1315">+L3358*S3358</f>
        <v>0</v>
      </c>
      <c r="U3358" s="72">
        <f t="shared" ref="U3358" si="1316">+R3358-T3358</f>
        <v>1641.36</v>
      </c>
      <c r="V3358" s="72">
        <f>+U3358*1</f>
        <v>1641.36</v>
      </c>
      <c r="W3358" s="72">
        <f t="shared" ref="W3358" si="1317">+U3358-V3358</f>
        <v>0</v>
      </c>
      <c r="X3358" s="72">
        <v>0</v>
      </c>
      <c r="Y3358" s="14">
        <f t="shared" si="1306"/>
        <v>0</v>
      </c>
      <c r="Z3358" s="11" t="s">
        <v>26</v>
      </c>
      <c r="AA3358" s="12" t="s">
        <v>31</v>
      </c>
    </row>
    <row r="3359" spans="1:27" x14ac:dyDescent="0.25">
      <c r="A3359" s="10">
        <v>45707</v>
      </c>
      <c r="B3359" s="11" t="s">
        <v>3054</v>
      </c>
      <c r="C3359" s="11" t="s">
        <v>6074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35</v>
      </c>
      <c r="P3359" s="13"/>
      <c r="Q3359" s="13">
        <v>0</v>
      </c>
      <c r="R3359" s="72">
        <f>+L3359*O3359</f>
        <v>1472.8</v>
      </c>
      <c r="S3359" s="72">
        <v>0</v>
      </c>
      <c r="T3359" s="72">
        <f>+L3359*S3359</f>
        <v>0</v>
      </c>
      <c r="U3359" s="72">
        <f>+R3359-T3359</f>
        <v>1472.8</v>
      </c>
      <c r="V3359" s="72">
        <f t="shared" ref="V3359" si="1318">+U3359*0</f>
        <v>0</v>
      </c>
      <c r="W3359" s="72">
        <f>+U3359-V3359</f>
        <v>1472.8</v>
      </c>
      <c r="X3359" s="72">
        <v>0</v>
      </c>
      <c r="Y3359" s="14">
        <f t="shared" si="1306"/>
        <v>0</v>
      </c>
      <c r="Z3359" s="11" t="s">
        <v>26</v>
      </c>
      <c r="AA3359" s="12" t="s">
        <v>31</v>
      </c>
    </row>
    <row r="3360" spans="1:27" x14ac:dyDescent="0.25">
      <c r="A3360" s="10">
        <v>45707</v>
      </c>
      <c r="B3360" s="11" t="s">
        <v>3358</v>
      </c>
      <c r="C3360" s="11" t="s">
        <v>6075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2">
        <f>+M3360*P3360</f>
        <v>528</v>
      </c>
      <c r="S3360" s="72">
        <v>0</v>
      </c>
      <c r="T3360" s="72">
        <f>+M3360*S3360</f>
        <v>0</v>
      </c>
      <c r="U3360" s="72">
        <f t="shared" ref="U3360" si="1319">+R3360-T3360</f>
        <v>528</v>
      </c>
      <c r="V3360" s="72">
        <f>+U3360*0</f>
        <v>0</v>
      </c>
      <c r="W3360" s="72">
        <f t="shared" ref="W3360" si="1320">+U3360-V3360</f>
        <v>528</v>
      </c>
      <c r="X3360" s="72">
        <v>0</v>
      </c>
      <c r="Y3360" s="14">
        <f t="shared" si="1306"/>
        <v>0</v>
      </c>
      <c r="Z3360" s="11" t="s">
        <v>26</v>
      </c>
      <c r="AA3360" s="12" t="s">
        <v>31</v>
      </c>
    </row>
    <row r="3361" spans="1:27" x14ac:dyDescent="0.25">
      <c r="A3361" s="10">
        <v>45707</v>
      </c>
      <c r="B3361" s="11" t="s">
        <v>6076</v>
      </c>
      <c r="C3361" s="11" t="s">
        <v>6077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2">
        <f>M3361*P3361</f>
        <v>1740</v>
      </c>
      <c r="S3361" s="72">
        <v>0</v>
      </c>
      <c r="T3361" s="72">
        <f>M3361*S3361</f>
        <v>0</v>
      </c>
      <c r="U3361" s="72">
        <f>R3361-T3361</f>
        <v>1740</v>
      </c>
      <c r="V3361" s="72">
        <f>U3361*0</f>
        <v>0</v>
      </c>
      <c r="W3361" s="72">
        <f>+U3361-V3361</f>
        <v>1740</v>
      </c>
      <c r="X3361" s="72">
        <v>0</v>
      </c>
      <c r="Y3361" s="14">
        <f t="shared" si="1306"/>
        <v>0</v>
      </c>
      <c r="Z3361" s="11" t="s">
        <v>26</v>
      </c>
      <c r="AA3361" s="12" t="s">
        <v>31</v>
      </c>
    </row>
    <row r="3362" spans="1:27" x14ac:dyDescent="0.25">
      <c r="A3362" s="10">
        <v>45707</v>
      </c>
      <c r="B3362" s="11" t="s">
        <v>6078</v>
      </c>
      <c r="C3362" s="11" t="s">
        <v>6079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2">
        <f>M3362*P3362</f>
        <v>1740</v>
      </c>
      <c r="S3362" s="72">
        <v>0</v>
      </c>
      <c r="T3362" s="72">
        <f>M3362*S3362</f>
        <v>0</v>
      </c>
      <c r="U3362" s="72">
        <f>R3362-T3362</f>
        <v>1740</v>
      </c>
      <c r="V3362" s="72">
        <f>U3362*0</f>
        <v>0</v>
      </c>
      <c r="W3362" s="72">
        <f>+U3362-V3362</f>
        <v>1740</v>
      </c>
      <c r="X3362" s="72">
        <v>0</v>
      </c>
      <c r="Y3362" s="14">
        <f t="shared" si="1306"/>
        <v>0</v>
      </c>
      <c r="Z3362" s="11" t="s">
        <v>26</v>
      </c>
      <c r="AA3362" s="12" t="s">
        <v>31</v>
      </c>
    </row>
    <row r="3363" spans="1:27" x14ac:dyDescent="0.25">
      <c r="A3363" s="10">
        <v>45707</v>
      </c>
      <c r="B3363" s="11" t="s">
        <v>6080</v>
      </c>
      <c r="C3363" s="11" t="s">
        <v>6081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4440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2">
        <f>L3363*O3363</f>
        <v>3485.24</v>
      </c>
      <c r="S3363" s="72">
        <v>43</v>
      </c>
      <c r="T3363" s="72">
        <f>L3363*S3363</f>
        <v>1683.8799999999999</v>
      </c>
      <c r="U3363" s="72">
        <f>R3363-T3363</f>
        <v>1801.36</v>
      </c>
      <c r="V3363" s="72">
        <f>U3363*1</f>
        <v>1801.36</v>
      </c>
      <c r="W3363" s="72">
        <f>U3363-V3363</f>
        <v>0</v>
      </c>
      <c r="X3363" s="72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6047</v>
      </c>
    </row>
    <row r="3364" spans="1:27" x14ac:dyDescent="0.25">
      <c r="A3364" s="10">
        <v>45707</v>
      </c>
      <c r="B3364" s="11" t="s">
        <v>6082</v>
      </c>
      <c r="C3364" s="11" t="s">
        <v>6083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2">
        <f>L3364*O3364</f>
        <v>1761.6</v>
      </c>
      <c r="S3364" s="72">
        <v>0</v>
      </c>
      <c r="T3364" s="72">
        <f>L3364*S3364</f>
        <v>0</v>
      </c>
      <c r="U3364" s="72">
        <f>R3364-T3364</f>
        <v>1761.6</v>
      </c>
      <c r="V3364" s="72">
        <f>U3364*0</f>
        <v>0</v>
      </c>
      <c r="W3364" s="72">
        <f>U3364-V3364</f>
        <v>1761.6</v>
      </c>
      <c r="X3364" s="72">
        <v>0</v>
      </c>
      <c r="Y3364" s="14">
        <f t="shared" ref="Y3364:Y3372" si="1321">T3364-X3364</f>
        <v>0</v>
      </c>
      <c r="Z3364" s="11" t="s">
        <v>26</v>
      </c>
      <c r="AA3364" s="12" t="s">
        <v>31</v>
      </c>
    </row>
    <row r="3365" spans="1:27" x14ac:dyDescent="0.25">
      <c r="A3365" s="10">
        <v>45707</v>
      </c>
      <c r="B3365" s="11" t="s">
        <v>6084</v>
      </c>
      <c r="C3365" s="11" t="s">
        <v>6085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2">
        <f>L3365*O3365</f>
        <v>1719.1999999999998</v>
      </c>
      <c r="S3365" s="72">
        <v>0</v>
      </c>
      <c r="T3365" s="72">
        <f>L3365*S3365</f>
        <v>0</v>
      </c>
      <c r="U3365" s="72">
        <f>R3365-T3365</f>
        <v>1719.1999999999998</v>
      </c>
      <c r="V3365" s="72">
        <f>U3365*0</f>
        <v>0</v>
      </c>
      <c r="W3365" s="72">
        <f>U3365-V3365</f>
        <v>1719.1999999999998</v>
      </c>
      <c r="X3365" s="72">
        <v>0</v>
      </c>
      <c r="Y3365" s="14">
        <f t="shared" si="1321"/>
        <v>0</v>
      </c>
      <c r="Z3365" s="11" t="s">
        <v>26</v>
      </c>
      <c r="AA3365" s="12" t="s">
        <v>31</v>
      </c>
    </row>
    <row r="3366" spans="1:27" x14ac:dyDescent="0.25">
      <c r="A3366" s="10">
        <v>45707</v>
      </c>
      <c r="B3366" s="11" t="s">
        <v>2703</v>
      </c>
      <c r="C3366" s="11" t="s">
        <v>6086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2">
        <f>M3366*P3366</f>
        <v>1500</v>
      </c>
      <c r="S3366" s="72">
        <v>0</v>
      </c>
      <c r="T3366" s="72">
        <f>M3366*S3366</f>
        <v>0</v>
      </c>
      <c r="U3366" s="72">
        <f t="shared" ref="U3366" si="1322">+R3366-T3366</f>
        <v>1500</v>
      </c>
      <c r="V3366" s="72">
        <f>+U3366*0</f>
        <v>0</v>
      </c>
      <c r="W3366" s="72">
        <f t="shared" ref="W3366" si="1323">+U3366-V3366</f>
        <v>1500</v>
      </c>
      <c r="X3366" s="72">
        <v>0</v>
      </c>
      <c r="Y3366" s="14">
        <f t="shared" si="1321"/>
        <v>0</v>
      </c>
      <c r="Z3366" s="11" t="s">
        <v>26</v>
      </c>
      <c r="AA3366" s="12" t="s">
        <v>31</v>
      </c>
    </row>
    <row r="3367" spans="1:27" x14ac:dyDescent="0.25">
      <c r="A3367" s="10">
        <v>45708</v>
      </c>
      <c r="B3367" s="11" t="s">
        <v>6087</v>
      </c>
      <c r="C3367" s="11" t="s">
        <v>6088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4465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2">
        <f>+L3367*O3367</f>
        <v>1766.5475999999999</v>
      </c>
      <c r="S3367" s="72">
        <v>0</v>
      </c>
      <c r="T3367" s="72">
        <f>+L3367*S3367</f>
        <v>0</v>
      </c>
      <c r="U3367" s="72">
        <f>+R3367-T3367</f>
        <v>1766.5475999999999</v>
      </c>
      <c r="V3367" s="72">
        <f>+U3367*0.75</f>
        <v>1324.9106999999999</v>
      </c>
      <c r="W3367" s="72">
        <f>+U3367-V3367</f>
        <v>441.63689999999997</v>
      </c>
      <c r="X3367" s="72">
        <v>0</v>
      </c>
      <c r="Y3367" s="14">
        <f t="shared" si="1321"/>
        <v>0</v>
      </c>
      <c r="Z3367" s="11" t="s">
        <v>26</v>
      </c>
      <c r="AA3367" s="12" t="s">
        <v>31</v>
      </c>
    </row>
    <row r="3368" spans="1:27" x14ac:dyDescent="0.25">
      <c r="A3368" s="10">
        <v>45708</v>
      </c>
      <c r="B3368" s="11" t="s">
        <v>6089</v>
      </c>
      <c r="C3368" s="11" t="s">
        <v>6090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4465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2">
        <f>+L3368*O3368</f>
        <v>1648.1987999999999</v>
      </c>
      <c r="S3368" s="72">
        <v>0</v>
      </c>
      <c r="T3368" s="72">
        <f>+L3368*S3368</f>
        <v>0</v>
      </c>
      <c r="U3368" s="72">
        <f>+R3368-T3368</f>
        <v>1648.1987999999999</v>
      </c>
      <c r="V3368" s="72">
        <f>+U3368*0.75</f>
        <v>1236.1490999999999</v>
      </c>
      <c r="W3368" s="72">
        <f>+U3368-V3368</f>
        <v>412.04970000000003</v>
      </c>
      <c r="X3368" s="72">
        <v>0</v>
      </c>
      <c r="Y3368" s="14">
        <f t="shared" si="1321"/>
        <v>0</v>
      </c>
      <c r="Z3368" s="11" t="s">
        <v>26</v>
      </c>
      <c r="AA3368" s="12" t="s">
        <v>31</v>
      </c>
    </row>
    <row r="3369" spans="1:27" x14ac:dyDescent="0.25">
      <c r="A3369" s="10">
        <v>45708</v>
      </c>
      <c r="B3369" s="11" t="s">
        <v>1819</v>
      </c>
      <c r="C3369" s="11" t="s">
        <v>6091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4440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2">
        <f t="shared" ref="R3369" si="1325">+L3369*O3369</f>
        <v>1565.76</v>
      </c>
      <c r="S3369" s="72">
        <v>0</v>
      </c>
      <c r="T3369" s="72">
        <f t="shared" ref="T3369" si="1326">+L3369*S3369</f>
        <v>0</v>
      </c>
      <c r="U3369" s="72">
        <f t="shared" ref="U3369:U3370" si="1327">+R3369-T3369</f>
        <v>1565.76</v>
      </c>
      <c r="V3369" s="72">
        <f>+U3369*1</f>
        <v>1565.76</v>
      </c>
      <c r="W3369" s="72">
        <f t="shared" ref="W3369:W3370" si="1328">+U3369-V3369</f>
        <v>0</v>
      </c>
      <c r="X3369" s="72">
        <v>0</v>
      </c>
      <c r="Y3369" s="14">
        <f t="shared" si="1321"/>
        <v>0</v>
      </c>
      <c r="Z3369" s="11" t="s">
        <v>26</v>
      </c>
      <c r="AA3369" s="12" t="s">
        <v>31</v>
      </c>
    </row>
    <row r="3370" spans="1:27" x14ac:dyDescent="0.25">
      <c r="A3370" s="10">
        <v>45708</v>
      </c>
      <c r="B3370" s="11" t="s">
        <v>6092</v>
      </c>
      <c r="C3370" s="11" t="s">
        <v>6093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4440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2">
        <f>+L3370*O3370</f>
        <v>1457.1000000000001</v>
      </c>
      <c r="S3370" s="72">
        <v>0</v>
      </c>
      <c r="T3370" s="72">
        <f>+L3370*S3370</f>
        <v>0</v>
      </c>
      <c r="U3370" s="72">
        <f t="shared" si="1327"/>
        <v>1457.1000000000001</v>
      </c>
      <c r="V3370" s="72">
        <f>+U3370*1</f>
        <v>1457.1000000000001</v>
      </c>
      <c r="W3370" s="72">
        <f t="shared" si="1328"/>
        <v>0</v>
      </c>
      <c r="X3370" s="72">
        <v>0</v>
      </c>
      <c r="Y3370" s="14">
        <f t="shared" si="1321"/>
        <v>0</v>
      </c>
      <c r="Z3370" s="11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6094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4465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2">
        <f>+L3371*O3371</f>
        <v>1848.5573999999999</v>
      </c>
      <c r="S3371" s="72">
        <v>0</v>
      </c>
      <c r="T3371" s="72">
        <f>+L3371*S3371</f>
        <v>0</v>
      </c>
      <c r="U3371" s="72">
        <f>+R3371-T3371</f>
        <v>1848.5573999999999</v>
      </c>
      <c r="V3371" s="72">
        <f>+U3371*0.75</f>
        <v>1386.41805</v>
      </c>
      <c r="W3371" s="72">
        <f>+U3371-V3371</f>
        <v>462.13934999999992</v>
      </c>
      <c r="X3371" s="72">
        <v>0</v>
      </c>
      <c r="Y3371" s="14">
        <f t="shared" si="1321"/>
        <v>0</v>
      </c>
      <c r="Z3371" s="11" t="s">
        <v>26</v>
      </c>
      <c r="AA3371" s="12" t="s">
        <v>31</v>
      </c>
    </row>
    <row r="3372" spans="1:27" x14ac:dyDescent="0.25">
      <c r="A3372" s="10">
        <v>45708</v>
      </c>
      <c r="B3372" s="11" t="s">
        <v>6095</v>
      </c>
      <c r="C3372" s="11" t="s">
        <v>6096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2">
        <f>M3372*P3372</f>
        <v>1600</v>
      </c>
      <c r="S3372" s="72">
        <v>0</v>
      </c>
      <c r="T3372" s="72">
        <f>M3372*S3372</f>
        <v>0</v>
      </c>
      <c r="U3372" s="72">
        <f>R3372-T3372</f>
        <v>1600</v>
      </c>
      <c r="V3372" s="72">
        <f t="shared" ref="V3372" si="1329">U3372*0</f>
        <v>0</v>
      </c>
      <c r="W3372" s="72">
        <f t="shared" ref="W3372:W3373" si="1330">U3372-V3372</f>
        <v>1600</v>
      </c>
      <c r="X3372" s="72">
        <v>0</v>
      </c>
      <c r="Y3372" s="14">
        <f t="shared" si="1321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6097</v>
      </c>
      <c r="C3373" s="11" t="s">
        <v>6098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2">
        <f>+L3373*O3373</f>
        <v>3863.86</v>
      </c>
      <c r="S3373" s="72">
        <v>40</v>
      </c>
      <c r="T3373" s="72">
        <f>L3373*S3373</f>
        <v>1698.4</v>
      </c>
      <c r="U3373" s="72">
        <f t="shared" ref="U3373" si="1331">R3373-T3373</f>
        <v>2165.46</v>
      </c>
      <c r="V3373" s="72">
        <f>U3373*1</f>
        <v>2165.46</v>
      </c>
      <c r="W3373" s="72">
        <f t="shared" si="1330"/>
        <v>0</v>
      </c>
      <c r="X3373" s="72">
        <f>L3373*37</f>
        <v>1571.02</v>
      </c>
      <c r="Y3373" s="73">
        <f>+T3373-X3373</f>
        <v>127.38000000000011</v>
      </c>
      <c r="Z3373" s="12" t="s">
        <v>41</v>
      </c>
      <c r="AA3373" s="12" t="s">
        <v>79</v>
      </c>
    </row>
    <row r="3374" spans="1:27" x14ac:dyDescent="0.25">
      <c r="A3374" s="10">
        <v>45708</v>
      </c>
      <c r="B3374" s="11" t="s">
        <v>6092</v>
      </c>
      <c r="C3374" s="11" t="s">
        <v>6099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4440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2">
        <f>L3374*O3374</f>
        <v>3808.6400000000003</v>
      </c>
      <c r="S3374" s="72">
        <v>43</v>
      </c>
      <c r="T3374" s="72">
        <f>L3374*S3374</f>
        <v>1861.04</v>
      </c>
      <c r="U3374" s="72">
        <f>R3374-T3374</f>
        <v>1947.6000000000004</v>
      </c>
      <c r="V3374" s="72">
        <f>U3374*1</f>
        <v>1947.6000000000004</v>
      </c>
      <c r="W3374" s="72">
        <f>U3374-V3374</f>
        <v>0</v>
      </c>
      <c r="X3374" s="72">
        <f>L3374*42</f>
        <v>1817.76</v>
      </c>
      <c r="Y3374" s="14">
        <f>T3374-X3374</f>
        <v>43.279999999999973</v>
      </c>
      <c r="Z3374" s="12" t="s">
        <v>141</v>
      </c>
      <c r="AA3374" s="12" t="s">
        <v>6047</v>
      </c>
    </row>
    <row r="3375" spans="1:27" x14ac:dyDescent="0.25">
      <c r="A3375" s="10">
        <v>45708</v>
      </c>
      <c r="B3375" s="11" t="s">
        <v>6100</v>
      </c>
      <c r="C3375" s="11" t="s">
        <v>6101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2">
        <f>M3375*P3375</f>
        <v>1275</v>
      </c>
      <c r="S3375" s="72">
        <v>0</v>
      </c>
      <c r="T3375" s="72">
        <f>M3375*S3375</f>
        <v>0</v>
      </c>
      <c r="U3375" s="72">
        <f t="shared" ref="U3375" si="1332">R3375-T3375</f>
        <v>1275</v>
      </c>
      <c r="V3375" s="72">
        <f>U3375*1</f>
        <v>1275</v>
      </c>
      <c r="W3375" s="72">
        <f>U3375-V3375</f>
        <v>0</v>
      </c>
      <c r="X3375" s="72">
        <v>0</v>
      </c>
      <c r="Y3375" s="14">
        <f t="shared" ref="Y3375:Y3380" si="1333">T3375-X3375</f>
        <v>0</v>
      </c>
      <c r="Z3375" s="11" t="s">
        <v>26</v>
      </c>
      <c r="AA3375" s="12" t="s">
        <v>31</v>
      </c>
    </row>
    <row r="3376" spans="1:27" x14ac:dyDescent="0.25">
      <c r="A3376" s="10">
        <v>45708</v>
      </c>
      <c r="B3376" s="11" t="s">
        <v>6102</v>
      </c>
      <c r="C3376" s="11" t="s">
        <v>6103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35</v>
      </c>
      <c r="P3376" s="13"/>
      <c r="Q3376" s="13">
        <v>0</v>
      </c>
      <c r="R3376" s="72">
        <f>+L3376*O3376</f>
        <v>1526</v>
      </c>
      <c r="S3376" s="72">
        <v>0</v>
      </c>
      <c r="T3376" s="72">
        <f>+L3376*S3376</f>
        <v>0</v>
      </c>
      <c r="U3376" s="72">
        <f>+R3376-T3376</f>
        <v>1526</v>
      </c>
      <c r="V3376" s="72">
        <f t="shared" ref="V3376" si="1334">+U3376*0</f>
        <v>0</v>
      </c>
      <c r="W3376" s="72">
        <f>+U3376-V3376</f>
        <v>1526</v>
      </c>
      <c r="X3376" s="72">
        <v>0</v>
      </c>
      <c r="Y3376" s="14">
        <f t="shared" si="1333"/>
        <v>0</v>
      </c>
      <c r="Z3376" s="11" t="s">
        <v>26</v>
      </c>
      <c r="AA3376" s="12" t="s">
        <v>31</v>
      </c>
    </row>
    <row r="3377" spans="1:27" x14ac:dyDescent="0.25">
      <c r="A3377" s="10">
        <v>45708</v>
      </c>
      <c r="B3377" s="11" t="s">
        <v>1865</v>
      </c>
      <c r="C3377" s="11" t="s">
        <v>6104</v>
      </c>
      <c r="D3377" s="11">
        <v>17922</v>
      </c>
      <c r="E3377" s="11" t="s">
        <v>1217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2">
        <f>L3377*O3377</f>
        <v>1069.5</v>
      </c>
      <c r="S3377" s="72">
        <v>0</v>
      </c>
      <c r="T3377" s="72">
        <f>L3377*S3377</f>
        <v>0</v>
      </c>
      <c r="U3377" s="72">
        <f>R3377-T3377</f>
        <v>1069.5</v>
      </c>
      <c r="V3377" s="72">
        <f>U3377*0</f>
        <v>0</v>
      </c>
      <c r="W3377" s="72">
        <f>U3377-V3377</f>
        <v>1069.5</v>
      </c>
      <c r="X3377" s="72">
        <v>0</v>
      </c>
      <c r="Y3377" s="14">
        <f t="shared" si="1333"/>
        <v>0</v>
      </c>
      <c r="Z3377" s="11" t="s">
        <v>26</v>
      </c>
      <c r="AA3377" s="12" t="s">
        <v>31</v>
      </c>
    </row>
    <row r="3378" spans="1:27" x14ac:dyDescent="0.25">
      <c r="A3378" s="10">
        <v>45708</v>
      </c>
      <c r="B3378" s="11" t="s">
        <v>4188</v>
      </c>
      <c r="C3378" s="11" t="s">
        <v>6105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35</v>
      </c>
      <c r="P3378" s="13"/>
      <c r="Q3378" s="13">
        <v>0</v>
      </c>
      <c r="R3378" s="72">
        <f>+L3378*O3378</f>
        <v>1502.8999999999999</v>
      </c>
      <c r="S3378" s="72">
        <v>0</v>
      </c>
      <c r="T3378" s="72">
        <f>+L3378*S3378</f>
        <v>0</v>
      </c>
      <c r="U3378" s="72">
        <f>+R3378-T3378</f>
        <v>1502.8999999999999</v>
      </c>
      <c r="V3378" s="72">
        <f t="shared" ref="V3378" si="1335">+U3378*0</f>
        <v>0</v>
      </c>
      <c r="W3378" s="72">
        <f>+U3378-V3378</f>
        <v>1502.8999999999999</v>
      </c>
      <c r="X3378" s="72">
        <v>0</v>
      </c>
      <c r="Y3378" s="14">
        <f t="shared" si="1333"/>
        <v>0</v>
      </c>
      <c r="Z3378" s="11" t="s">
        <v>26</v>
      </c>
      <c r="AA3378" s="12" t="s">
        <v>31</v>
      </c>
    </row>
    <row r="3379" spans="1:27" x14ac:dyDescent="0.25">
      <c r="A3379" s="10">
        <v>45708</v>
      </c>
      <c r="B3379" s="11" t="s">
        <v>1765</v>
      </c>
      <c r="C3379" s="11" t="s">
        <v>6106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2">
        <f>M3379*P3379</f>
        <v>1275</v>
      </c>
      <c r="S3379" s="72">
        <v>0</v>
      </c>
      <c r="T3379" s="72">
        <f>M3379*S3379</f>
        <v>0</v>
      </c>
      <c r="U3379" s="72">
        <f t="shared" ref="U3379" si="1336">R3379-T3379</f>
        <v>1275</v>
      </c>
      <c r="V3379" s="72">
        <f>U3379*1</f>
        <v>1275</v>
      </c>
      <c r="W3379" s="72">
        <f>U3379-V3379</f>
        <v>0</v>
      </c>
      <c r="X3379" s="72">
        <v>0</v>
      </c>
      <c r="Y3379" s="14">
        <f t="shared" si="1333"/>
        <v>0</v>
      </c>
      <c r="Z3379" s="11" t="s">
        <v>26</v>
      </c>
      <c r="AA3379" s="12" t="s">
        <v>31</v>
      </c>
    </row>
    <row r="3380" spans="1:27" x14ac:dyDescent="0.25">
      <c r="A3380" s="10">
        <v>45708</v>
      </c>
      <c r="B3380" s="11" t="s">
        <v>6107</v>
      </c>
      <c r="C3380" s="11" t="s">
        <v>6108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4440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2">
        <f t="shared" ref="R3380" si="1337">+L3380*O3380</f>
        <v>1648.64</v>
      </c>
      <c r="S3380" s="72">
        <v>0</v>
      </c>
      <c r="T3380" s="72">
        <f t="shared" ref="T3380" si="1338">+L3380*S3380</f>
        <v>0</v>
      </c>
      <c r="U3380" s="72">
        <f t="shared" ref="U3380" si="1339">+R3380-T3380</f>
        <v>1648.64</v>
      </c>
      <c r="V3380" s="72">
        <f>+U3380*1</f>
        <v>1648.64</v>
      </c>
      <c r="W3380" s="72">
        <f t="shared" ref="W3380" si="1340">+U3380-V3380</f>
        <v>0</v>
      </c>
      <c r="X3380" s="72">
        <v>0</v>
      </c>
      <c r="Y3380" s="14">
        <f t="shared" si="1333"/>
        <v>0</v>
      </c>
      <c r="Z3380" s="11" t="s">
        <v>26</v>
      </c>
      <c r="AA3380" s="12" t="s">
        <v>31</v>
      </c>
    </row>
    <row r="3381" spans="1:27" x14ac:dyDescent="0.25">
      <c r="A3381" s="10">
        <v>45708</v>
      </c>
      <c r="B3381" s="11" t="s">
        <v>6109</v>
      </c>
      <c r="C3381" s="11" t="s">
        <v>6110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4440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2">
        <f>L3381*O3381</f>
        <v>3442.56</v>
      </c>
      <c r="S3381" s="72">
        <v>43</v>
      </c>
      <c r="T3381" s="72">
        <f>L3381*S3381</f>
        <v>1682.1599999999999</v>
      </c>
      <c r="U3381" s="72">
        <f>R3381-T3381</f>
        <v>1760.4</v>
      </c>
      <c r="V3381" s="72">
        <f>U3381*1</f>
        <v>1760.4</v>
      </c>
      <c r="W3381" s="72">
        <f>U3381-V3381</f>
        <v>0</v>
      </c>
      <c r="X3381" s="72">
        <f>L3381*42</f>
        <v>1643.04</v>
      </c>
      <c r="Y3381" s="14">
        <f>T3381-X3381</f>
        <v>39.119999999999891</v>
      </c>
      <c r="Z3381" s="12" t="s">
        <v>141</v>
      </c>
      <c r="AA3381" s="12" t="s">
        <v>6047</v>
      </c>
    </row>
    <row r="3382" spans="1:27" x14ac:dyDescent="0.25">
      <c r="A3382" s="10">
        <v>45708</v>
      </c>
      <c r="B3382" s="11" t="s">
        <v>6111</v>
      </c>
      <c r="C3382" s="11" t="s">
        <v>6112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2">
        <f>M3382*P3382</f>
        <v>1600</v>
      </c>
      <c r="S3382" s="72">
        <v>0</v>
      </c>
      <c r="T3382" s="72">
        <f>M3382*S3382</f>
        <v>0</v>
      </c>
      <c r="U3382" s="72">
        <f>R3382-T3382</f>
        <v>1600</v>
      </c>
      <c r="V3382" s="72">
        <f>U3382*0</f>
        <v>0</v>
      </c>
      <c r="W3382" s="72">
        <f>+U3382-V3382</f>
        <v>1600</v>
      </c>
      <c r="X3382" s="72">
        <v>0</v>
      </c>
      <c r="Y3382" s="14">
        <f t="shared" ref="Y3382:Y3384" si="1341">T3382-X3382</f>
        <v>0</v>
      </c>
      <c r="Z3382" s="11" t="s">
        <v>26</v>
      </c>
      <c r="AA3382" s="12" t="s">
        <v>31</v>
      </c>
    </row>
    <row r="3383" spans="1:27" x14ac:dyDescent="0.25">
      <c r="A3383" s="10">
        <v>45708</v>
      </c>
      <c r="B3383" s="11" t="s">
        <v>1074</v>
      </c>
      <c r="C3383" s="11" t="s">
        <v>6113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35</v>
      </c>
      <c r="P3383" s="13"/>
      <c r="Q3383" s="13">
        <v>0</v>
      </c>
      <c r="R3383" s="72">
        <f>+L3383*O3383</f>
        <v>1489.6000000000001</v>
      </c>
      <c r="S3383" s="72">
        <v>0</v>
      </c>
      <c r="T3383" s="72">
        <f>+L3383*S3383</f>
        <v>0</v>
      </c>
      <c r="U3383" s="72">
        <f>+R3383-T3383</f>
        <v>1489.6000000000001</v>
      </c>
      <c r="V3383" s="72">
        <f t="shared" ref="V3383" si="1342">+U3383*0</f>
        <v>0</v>
      </c>
      <c r="W3383" s="72">
        <f>+U3383-V3383</f>
        <v>1489.6000000000001</v>
      </c>
      <c r="X3383" s="72">
        <v>0</v>
      </c>
      <c r="Y3383" s="14">
        <f t="shared" si="1341"/>
        <v>0</v>
      </c>
      <c r="Z3383" s="11" t="s">
        <v>26</v>
      </c>
      <c r="AA3383" s="12" t="s">
        <v>31</v>
      </c>
    </row>
    <row r="3384" spans="1:27" x14ac:dyDescent="0.25">
      <c r="A3384" s="10">
        <v>45708</v>
      </c>
      <c r="B3384" s="11" t="s">
        <v>6114</v>
      </c>
      <c r="C3384" s="11" t="s">
        <v>6115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4440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2">
        <f t="shared" ref="R3384" si="1343">+L3384*O3384</f>
        <v>1603.56</v>
      </c>
      <c r="S3384" s="72">
        <v>0</v>
      </c>
      <c r="T3384" s="72">
        <f t="shared" ref="T3384" si="1344">+L3384*S3384</f>
        <v>0</v>
      </c>
      <c r="U3384" s="72">
        <f t="shared" ref="U3384" si="1345">+R3384-T3384</f>
        <v>1603.56</v>
      </c>
      <c r="V3384" s="72">
        <f>+U3384*1</f>
        <v>1603.56</v>
      </c>
      <c r="W3384" s="72">
        <f t="shared" ref="W3384" si="1346">+U3384-V3384</f>
        <v>0</v>
      </c>
      <c r="X3384" s="72">
        <v>0</v>
      </c>
      <c r="Y3384" s="14">
        <f t="shared" si="1341"/>
        <v>0</v>
      </c>
      <c r="Z3384" s="11" t="s">
        <v>26</v>
      </c>
      <c r="AA3384" s="12" t="s">
        <v>31</v>
      </c>
    </row>
    <row r="3385" spans="1:27" x14ac:dyDescent="0.25">
      <c r="A3385" s="10">
        <v>45708</v>
      </c>
      <c r="B3385" s="11" t="s">
        <v>6116</v>
      </c>
      <c r="C3385" s="11" t="s">
        <v>6117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4439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2">
        <f t="shared" ref="R3385" si="1347">L3385*O3385</f>
        <v>3668.6</v>
      </c>
      <c r="S3385" s="72">
        <v>38</v>
      </c>
      <c r="T3385" s="72">
        <f t="shared" ref="T3385" si="1348">L3385*S3385</f>
        <v>1640.08</v>
      </c>
      <c r="U3385" s="72">
        <f t="shared" ref="U3385:U3386" si="1349">R3385-T3385</f>
        <v>2028.52</v>
      </c>
      <c r="V3385" s="72">
        <f>U3385*1</f>
        <v>2028.52</v>
      </c>
      <c r="W3385" s="72">
        <f t="shared" ref="W3385:W3387" si="1350">U3385-V3385</f>
        <v>0</v>
      </c>
      <c r="X3385" s="72">
        <f>L3385*37</f>
        <v>1596.9199999999998</v>
      </c>
      <c r="Y3385" s="73">
        <f>+T3385-X3385</f>
        <v>43.160000000000082</v>
      </c>
      <c r="Z3385" s="12" t="s">
        <v>41</v>
      </c>
      <c r="AA3385" s="12" t="s">
        <v>78</v>
      </c>
    </row>
    <row r="3386" spans="1:27" x14ac:dyDescent="0.25">
      <c r="A3386" s="10">
        <v>45708</v>
      </c>
      <c r="B3386" s="11" t="s">
        <v>6118</v>
      </c>
      <c r="C3386" s="11" t="s">
        <v>6119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2">
        <f>+L3386*O3386</f>
        <v>3769.2200000000003</v>
      </c>
      <c r="S3386" s="72">
        <v>40</v>
      </c>
      <c r="T3386" s="72">
        <f>L3386*S3386</f>
        <v>1656.8000000000002</v>
      </c>
      <c r="U3386" s="72">
        <f t="shared" si="1349"/>
        <v>2112.42</v>
      </c>
      <c r="V3386" s="72">
        <f>U3386*1</f>
        <v>2112.42</v>
      </c>
      <c r="W3386" s="72">
        <f t="shared" si="1350"/>
        <v>0</v>
      </c>
      <c r="X3386" s="72">
        <f>L3386*37</f>
        <v>1532.54</v>
      </c>
      <c r="Y3386" s="73">
        <f>+T3386-X3386</f>
        <v>124.26000000000022</v>
      </c>
      <c r="Z3386" s="12" t="s">
        <v>41</v>
      </c>
      <c r="AA3386" s="12" t="s">
        <v>79</v>
      </c>
    </row>
    <row r="3387" spans="1:27" x14ac:dyDescent="0.25">
      <c r="A3387" s="10">
        <v>45708</v>
      </c>
      <c r="B3387" s="11" t="s">
        <v>6120</v>
      </c>
      <c r="C3387" s="11" t="s">
        <v>6121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2">
        <f>M3387*P3387</f>
        <v>1600</v>
      </c>
      <c r="S3387" s="72">
        <v>0</v>
      </c>
      <c r="T3387" s="72">
        <f>M3387*S3387</f>
        <v>0</v>
      </c>
      <c r="U3387" s="72">
        <f>R3387-T3387</f>
        <v>1600</v>
      </c>
      <c r="V3387" s="72">
        <f t="shared" ref="V3387" si="1351">U3387*0</f>
        <v>0</v>
      </c>
      <c r="W3387" s="72">
        <f t="shared" si="1350"/>
        <v>1600</v>
      </c>
      <c r="X3387" s="72">
        <v>0</v>
      </c>
      <c r="Y3387" s="14">
        <f t="shared" ref="Y3387:Y3403" si="1352">T3387-X3387</f>
        <v>0</v>
      </c>
      <c r="Z3387" s="11" t="s">
        <v>26</v>
      </c>
      <c r="AA3387" s="12" t="s">
        <v>31</v>
      </c>
    </row>
    <row r="3388" spans="1:27" x14ac:dyDescent="0.25">
      <c r="A3388" s="10">
        <v>45708</v>
      </c>
      <c r="B3388" s="11" t="s">
        <v>6122</v>
      </c>
      <c r="C3388" s="11" t="s">
        <v>6123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4464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13">
        <v>65.599999999999994</v>
      </c>
      <c r="Q3388" s="13">
        <v>0</v>
      </c>
      <c r="R3388" s="72">
        <f>+M3388*P3388</f>
        <v>787.19999999999993</v>
      </c>
      <c r="S3388" s="72">
        <v>0</v>
      </c>
      <c r="T3388" s="72">
        <f>+M3388*S3388</f>
        <v>0</v>
      </c>
      <c r="U3388" s="72">
        <f t="shared" ref="U3388" si="1353">+R3388-T3388</f>
        <v>787.19999999999993</v>
      </c>
      <c r="V3388" s="72">
        <f>+U3388*1</f>
        <v>787.19999999999993</v>
      </c>
      <c r="W3388" s="72">
        <f t="shared" ref="W3388" si="1354">+U3388-V3388</f>
        <v>0</v>
      </c>
      <c r="X3388" s="72">
        <v>0</v>
      </c>
      <c r="Y3388" s="14">
        <f t="shared" si="1352"/>
        <v>0</v>
      </c>
      <c r="Z3388" s="11" t="s">
        <v>26</v>
      </c>
      <c r="AA3388" s="12" t="s">
        <v>31</v>
      </c>
    </row>
    <row r="3389" spans="1:27" x14ac:dyDescent="0.25">
      <c r="A3389" s="10">
        <v>45708</v>
      </c>
      <c r="B3389" s="11" t="s">
        <v>680</v>
      </c>
      <c r="C3389" s="11" t="s">
        <v>6124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1926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2">
        <f>M3389*P3389</f>
        <v>1350</v>
      </c>
      <c r="S3389" s="72">
        <v>0</v>
      </c>
      <c r="T3389" s="72">
        <f>M3389*S3389</f>
        <v>0</v>
      </c>
      <c r="U3389" s="72">
        <f t="shared" ref="U3389" si="1355">R3389-T3389</f>
        <v>1350</v>
      </c>
      <c r="V3389" s="72">
        <f>U3389*1</f>
        <v>1350</v>
      </c>
      <c r="W3389" s="72">
        <f>U3389-V3389</f>
        <v>0</v>
      </c>
      <c r="X3389" s="72">
        <v>0</v>
      </c>
      <c r="Y3389" s="14">
        <f t="shared" si="1352"/>
        <v>0</v>
      </c>
      <c r="Z3389" s="11" t="s">
        <v>26</v>
      </c>
      <c r="AA3389" s="12" t="s">
        <v>31</v>
      </c>
    </row>
    <row r="3390" spans="1:27" x14ac:dyDescent="0.25">
      <c r="A3390" s="10">
        <v>45708</v>
      </c>
      <c r="B3390" s="11" t="s">
        <v>6125</v>
      </c>
      <c r="C3390" s="11" t="s">
        <v>6126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2">
        <f>M3390*P3390</f>
        <v>1500</v>
      </c>
      <c r="S3390" s="72">
        <v>0</v>
      </c>
      <c r="T3390" s="72">
        <f>M3390*S3390</f>
        <v>0</v>
      </c>
      <c r="U3390" s="72">
        <f t="shared" ref="U3390:U3392" si="1356">+R3390-T3390</f>
        <v>1500</v>
      </c>
      <c r="V3390" s="72">
        <f>+U3390*0</f>
        <v>0</v>
      </c>
      <c r="W3390" s="72">
        <f t="shared" ref="W3390:W3392" si="1357">+U3390-V3390</f>
        <v>1500</v>
      </c>
      <c r="X3390" s="72">
        <v>0</v>
      </c>
      <c r="Y3390" s="14">
        <f t="shared" si="1352"/>
        <v>0</v>
      </c>
      <c r="Z3390" s="11" t="s">
        <v>26</v>
      </c>
      <c r="AA3390" s="12" t="s">
        <v>31</v>
      </c>
    </row>
    <row r="3391" spans="1:27" x14ac:dyDescent="0.25">
      <c r="A3391" s="10">
        <v>45708</v>
      </c>
      <c r="B3391" s="11" t="s">
        <v>6127</v>
      </c>
      <c r="C3391" s="11" t="s">
        <v>6128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2">
        <f>M3391*P3391</f>
        <v>1500</v>
      </c>
      <c r="S3391" s="72">
        <v>0</v>
      </c>
      <c r="T3391" s="72">
        <f>M3391*S3391</f>
        <v>0</v>
      </c>
      <c r="U3391" s="72">
        <f t="shared" si="1356"/>
        <v>1500</v>
      </c>
      <c r="V3391" s="72">
        <f>+U3391*0</f>
        <v>0</v>
      </c>
      <c r="W3391" s="72">
        <f t="shared" si="1357"/>
        <v>1500</v>
      </c>
      <c r="X3391" s="72">
        <v>0</v>
      </c>
      <c r="Y3391" s="14">
        <f t="shared" si="1352"/>
        <v>0</v>
      </c>
      <c r="Z3391" s="11" t="s">
        <v>26</v>
      </c>
      <c r="AA3391" s="12" t="s">
        <v>31</v>
      </c>
    </row>
    <row r="3392" spans="1:27" x14ac:dyDescent="0.25">
      <c r="A3392" s="10">
        <v>45708</v>
      </c>
      <c r="B3392" s="11" t="s">
        <v>6129</v>
      </c>
      <c r="C3392" s="11" t="s">
        <v>6130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2">
        <f>+M3392*P3392</f>
        <v>576</v>
      </c>
      <c r="S3392" s="72">
        <v>0</v>
      </c>
      <c r="T3392" s="72">
        <f>+M3392*S3392</f>
        <v>0</v>
      </c>
      <c r="U3392" s="72">
        <f t="shared" si="1356"/>
        <v>576</v>
      </c>
      <c r="V3392" s="72">
        <f>+U3392*0</f>
        <v>0</v>
      </c>
      <c r="W3392" s="72">
        <f t="shared" si="1357"/>
        <v>576</v>
      </c>
      <c r="X3392" s="72">
        <v>0</v>
      </c>
      <c r="Y3392" s="14">
        <f t="shared" si="1352"/>
        <v>0</v>
      </c>
      <c r="Z3392" s="11" t="s">
        <v>26</v>
      </c>
      <c r="AA3392" s="12" t="s">
        <v>31</v>
      </c>
    </row>
    <row r="3393" spans="1:27" x14ac:dyDescent="0.25">
      <c r="A3393" s="10">
        <v>45708</v>
      </c>
      <c r="B3393" s="11" t="s">
        <v>2836</v>
      </c>
      <c r="C3393" s="11" t="s">
        <v>6131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1926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2">
        <f>M3393*P3393</f>
        <v>1350</v>
      </c>
      <c r="S3393" s="72">
        <v>0</v>
      </c>
      <c r="T3393" s="72">
        <f>M3393*S3393</f>
        <v>0</v>
      </c>
      <c r="U3393" s="72">
        <f t="shared" ref="U3393" si="1358">R3393-T3393</f>
        <v>1350</v>
      </c>
      <c r="V3393" s="72">
        <f>U3393*1</f>
        <v>1350</v>
      </c>
      <c r="W3393" s="72">
        <f>U3393-V3393</f>
        <v>0</v>
      </c>
      <c r="X3393" s="72">
        <v>0</v>
      </c>
      <c r="Y3393" s="14">
        <f t="shared" si="1352"/>
        <v>0</v>
      </c>
      <c r="Z3393" s="11" t="s">
        <v>26</v>
      </c>
      <c r="AA3393" s="12" t="s">
        <v>31</v>
      </c>
    </row>
    <row r="3394" spans="1:27" x14ac:dyDescent="0.25">
      <c r="A3394" s="10">
        <v>45708</v>
      </c>
      <c r="B3394" s="11" t="s">
        <v>6132</v>
      </c>
      <c r="C3394" s="11" t="s">
        <v>6133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4440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2">
        <f t="shared" ref="R3394" si="1359">+L3394*O3394</f>
        <v>1538.2399999999998</v>
      </c>
      <c r="S3394" s="72">
        <v>0</v>
      </c>
      <c r="T3394" s="72">
        <f t="shared" ref="T3394:T3395" si="1360">+L3394*S3394</f>
        <v>0</v>
      </c>
      <c r="U3394" s="72">
        <f t="shared" ref="U3394:U3395" si="1361">+R3394-T3394</f>
        <v>1538.2399999999998</v>
      </c>
      <c r="V3394" s="72">
        <f>+U3394*1</f>
        <v>1538.2399999999998</v>
      </c>
      <c r="W3394" s="72">
        <f t="shared" ref="W3394:W3395" si="1362">+U3394-V3394</f>
        <v>0</v>
      </c>
      <c r="X3394" s="72">
        <v>0</v>
      </c>
      <c r="Y3394" s="14">
        <f t="shared" si="1352"/>
        <v>0</v>
      </c>
      <c r="Z3394" s="11" t="s">
        <v>26</v>
      </c>
      <c r="AA3394" s="12" t="s">
        <v>31</v>
      </c>
    </row>
    <row r="3395" spans="1:27" x14ac:dyDescent="0.25">
      <c r="A3395" s="10">
        <v>45708</v>
      </c>
      <c r="B3395" s="11" t="s">
        <v>617</v>
      </c>
      <c r="C3395" s="11" t="s">
        <v>6134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2">
        <f>(L3395*O3395)-Q3395</f>
        <v>451.79999999999995</v>
      </c>
      <c r="S3395" s="72">
        <v>0</v>
      </c>
      <c r="T3395" s="72">
        <f t="shared" si="1360"/>
        <v>0</v>
      </c>
      <c r="U3395" s="72">
        <f t="shared" si="1361"/>
        <v>451.79999999999995</v>
      </c>
      <c r="V3395" s="72">
        <f>+U3395*0</f>
        <v>0</v>
      </c>
      <c r="W3395" s="72">
        <f t="shared" si="1362"/>
        <v>451.79999999999995</v>
      </c>
      <c r="X3395" s="72">
        <v>0</v>
      </c>
      <c r="Y3395" s="14">
        <f t="shared" si="1352"/>
        <v>0</v>
      </c>
      <c r="Z3395" s="11" t="s">
        <v>26</v>
      </c>
      <c r="AA3395" s="12" t="s">
        <v>31</v>
      </c>
    </row>
    <row r="3396" spans="1:27" x14ac:dyDescent="0.25">
      <c r="A3396" s="10">
        <v>45708</v>
      </c>
      <c r="B3396" s="11" t="s">
        <v>6135</v>
      </c>
      <c r="C3396" s="11" t="s">
        <v>6136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2">
        <f>M3396*P3396</f>
        <v>1450</v>
      </c>
      <c r="S3396" s="72">
        <v>0</v>
      </c>
      <c r="T3396" s="72">
        <f>M3396*S3396</f>
        <v>0</v>
      </c>
      <c r="U3396" s="72">
        <f>R3396-T3396</f>
        <v>1450</v>
      </c>
      <c r="V3396" s="72">
        <f t="shared" ref="V3396" si="1363">U3396*0</f>
        <v>0</v>
      </c>
      <c r="W3396" s="72">
        <f t="shared" ref="W3396" si="1364">U3396-V3396</f>
        <v>1450</v>
      </c>
      <c r="X3396" s="72">
        <v>0</v>
      </c>
      <c r="Y3396" s="14">
        <f t="shared" si="1352"/>
        <v>0</v>
      </c>
      <c r="Z3396" s="11" t="s">
        <v>26</v>
      </c>
      <c r="AA3396" s="12" t="s">
        <v>31</v>
      </c>
    </row>
    <row r="3397" spans="1:27" x14ac:dyDescent="0.25">
      <c r="A3397" s="10">
        <v>45708</v>
      </c>
      <c r="B3397" s="11" t="s">
        <v>6137</v>
      </c>
      <c r="C3397" s="11" t="s">
        <v>6138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2">
        <f>(L3397*O3397)-Q3397</f>
        <v>112</v>
      </c>
      <c r="S3397" s="72">
        <v>0</v>
      </c>
      <c r="T3397" s="72">
        <f t="shared" ref="T3397" si="1365">+L3397*S3397</f>
        <v>0</v>
      </c>
      <c r="U3397" s="72">
        <f t="shared" ref="U3397:U3399" si="1366">+R3397-T3397</f>
        <v>112</v>
      </c>
      <c r="V3397" s="72">
        <f>+U3397*0</f>
        <v>0</v>
      </c>
      <c r="W3397" s="72">
        <f t="shared" ref="W3397:W3399" si="1367">+U3397-V3397</f>
        <v>112</v>
      </c>
      <c r="X3397" s="72">
        <v>0</v>
      </c>
      <c r="Y3397" s="14">
        <f t="shared" si="1352"/>
        <v>0</v>
      </c>
      <c r="Z3397" s="11" t="s">
        <v>26</v>
      </c>
      <c r="AA3397" s="12" t="s">
        <v>31</v>
      </c>
    </row>
    <row r="3398" spans="1:27" x14ac:dyDescent="0.25">
      <c r="A3398" s="10">
        <v>45708</v>
      </c>
      <c r="B3398" s="11" t="s">
        <v>6139</v>
      </c>
      <c r="C3398" s="11" t="s">
        <v>6140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2">
        <f>+M3398*P3398</f>
        <v>1600</v>
      </c>
      <c r="S3398" s="72">
        <v>0</v>
      </c>
      <c r="T3398" s="72">
        <f>+M3398*S3398</f>
        <v>0</v>
      </c>
      <c r="U3398" s="72">
        <f t="shared" si="1366"/>
        <v>1600</v>
      </c>
      <c r="V3398" s="72">
        <f t="shared" ref="V3398:V3400" si="1368">+U3398*0</f>
        <v>0</v>
      </c>
      <c r="W3398" s="72">
        <f t="shared" si="1367"/>
        <v>1600</v>
      </c>
      <c r="X3398" s="72">
        <v>0</v>
      </c>
      <c r="Y3398" s="14">
        <f t="shared" si="1352"/>
        <v>0</v>
      </c>
      <c r="Z3398" s="11" t="s">
        <v>26</v>
      </c>
      <c r="AA3398" s="12" t="s">
        <v>31</v>
      </c>
    </row>
    <row r="3399" spans="1:27" x14ac:dyDescent="0.25">
      <c r="A3399" s="10">
        <v>45708</v>
      </c>
      <c r="B3399" s="11" t="s">
        <v>6141</v>
      </c>
      <c r="C3399" s="11" t="s">
        <v>6142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2">
        <f>+M3399*P3399</f>
        <v>1600</v>
      </c>
      <c r="S3399" s="72">
        <v>0</v>
      </c>
      <c r="T3399" s="72">
        <f>+M3399*S3399</f>
        <v>0</v>
      </c>
      <c r="U3399" s="72">
        <f t="shared" si="1366"/>
        <v>1600</v>
      </c>
      <c r="V3399" s="72">
        <f t="shared" si="1368"/>
        <v>0</v>
      </c>
      <c r="W3399" s="72">
        <f t="shared" si="1367"/>
        <v>1600</v>
      </c>
      <c r="X3399" s="72">
        <v>0</v>
      </c>
      <c r="Y3399" s="14">
        <f t="shared" si="1352"/>
        <v>0</v>
      </c>
      <c r="Z3399" s="11" t="s">
        <v>26</v>
      </c>
      <c r="AA3399" s="12" t="s">
        <v>31</v>
      </c>
    </row>
    <row r="3400" spans="1:27" x14ac:dyDescent="0.25">
      <c r="A3400" s="10">
        <v>45708</v>
      </c>
      <c r="B3400" s="11" t="s">
        <v>6143</v>
      </c>
      <c r="C3400" s="11" t="s">
        <v>6144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2">
        <f>+L3400*O3400</f>
        <v>1634.4</v>
      </c>
      <c r="S3400" s="72">
        <v>0</v>
      </c>
      <c r="T3400" s="72">
        <f>+L3400*S3400</f>
        <v>0</v>
      </c>
      <c r="U3400" s="72">
        <f>+R3400-T3400</f>
        <v>1634.4</v>
      </c>
      <c r="V3400" s="72">
        <f t="shared" si="1368"/>
        <v>0</v>
      </c>
      <c r="W3400" s="72">
        <f>+U3400-V3400</f>
        <v>1634.4</v>
      </c>
      <c r="X3400" s="72">
        <v>0</v>
      </c>
      <c r="Y3400" s="14">
        <f t="shared" si="1352"/>
        <v>0</v>
      </c>
      <c r="Z3400" s="11" t="s">
        <v>26</v>
      </c>
      <c r="AA3400" s="12" t="s">
        <v>31</v>
      </c>
    </row>
    <row r="3401" spans="1:27" x14ac:dyDescent="0.25">
      <c r="A3401" s="10">
        <v>45708</v>
      </c>
      <c r="B3401" s="11" t="s">
        <v>6145</v>
      </c>
      <c r="C3401" s="11" t="s">
        <v>6146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4440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2">
        <f>+L3401*O3401</f>
        <v>1614.6000000000001</v>
      </c>
      <c r="S3401" s="72">
        <v>0</v>
      </c>
      <c r="T3401" s="72">
        <f>+L3401*S3401</f>
        <v>0</v>
      </c>
      <c r="U3401" s="72">
        <f t="shared" ref="U3401" si="1369">+R3401-T3401</f>
        <v>1614.6000000000001</v>
      </c>
      <c r="V3401" s="72">
        <f>+U3401*1</f>
        <v>1614.6000000000001</v>
      </c>
      <c r="W3401" s="72">
        <f t="shared" ref="W3401" si="1370">+U3401-V3401</f>
        <v>0</v>
      </c>
      <c r="X3401" s="72">
        <v>0</v>
      </c>
      <c r="Y3401" s="14">
        <f t="shared" si="1352"/>
        <v>0</v>
      </c>
      <c r="Z3401" s="11" t="s">
        <v>26</v>
      </c>
      <c r="AA3401" s="12" t="s">
        <v>31</v>
      </c>
    </row>
    <row r="3402" spans="1:27" x14ac:dyDescent="0.25">
      <c r="A3402" s="10">
        <v>45708</v>
      </c>
      <c r="B3402" s="11" t="s">
        <v>6147</v>
      </c>
      <c r="C3402" s="11" t="s">
        <v>6148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35</v>
      </c>
      <c r="P3402" s="13"/>
      <c r="Q3402" s="13">
        <v>0</v>
      </c>
      <c r="R3402" s="72">
        <f>+L3402*O3402</f>
        <v>1526.6999999999998</v>
      </c>
      <c r="S3402" s="72">
        <v>0</v>
      </c>
      <c r="T3402" s="72">
        <f>+L3402*S3402</f>
        <v>0</v>
      </c>
      <c r="U3402" s="72">
        <f>+R3402-T3402</f>
        <v>1526.6999999999998</v>
      </c>
      <c r="V3402" s="72">
        <f t="shared" ref="V3402:V3403" si="1371">+U3402*0</f>
        <v>0</v>
      </c>
      <c r="W3402" s="72">
        <f>+U3402-V3402</f>
        <v>1526.6999999999998</v>
      </c>
      <c r="X3402" s="72">
        <v>0</v>
      </c>
      <c r="Y3402" s="14">
        <f t="shared" si="1352"/>
        <v>0</v>
      </c>
      <c r="Z3402" s="11" t="s">
        <v>26</v>
      </c>
      <c r="AA3402" s="12" t="s">
        <v>31</v>
      </c>
    </row>
    <row r="3403" spans="1:27" x14ac:dyDescent="0.25">
      <c r="A3403" s="10">
        <v>45708</v>
      </c>
      <c r="B3403" s="11" t="s">
        <v>1118</v>
      </c>
      <c r="C3403" s="11" t="s">
        <v>6149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2">
        <f>(L3403*O3403)-Q3403</f>
        <v>670.40000000000009</v>
      </c>
      <c r="S3403" s="72">
        <v>0</v>
      </c>
      <c r="T3403" s="72">
        <f t="shared" ref="T3403" si="1372">+L3403*S3403</f>
        <v>0</v>
      </c>
      <c r="U3403" s="72">
        <f t="shared" ref="U3403" si="1373">+R3403-T3403</f>
        <v>670.40000000000009</v>
      </c>
      <c r="V3403" s="72">
        <f t="shared" si="1371"/>
        <v>0</v>
      </c>
      <c r="W3403" s="72">
        <f t="shared" ref="W3403" si="1374">+U3403-V3403</f>
        <v>670.40000000000009</v>
      </c>
      <c r="X3403" s="72">
        <v>0</v>
      </c>
      <c r="Y3403" s="14">
        <f t="shared" si="1352"/>
        <v>0</v>
      </c>
      <c r="Z3403" s="11" t="s">
        <v>26</v>
      </c>
      <c r="AA3403" s="12" t="s">
        <v>31</v>
      </c>
    </row>
    <row r="3404" spans="1:27" x14ac:dyDescent="0.25">
      <c r="A3404" s="10">
        <v>45708</v>
      </c>
      <c r="B3404" s="11" t="s">
        <v>6150</v>
      </c>
      <c r="C3404" s="11" t="s">
        <v>6151</v>
      </c>
      <c r="D3404" s="11">
        <v>17949</v>
      </c>
      <c r="E3404" s="11" t="s">
        <v>6152</v>
      </c>
      <c r="F3404" s="11" t="s">
        <v>26</v>
      </c>
      <c r="G3404" s="11">
        <v>2962</v>
      </c>
      <c r="H3404" s="12" t="s">
        <v>4459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2">
        <f>L3404*O3404</f>
        <v>574.55999999999995</v>
      </c>
      <c r="S3404" s="72">
        <v>0</v>
      </c>
      <c r="T3404" s="72">
        <f>L3404*S3404</f>
        <v>0</v>
      </c>
      <c r="U3404" s="72">
        <f>R3404-T3404</f>
        <v>574.55999999999995</v>
      </c>
      <c r="V3404" s="72">
        <f>U3404*1</f>
        <v>574.55999999999995</v>
      </c>
      <c r="W3404" s="72">
        <f>U3404-V3404</f>
        <v>0</v>
      </c>
      <c r="X3404" s="72">
        <v>0</v>
      </c>
      <c r="Y3404" s="73">
        <f>T3404-X3404</f>
        <v>0</v>
      </c>
      <c r="Z3404" s="11" t="s">
        <v>26</v>
      </c>
      <c r="AA3404" s="12" t="s">
        <v>31</v>
      </c>
    </row>
    <row r="3405" spans="1:27" x14ac:dyDescent="0.25">
      <c r="A3405" s="10">
        <v>45708</v>
      </c>
      <c r="B3405" s="11" t="s">
        <v>6153</v>
      </c>
      <c r="C3405" s="11" t="s">
        <v>6154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4440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2">
        <f>L3405*O3405</f>
        <v>3757.58</v>
      </c>
      <c r="S3405" s="72">
        <v>43</v>
      </c>
      <c r="T3405" s="72">
        <f>L3405*S3405</f>
        <v>1815.46</v>
      </c>
      <c r="U3405" s="72">
        <f>R3405-T3405</f>
        <v>1942.12</v>
      </c>
      <c r="V3405" s="72">
        <f>U3405*1</f>
        <v>1942.12</v>
      </c>
      <c r="W3405" s="72">
        <f>U3405-V3405</f>
        <v>0</v>
      </c>
      <c r="X3405" s="72">
        <f>L3405*42</f>
        <v>1773.24</v>
      </c>
      <c r="Y3405" s="14">
        <f>T3405-X3405</f>
        <v>42.220000000000027</v>
      </c>
      <c r="Z3405" s="12" t="s">
        <v>141</v>
      </c>
      <c r="AA3405" s="12" t="s">
        <v>6047</v>
      </c>
    </row>
    <row r="3406" spans="1:27" x14ac:dyDescent="0.25">
      <c r="A3406" s="10">
        <v>45708</v>
      </c>
      <c r="B3406" s="11" t="s">
        <v>407</v>
      </c>
      <c r="C3406" s="11" t="s">
        <v>6155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1926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2">
        <f>M3406*P3406</f>
        <v>1350</v>
      </c>
      <c r="S3406" s="72">
        <v>0</v>
      </c>
      <c r="T3406" s="72">
        <f>M3406*S3406</f>
        <v>0</v>
      </c>
      <c r="U3406" s="72">
        <f t="shared" ref="U3406" si="1375">R3406-T3406</f>
        <v>1350</v>
      </c>
      <c r="V3406" s="72">
        <f>U3406*1</f>
        <v>1350</v>
      </c>
      <c r="W3406" s="72">
        <f>U3406-V3406</f>
        <v>0</v>
      </c>
      <c r="X3406" s="72">
        <v>0</v>
      </c>
      <c r="Y3406" s="14">
        <f t="shared" ref="Y3406:Y3425" si="1376">T3406-X3406</f>
        <v>0</v>
      </c>
      <c r="Z3406" s="11" t="s">
        <v>26</v>
      </c>
      <c r="AA3406" s="12" t="s">
        <v>31</v>
      </c>
    </row>
    <row r="3407" spans="1:27" x14ac:dyDescent="0.25">
      <c r="A3407" s="10">
        <v>45708</v>
      </c>
      <c r="B3407" s="11" t="s">
        <v>370</v>
      </c>
      <c r="C3407" s="11" t="s">
        <v>6156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2">
        <f>(L3407*O3407)-Q3407</f>
        <v>150.4</v>
      </c>
      <c r="S3407" s="72">
        <v>0</v>
      </c>
      <c r="T3407" s="72">
        <f t="shared" ref="T3407" si="1377">+L3407*S3407</f>
        <v>0</v>
      </c>
      <c r="U3407" s="72">
        <f t="shared" ref="U3407" si="1378">+R3407-T3407</f>
        <v>150.4</v>
      </c>
      <c r="V3407" s="72">
        <f>+U3407*0</f>
        <v>0</v>
      </c>
      <c r="W3407" s="72">
        <f t="shared" ref="W3407" si="1379">+U3407-V3407</f>
        <v>150.4</v>
      </c>
      <c r="X3407" s="72">
        <v>0</v>
      </c>
      <c r="Y3407" s="14">
        <f t="shared" si="1376"/>
        <v>0</v>
      </c>
      <c r="Z3407" s="11" t="s">
        <v>26</v>
      </c>
      <c r="AA3407" s="12" t="s">
        <v>31</v>
      </c>
    </row>
    <row r="3408" spans="1:27" x14ac:dyDescent="0.25">
      <c r="A3408" s="10">
        <v>45708</v>
      </c>
      <c r="B3408" s="11" t="s">
        <v>6157</v>
      </c>
      <c r="C3408" s="11" t="s">
        <v>6158</v>
      </c>
      <c r="D3408" s="11">
        <v>17953</v>
      </c>
      <c r="E3408" s="11" t="s">
        <v>1217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2">
        <f>M3408*P3408</f>
        <v>1500</v>
      </c>
      <c r="S3408" s="72">
        <v>0</v>
      </c>
      <c r="T3408" s="72">
        <f>M3408*S3408</f>
        <v>0</v>
      </c>
      <c r="U3408" s="72">
        <f>R3408-T3408</f>
        <v>1500</v>
      </c>
      <c r="V3408" s="72">
        <f>U3408*0</f>
        <v>0</v>
      </c>
      <c r="W3408" s="72">
        <f>U3408-V3408</f>
        <v>1500</v>
      </c>
      <c r="X3408" s="72">
        <v>0</v>
      </c>
      <c r="Y3408" s="14">
        <f t="shared" si="1376"/>
        <v>0</v>
      </c>
      <c r="Z3408" s="11" t="s">
        <v>26</v>
      </c>
      <c r="AA3408" s="12" t="s">
        <v>31</v>
      </c>
    </row>
    <row r="3409" spans="1:27" x14ac:dyDescent="0.25">
      <c r="A3409" s="10">
        <v>45708</v>
      </c>
      <c r="B3409" s="11" t="s">
        <v>5483</v>
      </c>
      <c r="C3409" s="11" t="s">
        <v>6159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2">
        <f>+M3409*P3409</f>
        <v>1500</v>
      </c>
      <c r="S3409" s="72">
        <v>0</v>
      </c>
      <c r="T3409" s="72">
        <f>+M3409*S3409</f>
        <v>0</v>
      </c>
      <c r="U3409" s="72">
        <f t="shared" ref="U3409" si="1380">+R3409-T3409</f>
        <v>1500</v>
      </c>
      <c r="V3409" s="72">
        <f>+U3409*0</f>
        <v>0</v>
      </c>
      <c r="W3409" s="72">
        <f t="shared" ref="W3409" si="1381">+U3409-V3409</f>
        <v>1500</v>
      </c>
      <c r="X3409" s="72">
        <v>0</v>
      </c>
      <c r="Y3409" s="14">
        <f t="shared" si="1376"/>
        <v>0</v>
      </c>
      <c r="Z3409" s="11" t="s">
        <v>26</v>
      </c>
      <c r="AA3409" s="12" t="s">
        <v>31</v>
      </c>
    </row>
    <row r="3410" spans="1:27" x14ac:dyDescent="0.25">
      <c r="A3410" s="10">
        <v>45708</v>
      </c>
      <c r="B3410" s="11" t="s">
        <v>728</v>
      </c>
      <c r="C3410" s="11" t="s">
        <v>6160</v>
      </c>
      <c r="D3410" s="11">
        <v>17955</v>
      </c>
      <c r="E3410" s="11" t="s">
        <v>6161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2">
        <f>+L3410*O3410</f>
        <v>570.30000000000007</v>
      </c>
      <c r="S3410" s="72">
        <v>0</v>
      </c>
      <c r="T3410" s="72">
        <f>+L3410*S3410</f>
        <v>0</v>
      </c>
      <c r="U3410" s="72">
        <f>+R3410-T3410</f>
        <v>570.30000000000007</v>
      </c>
      <c r="V3410" s="72">
        <f t="shared" ref="V3410:V3411" si="1382">+U3410*0</f>
        <v>0</v>
      </c>
      <c r="W3410" s="72">
        <f>+U3410-V3410</f>
        <v>570.30000000000007</v>
      </c>
      <c r="X3410" s="72">
        <v>0</v>
      </c>
      <c r="Y3410" s="14">
        <f t="shared" si="1376"/>
        <v>0</v>
      </c>
      <c r="Z3410" s="11" t="s">
        <v>26</v>
      </c>
      <c r="AA3410" s="12" t="s">
        <v>31</v>
      </c>
    </row>
    <row r="3411" spans="1:27" x14ac:dyDescent="0.25">
      <c r="A3411" s="10">
        <v>45708</v>
      </c>
      <c r="B3411" s="11" t="s">
        <v>6162</v>
      </c>
      <c r="C3411" s="11" t="s">
        <v>6163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2">
        <f>+L3411*O3411</f>
        <v>1584</v>
      </c>
      <c r="S3411" s="72">
        <v>0</v>
      </c>
      <c r="T3411" s="72">
        <f>+L3411*S3411</f>
        <v>0</v>
      </c>
      <c r="U3411" s="72">
        <f>+R3411-T3411</f>
        <v>1584</v>
      </c>
      <c r="V3411" s="72">
        <f t="shared" si="1382"/>
        <v>0</v>
      </c>
      <c r="W3411" s="72">
        <f>+U3411-V3411</f>
        <v>1584</v>
      </c>
      <c r="X3411" s="72">
        <v>0</v>
      </c>
      <c r="Y3411" s="14">
        <f t="shared" si="1376"/>
        <v>0</v>
      </c>
      <c r="Z3411" s="11" t="s">
        <v>26</v>
      </c>
      <c r="AA3411" s="12" t="s">
        <v>31</v>
      </c>
    </row>
    <row r="3412" spans="1:27" x14ac:dyDescent="0.25">
      <c r="A3412" s="10">
        <v>45708</v>
      </c>
      <c r="B3412" s="11" t="s">
        <v>6164</v>
      </c>
      <c r="C3412" s="11" t="s">
        <v>6165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2">
        <f>+M3412*P3412</f>
        <v>1500</v>
      </c>
      <c r="S3412" s="72">
        <v>0</v>
      </c>
      <c r="T3412" s="72">
        <f>+M3412*S3412</f>
        <v>0</v>
      </c>
      <c r="U3412" s="72">
        <f t="shared" ref="U3412" si="1383">+R3412-T3412</f>
        <v>1500</v>
      </c>
      <c r="V3412" s="72">
        <f>+U3412*0</f>
        <v>0</v>
      </c>
      <c r="W3412" s="72">
        <f t="shared" ref="W3412" si="1384">+U3412-V3412</f>
        <v>1500</v>
      </c>
      <c r="X3412" s="72">
        <v>0</v>
      </c>
      <c r="Y3412" s="14">
        <f t="shared" si="1376"/>
        <v>0</v>
      </c>
      <c r="Z3412" s="11" t="s">
        <v>26</v>
      </c>
      <c r="AA3412" s="12" t="s">
        <v>31</v>
      </c>
    </row>
    <row r="3413" spans="1:27" x14ac:dyDescent="0.25">
      <c r="A3413" s="10">
        <v>45708</v>
      </c>
      <c r="B3413" s="11" t="s">
        <v>409</v>
      </c>
      <c r="C3413" s="11" t="s">
        <v>6166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1926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2">
        <f>M3413*P3413</f>
        <v>1350</v>
      </c>
      <c r="S3413" s="72">
        <v>0</v>
      </c>
      <c r="T3413" s="72">
        <f>M3413*S3413</f>
        <v>0</v>
      </c>
      <c r="U3413" s="72">
        <f t="shared" ref="U3413" si="1385">R3413-T3413</f>
        <v>1350</v>
      </c>
      <c r="V3413" s="72">
        <f>U3413*1</f>
        <v>1350</v>
      </c>
      <c r="W3413" s="72">
        <f>U3413-V3413</f>
        <v>0</v>
      </c>
      <c r="X3413" s="72">
        <v>0</v>
      </c>
      <c r="Y3413" s="14">
        <f t="shared" si="1376"/>
        <v>0</v>
      </c>
      <c r="Z3413" s="11" t="s">
        <v>26</v>
      </c>
      <c r="AA3413" s="12" t="s">
        <v>31</v>
      </c>
    </row>
    <row r="3414" spans="1:27" x14ac:dyDescent="0.25">
      <c r="A3414" s="10">
        <v>45708</v>
      </c>
      <c r="B3414" s="11" t="s">
        <v>5277</v>
      </c>
      <c r="C3414" s="11" t="s">
        <v>6167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2">
        <f>M3414*P3414</f>
        <v>1500</v>
      </c>
      <c r="S3414" s="72">
        <v>0</v>
      </c>
      <c r="T3414" s="72">
        <f>M3414*S3414</f>
        <v>0</v>
      </c>
      <c r="U3414" s="72">
        <f>R3414-T3414</f>
        <v>1500</v>
      </c>
      <c r="V3414" s="72">
        <f>U3414*0</f>
        <v>0</v>
      </c>
      <c r="W3414" s="72">
        <f>U3414-V3414</f>
        <v>1500</v>
      </c>
      <c r="X3414" s="72">
        <v>0</v>
      </c>
      <c r="Y3414" s="14">
        <f t="shared" si="1376"/>
        <v>0</v>
      </c>
      <c r="Z3414" s="11" t="s">
        <v>26</v>
      </c>
      <c r="AA3414" s="12" t="s">
        <v>31</v>
      </c>
    </row>
    <row r="3415" spans="1:27" x14ac:dyDescent="0.25">
      <c r="A3415" s="10">
        <v>45708</v>
      </c>
      <c r="B3415" s="11" t="s">
        <v>6168</v>
      </c>
      <c r="C3415" s="11" t="s">
        <v>6169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4440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2">
        <f>+L3415*O3415</f>
        <v>1549.8</v>
      </c>
      <c r="S3415" s="72">
        <v>0</v>
      </c>
      <c r="T3415" s="72">
        <f>+L3415*S3415</f>
        <v>0</v>
      </c>
      <c r="U3415" s="72">
        <f t="shared" ref="U3415:U3416" si="1386">+R3415-T3415</f>
        <v>1549.8</v>
      </c>
      <c r="V3415" s="72">
        <f>+U3415*1</f>
        <v>1549.8</v>
      </c>
      <c r="W3415" s="72">
        <f t="shared" ref="W3415:W3416" si="1387">+U3415-V3415</f>
        <v>0</v>
      </c>
      <c r="X3415" s="72">
        <v>0</v>
      </c>
      <c r="Y3415" s="14">
        <f t="shared" si="1376"/>
        <v>0</v>
      </c>
      <c r="Z3415" s="11" t="s">
        <v>26</v>
      </c>
      <c r="AA3415" s="12" t="s">
        <v>31</v>
      </c>
    </row>
    <row r="3416" spans="1:27" x14ac:dyDescent="0.25">
      <c r="A3416" s="10">
        <v>45708</v>
      </c>
      <c r="B3416" s="11" t="s">
        <v>1807</v>
      </c>
      <c r="C3416" s="11" t="s">
        <v>6170</v>
      </c>
      <c r="D3416" s="11">
        <v>17961</v>
      </c>
      <c r="E3416" s="11" t="s">
        <v>4779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2">
        <f>(L3416*O3416)-Q3416</f>
        <v>1865.7</v>
      </c>
      <c r="S3416" s="72">
        <v>0</v>
      </c>
      <c r="T3416" s="72">
        <f t="shared" ref="T3416" si="1388">+L3416*S3416</f>
        <v>0</v>
      </c>
      <c r="U3416" s="72">
        <f t="shared" si="1386"/>
        <v>1865.7</v>
      </c>
      <c r="V3416" s="72">
        <f>+U3416*0</f>
        <v>0</v>
      </c>
      <c r="W3416" s="72">
        <f t="shared" si="1387"/>
        <v>1865.7</v>
      </c>
      <c r="X3416" s="72">
        <v>0</v>
      </c>
      <c r="Y3416" s="14">
        <f t="shared" si="1376"/>
        <v>0</v>
      </c>
      <c r="Z3416" s="11" t="s">
        <v>26</v>
      </c>
      <c r="AA3416" s="12" t="s">
        <v>31</v>
      </c>
    </row>
    <row r="3417" spans="1:27" x14ac:dyDescent="0.25">
      <c r="A3417" s="10">
        <v>45708</v>
      </c>
      <c r="B3417" s="11" t="s">
        <v>2984</v>
      </c>
      <c r="C3417" s="11" t="s">
        <v>6171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2">
        <f>+L3417*O3417</f>
        <v>1617.6</v>
      </c>
      <c r="S3417" s="72">
        <v>0</v>
      </c>
      <c r="T3417" s="72">
        <f>+L3417*S3417</f>
        <v>0</v>
      </c>
      <c r="U3417" s="72">
        <f>+R3417-T3417</f>
        <v>1617.6</v>
      </c>
      <c r="V3417" s="72">
        <f t="shared" ref="V3417" si="1389">+U3417*0</f>
        <v>0</v>
      </c>
      <c r="W3417" s="72">
        <f>+U3417-V3417</f>
        <v>1617.6</v>
      </c>
      <c r="X3417" s="72">
        <v>0</v>
      </c>
      <c r="Y3417" s="14">
        <f t="shared" si="1376"/>
        <v>0</v>
      </c>
      <c r="Z3417" s="11" t="s">
        <v>26</v>
      </c>
      <c r="AA3417" s="12" t="s">
        <v>31</v>
      </c>
    </row>
    <row r="3418" spans="1:27" x14ac:dyDescent="0.25">
      <c r="A3418" s="10">
        <v>45708</v>
      </c>
      <c r="B3418" s="11" t="s">
        <v>6172</v>
      </c>
      <c r="C3418" s="11" t="s">
        <v>6173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2">
        <f>L3418*O3418</f>
        <v>1750.3999999999999</v>
      </c>
      <c r="S3418" s="72">
        <v>0</v>
      </c>
      <c r="T3418" s="72">
        <f>L3418*S3418</f>
        <v>0</v>
      </c>
      <c r="U3418" s="72">
        <f>R3418-T3418</f>
        <v>1750.3999999999999</v>
      </c>
      <c r="V3418" s="72">
        <f>U3418*0</f>
        <v>0</v>
      </c>
      <c r="W3418" s="72">
        <f>U3418-V3418</f>
        <v>1750.3999999999999</v>
      </c>
      <c r="X3418" s="72">
        <v>0</v>
      </c>
      <c r="Y3418" s="14">
        <f t="shared" si="1376"/>
        <v>0</v>
      </c>
      <c r="Z3418" s="11" t="s">
        <v>26</v>
      </c>
      <c r="AA3418" s="12" t="s">
        <v>31</v>
      </c>
    </row>
    <row r="3419" spans="1:27" x14ac:dyDescent="0.25">
      <c r="A3419" s="10">
        <v>45708</v>
      </c>
      <c r="B3419" s="11" t="s">
        <v>6174</v>
      </c>
      <c r="C3419" s="11" t="s">
        <v>6175</v>
      </c>
      <c r="D3419" s="11">
        <v>17964</v>
      </c>
      <c r="E3419" s="11" t="s">
        <v>1217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2">
        <f>M3419*P3419</f>
        <v>1500</v>
      </c>
      <c r="S3419" s="72">
        <v>0</v>
      </c>
      <c r="T3419" s="72">
        <f>M3419*S3419</f>
        <v>0</v>
      </c>
      <c r="U3419" s="72">
        <f>R3419-T3419</f>
        <v>1500</v>
      </c>
      <c r="V3419" s="72">
        <f>U3419*0</f>
        <v>0</v>
      </c>
      <c r="W3419" s="72">
        <f>U3419-V3419</f>
        <v>1500</v>
      </c>
      <c r="X3419" s="72">
        <v>0</v>
      </c>
      <c r="Y3419" s="14">
        <f t="shared" si="1376"/>
        <v>0</v>
      </c>
      <c r="Z3419" s="11" t="s">
        <v>26</v>
      </c>
      <c r="AA3419" s="12" t="s">
        <v>31</v>
      </c>
    </row>
    <row r="3420" spans="1:27" x14ac:dyDescent="0.25">
      <c r="A3420" s="10">
        <v>45709</v>
      </c>
      <c r="B3420" s="11" t="s">
        <v>5358</v>
      </c>
      <c r="C3420" s="11" t="s">
        <v>6189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4465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2">
        <f>+L3420*O3420</f>
        <v>1872.5500000000002</v>
      </c>
      <c r="S3420" s="72">
        <v>0</v>
      </c>
      <c r="T3420" s="72">
        <f>+L3420*S3420</f>
        <v>0</v>
      </c>
      <c r="U3420" s="72">
        <f>+R3420-T3420</f>
        <v>1872.5500000000002</v>
      </c>
      <c r="V3420" s="72">
        <f>+U3420*0.75</f>
        <v>1404.4125000000001</v>
      </c>
      <c r="W3420" s="72">
        <f>+U3420-V3420</f>
        <v>468.13750000000005</v>
      </c>
      <c r="X3420" s="72">
        <v>0</v>
      </c>
      <c r="Y3420" s="14">
        <f t="shared" si="1376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367</v>
      </c>
      <c r="C3421" s="11" t="s">
        <v>6190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4465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90">L3421/M3421</f>
        <v>1.4672000000000001</v>
      </c>
      <c r="O3421" s="13">
        <v>46.66</v>
      </c>
      <c r="P3421" s="13" t="s">
        <v>30</v>
      </c>
      <c r="Q3421" s="13">
        <v>0</v>
      </c>
      <c r="R3421" s="72">
        <f>+L3421*O3421</f>
        <v>1711.4887999999999</v>
      </c>
      <c r="S3421" s="72">
        <v>0</v>
      </c>
      <c r="T3421" s="72">
        <f>+L3421*S3421</f>
        <v>0</v>
      </c>
      <c r="U3421" s="72">
        <f>+R3421-T3421</f>
        <v>1711.4887999999999</v>
      </c>
      <c r="V3421" s="72">
        <f>+U3421*0.75</f>
        <v>1283.6165999999998</v>
      </c>
      <c r="W3421" s="72">
        <f>+U3421-V3421</f>
        <v>427.87220000000002</v>
      </c>
      <c r="X3421" s="72">
        <v>0</v>
      </c>
      <c r="Y3421" s="14">
        <f t="shared" si="1376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6067</v>
      </c>
      <c r="C3422" s="11" t="s">
        <v>6191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90"/>
        <v>1.4159999999999999</v>
      </c>
      <c r="O3422" s="13" t="s">
        <v>30</v>
      </c>
      <c r="P3422" s="13">
        <v>60</v>
      </c>
      <c r="Q3422" s="13">
        <v>0</v>
      </c>
      <c r="R3422" s="72">
        <f>M3422*P3422</f>
        <v>1500</v>
      </c>
      <c r="S3422" s="72">
        <v>0</v>
      </c>
      <c r="T3422" s="72">
        <f>M3422*S3422</f>
        <v>0</v>
      </c>
      <c r="U3422" s="72">
        <f>R3422-T3422</f>
        <v>1500</v>
      </c>
      <c r="V3422" s="72">
        <f>U3422*0</f>
        <v>0</v>
      </c>
      <c r="W3422" s="72">
        <f>U3422-V3422</f>
        <v>1500</v>
      </c>
      <c r="X3422" s="72">
        <v>0</v>
      </c>
      <c r="Y3422" s="14">
        <f t="shared" si="1376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338</v>
      </c>
      <c r="C3423" s="11" t="s">
        <v>6192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4440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90"/>
        <v>1.4480000000000002</v>
      </c>
      <c r="O3423" s="13">
        <v>45</v>
      </c>
      <c r="P3423" s="13" t="s">
        <v>30</v>
      </c>
      <c r="Q3423" s="13">
        <v>0</v>
      </c>
      <c r="R3423" s="72">
        <f>+L3423*O3423</f>
        <v>1629.0000000000002</v>
      </c>
      <c r="S3423" s="72">
        <v>0</v>
      </c>
      <c r="T3423" s="72">
        <f>+L3423*S3423</f>
        <v>0</v>
      </c>
      <c r="U3423" s="72">
        <f t="shared" ref="U3423:U3424" si="1391">+R3423-T3423</f>
        <v>1629.0000000000002</v>
      </c>
      <c r="V3423" s="72">
        <f>+U3423*1</f>
        <v>1629.0000000000002</v>
      </c>
      <c r="W3423" s="72">
        <f t="shared" ref="W3423:W3424" si="1392">+U3423-V3423</f>
        <v>0</v>
      </c>
      <c r="X3423" s="72">
        <v>0</v>
      </c>
      <c r="Y3423" s="14">
        <f t="shared" si="1376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417</v>
      </c>
      <c r="C3424" s="11" t="s">
        <v>6193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4440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90"/>
        <v>1.3191999999999999</v>
      </c>
      <c r="O3424" s="13">
        <v>46</v>
      </c>
      <c r="P3424" s="13" t="s">
        <v>30</v>
      </c>
      <c r="Q3424" s="13">
        <v>0</v>
      </c>
      <c r="R3424" s="72">
        <f t="shared" ref="R3424" si="1393">+L3424*O3424</f>
        <v>1517.08</v>
      </c>
      <c r="S3424" s="72">
        <v>0</v>
      </c>
      <c r="T3424" s="72">
        <f t="shared" ref="T3424" si="1394">+L3424*S3424</f>
        <v>0</v>
      </c>
      <c r="U3424" s="72">
        <f t="shared" si="1391"/>
        <v>1517.08</v>
      </c>
      <c r="V3424" s="72">
        <f>+U3424*1</f>
        <v>1517.08</v>
      </c>
      <c r="W3424" s="72">
        <f t="shared" si="1392"/>
        <v>0</v>
      </c>
      <c r="X3424" s="72">
        <v>0</v>
      </c>
      <c r="Y3424" s="14">
        <f t="shared" si="1376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5652</v>
      </c>
      <c r="C3425" s="11" t="s">
        <v>6194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90"/>
        <v>1.524</v>
      </c>
      <c r="O3425" s="13">
        <v>40</v>
      </c>
      <c r="P3425" s="13" t="s">
        <v>30</v>
      </c>
      <c r="Q3425" s="13">
        <v>0</v>
      </c>
      <c r="R3425" s="72">
        <f>L3425*O3425</f>
        <v>1524</v>
      </c>
      <c r="S3425" s="72">
        <v>0</v>
      </c>
      <c r="T3425" s="72">
        <f>L3425*S3425</f>
        <v>0</v>
      </c>
      <c r="U3425" s="72">
        <f>R3425-T3425</f>
        <v>1524</v>
      </c>
      <c r="V3425" s="72">
        <f>U3425*0</f>
        <v>0</v>
      </c>
      <c r="W3425" s="72">
        <f>U3425-V3425</f>
        <v>1524</v>
      </c>
      <c r="X3425" s="72">
        <v>0</v>
      </c>
      <c r="Y3425" s="14">
        <f t="shared" si="1376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2831</v>
      </c>
      <c r="C3426" s="11" t="s">
        <v>6195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4439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90"/>
        <v>1.4785185185185186</v>
      </c>
      <c r="O3426" s="13">
        <v>87</v>
      </c>
      <c r="P3426" s="13" t="s">
        <v>30</v>
      </c>
      <c r="Q3426" s="13">
        <v>0</v>
      </c>
      <c r="R3426" s="72">
        <f t="shared" ref="R3426" si="1395">L3426*O3426</f>
        <v>3473.04</v>
      </c>
      <c r="S3426" s="72">
        <v>38</v>
      </c>
      <c r="T3426" s="72">
        <f t="shared" ref="T3426" si="1396">L3426*S3426</f>
        <v>1516.96</v>
      </c>
      <c r="U3426" s="72">
        <f t="shared" ref="U3426" si="1397">R3426-T3426</f>
        <v>1956.08</v>
      </c>
      <c r="V3426" s="72">
        <f>U3426*1</f>
        <v>1956.08</v>
      </c>
      <c r="W3426" s="72">
        <f t="shared" ref="W3426" si="1398">U3426-V3426</f>
        <v>0</v>
      </c>
      <c r="X3426" s="72">
        <f>L3426*36</f>
        <v>1437.1200000000001</v>
      </c>
      <c r="Y3426" s="73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3660</v>
      </c>
      <c r="C3427" s="11" t="s">
        <v>6196</v>
      </c>
      <c r="D3427" s="11">
        <v>17972</v>
      </c>
      <c r="E3427" s="11" t="s">
        <v>2143</v>
      </c>
      <c r="F3427" s="11" t="s">
        <v>26</v>
      </c>
      <c r="G3427" s="11">
        <v>112926</v>
      </c>
      <c r="H3427" s="12" t="s">
        <v>4463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90"/>
        <v>1.3744000000000001</v>
      </c>
      <c r="O3427" s="13">
        <v>44</v>
      </c>
      <c r="P3427" s="13" t="s">
        <v>30</v>
      </c>
      <c r="Q3427" s="13">
        <v>0</v>
      </c>
      <c r="R3427" s="72">
        <f t="shared" ref="R3427" si="1399">+L3427*O3427</f>
        <v>1511.84</v>
      </c>
      <c r="S3427" s="72">
        <v>0</v>
      </c>
      <c r="T3427" s="72">
        <f>+L3427*S3427</f>
        <v>0</v>
      </c>
      <c r="U3427" s="72">
        <f>+R3427-T3427</f>
        <v>1511.84</v>
      </c>
      <c r="V3427" s="72">
        <f>+U3427*1</f>
        <v>1511.84</v>
      </c>
      <c r="W3427" s="72">
        <f>+U3427-V3427</f>
        <v>0</v>
      </c>
      <c r="X3427" s="72">
        <v>0</v>
      </c>
      <c r="Y3427" s="14">
        <f t="shared" ref="Y3427:Y3428" si="1400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4162</v>
      </c>
      <c r="C3428" s="11" t="s">
        <v>6197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90"/>
        <v>1.6880000000000002</v>
      </c>
      <c r="O3428" s="13">
        <v>35</v>
      </c>
      <c r="P3428" s="13"/>
      <c r="Q3428" s="13">
        <v>0</v>
      </c>
      <c r="R3428" s="72">
        <f>+L3428*O3428</f>
        <v>1477</v>
      </c>
      <c r="S3428" s="72">
        <v>0</v>
      </c>
      <c r="T3428" s="72">
        <f>+L3428*S3428</f>
        <v>0</v>
      </c>
      <c r="U3428" s="72">
        <f>+R3428-T3428</f>
        <v>1477</v>
      </c>
      <c r="V3428" s="72">
        <f t="shared" ref="V3428" si="1401">+U3428*0</f>
        <v>0</v>
      </c>
      <c r="W3428" s="72">
        <f>+U3428-V3428</f>
        <v>1477</v>
      </c>
      <c r="X3428" s="72">
        <v>0</v>
      </c>
      <c r="Y3428" s="14">
        <f t="shared" si="1400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2737</v>
      </c>
      <c r="C3429" s="11" t="s">
        <v>6198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4439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90"/>
        <v>1.7447999999999999</v>
      </c>
      <c r="O3429" s="13">
        <v>83</v>
      </c>
      <c r="P3429" s="13" t="s">
        <v>30</v>
      </c>
      <c r="Q3429" s="13">
        <v>0</v>
      </c>
      <c r="R3429" s="72">
        <f>L3429*O3429</f>
        <v>3620.4599999999996</v>
      </c>
      <c r="S3429" s="72">
        <v>38</v>
      </c>
      <c r="T3429" s="72">
        <f>L3429*S3429</f>
        <v>1657.56</v>
      </c>
      <c r="U3429" s="72">
        <f t="shared" ref="U3429:U3436" si="1402">R3429-T3429</f>
        <v>1962.8999999999996</v>
      </c>
      <c r="V3429" s="72">
        <f>U3429*1</f>
        <v>1962.8999999999996</v>
      </c>
      <c r="W3429" s="72">
        <f t="shared" ref="W3429:W3436" si="1403">U3429-V3429</f>
        <v>0</v>
      </c>
      <c r="X3429" s="72">
        <f>L3429*36</f>
        <v>1570.32</v>
      </c>
      <c r="Y3429" s="73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6199</v>
      </c>
      <c r="C3430" s="11" t="s">
        <v>6200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90"/>
        <v>1.7952000000000001</v>
      </c>
      <c r="O3430" s="13" t="s">
        <v>30</v>
      </c>
      <c r="P3430" s="13">
        <v>62</v>
      </c>
      <c r="Q3430" s="13">
        <v>0</v>
      </c>
      <c r="R3430" s="72">
        <f>M3430*P3430</f>
        <v>1550</v>
      </c>
      <c r="S3430" s="72">
        <v>0</v>
      </c>
      <c r="T3430" s="72">
        <f>M3430*S3430</f>
        <v>0</v>
      </c>
      <c r="U3430" s="72">
        <f t="shared" si="1402"/>
        <v>1550</v>
      </c>
      <c r="V3430" s="72">
        <f>U3430*0</f>
        <v>0</v>
      </c>
      <c r="W3430" s="72">
        <f t="shared" si="1403"/>
        <v>1550</v>
      </c>
      <c r="X3430" s="72">
        <v>0</v>
      </c>
      <c r="Y3430" s="14">
        <f t="shared" ref="Y3430" si="1404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6201</v>
      </c>
      <c r="C3431" s="11" t="s">
        <v>6202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4439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90"/>
        <v>1.7296</v>
      </c>
      <c r="O3431" s="13">
        <v>83</v>
      </c>
      <c r="P3431" s="13" t="s">
        <v>30</v>
      </c>
      <c r="Q3431" s="13">
        <v>0</v>
      </c>
      <c r="R3431" s="72">
        <f>L3431*O3431</f>
        <v>3588.92</v>
      </c>
      <c r="S3431" s="72">
        <v>38</v>
      </c>
      <c r="T3431" s="72">
        <f>L3431*S3431</f>
        <v>1643.1200000000001</v>
      </c>
      <c r="U3431" s="72">
        <f t="shared" si="1402"/>
        <v>1945.8</v>
      </c>
      <c r="V3431" s="72">
        <f>U3431*1</f>
        <v>1945.8</v>
      </c>
      <c r="W3431" s="72">
        <f t="shared" si="1403"/>
        <v>0</v>
      </c>
      <c r="X3431" s="72">
        <f>L3431*37</f>
        <v>1599.88</v>
      </c>
      <c r="Y3431" s="73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408</v>
      </c>
      <c r="C3432" s="11" t="s">
        <v>6203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90"/>
        <v>1.7208000000000001</v>
      </c>
      <c r="O3432" s="13" t="s">
        <v>30</v>
      </c>
      <c r="P3432" s="13">
        <v>62</v>
      </c>
      <c r="Q3432" s="13">
        <v>0</v>
      </c>
      <c r="R3432" s="72">
        <f>M3432*P3432</f>
        <v>1550</v>
      </c>
      <c r="S3432" s="72">
        <v>0</v>
      </c>
      <c r="T3432" s="72">
        <f>M3432*S3432</f>
        <v>0</v>
      </c>
      <c r="U3432" s="72">
        <f t="shared" si="1402"/>
        <v>1550</v>
      </c>
      <c r="V3432" s="72">
        <f>U3432*0</f>
        <v>0</v>
      </c>
      <c r="W3432" s="72">
        <f t="shared" si="1403"/>
        <v>1550</v>
      </c>
      <c r="X3432" s="72">
        <v>0</v>
      </c>
      <c r="Y3432" s="14">
        <f t="shared" ref="Y3432" si="1405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5400</v>
      </c>
      <c r="C3433" s="11" t="s">
        <v>6204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4439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90"/>
        <v>1.7472000000000001</v>
      </c>
      <c r="O3433" s="13">
        <v>83</v>
      </c>
      <c r="P3433" s="13" t="s">
        <v>30</v>
      </c>
      <c r="Q3433" s="13">
        <v>0</v>
      </c>
      <c r="R3433" s="72">
        <f>L3433*O3433</f>
        <v>3625.44</v>
      </c>
      <c r="S3433" s="72">
        <v>38</v>
      </c>
      <c r="T3433" s="72">
        <f>L3433*S3433</f>
        <v>1659.84</v>
      </c>
      <c r="U3433" s="72">
        <f t="shared" si="1402"/>
        <v>1965.6000000000001</v>
      </c>
      <c r="V3433" s="72">
        <f>U3433*1</f>
        <v>1965.6000000000001</v>
      </c>
      <c r="W3433" s="72">
        <f t="shared" si="1403"/>
        <v>0</v>
      </c>
      <c r="X3433" s="72">
        <f>L3433*37</f>
        <v>1616.16</v>
      </c>
      <c r="Y3433" s="73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6205</v>
      </c>
      <c r="C3434" s="11" t="s">
        <v>6206</v>
      </c>
      <c r="D3434" s="11">
        <v>17979</v>
      </c>
      <c r="E3434" s="11" t="s">
        <v>1217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90"/>
        <v>1.6440000000000001</v>
      </c>
      <c r="O3434" s="13">
        <v>25</v>
      </c>
      <c r="P3434" s="13"/>
      <c r="Q3434" s="13">
        <v>0</v>
      </c>
      <c r="R3434" s="72">
        <f>L3434*O3434</f>
        <v>1027.5</v>
      </c>
      <c r="S3434" s="72">
        <v>0</v>
      </c>
      <c r="T3434" s="72">
        <f>L3434*S3434</f>
        <v>0</v>
      </c>
      <c r="U3434" s="72">
        <f t="shared" si="1402"/>
        <v>1027.5</v>
      </c>
      <c r="V3434" s="72">
        <f>U3434*0</f>
        <v>0</v>
      </c>
      <c r="W3434" s="72">
        <f t="shared" si="1403"/>
        <v>1027.5</v>
      </c>
      <c r="X3434" s="72">
        <v>0</v>
      </c>
      <c r="Y3434" s="14">
        <f t="shared" ref="Y3434" si="1406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4083</v>
      </c>
      <c r="C3435" s="11" t="s">
        <v>6207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4439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90"/>
        <v>1.6608000000000001</v>
      </c>
      <c r="O3435" s="13">
        <v>83</v>
      </c>
      <c r="P3435" s="13" t="s">
        <v>30</v>
      </c>
      <c r="Q3435" s="13">
        <v>0</v>
      </c>
      <c r="R3435" s="72">
        <f>L3435*O3435</f>
        <v>3446.1600000000003</v>
      </c>
      <c r="S3435" s="72">
        <v>38</v>
      </c>
      <c r="T3435" s="72">
        <f>L3435*S3435</f>
        <v>1577.7600000000002</v>
      </c>
      <c r="U3435" s="72">
        <f t="shared" si="1402"/>
        <v>1868.4</v>
      </c>
      <c r="V3435" s="72">
        <f>U3435*1</f>
        <v>1868.4</v>
      </c>
      <c r="W3435" s="72">
        <f t="shared" si="1403"/>
        <v>0</v>
      </c>
      <c r="X3435" s="72">
        <f>L3435*36</f>
        <v>1494.72</v>
      </c>
      <c r="Y3435" s="73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6208</v>
      </c>
      <c r="C3436" s="11" t="s">
        <v>6209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1926</v>
      </c>
      <c r="K3436" s="12" t="s">
        <v>82</v>
      </c>
      <c r="L3436" s="13">
        <v>40</v>
      </c>
      <c r="M3436" s="13">
        <v>25</v>
      </c>
      <c r="N3436" s="13">
        <f t="shared" si="1390"/>
        <v>1.6</v>
      </c>
      <c r="O3436" s="13" t="s">
        <v>30</v>
      </c>
      <c r="P3436" s="13">
        <v>54</v>
      </c>
      <c r="Q3436" s="13">
        <v>0</v>
      </c>
      <c r="R3436" s="72">
        <f>M3436*P3436</f>
        <v>1350</v>
      </c>
      <c r="S3436" s="72">
        <v>0</v>
      </c>
      <c r="T3436" s="72">
        <f>M3436*S3436</f>
        <v>0</v>
      </c>
      <c r="U3436" s="72">
        <f t="shared" si="1402"/>
        <v>1350</v>
      </c>
      <c r="V3436" s="72">
        <f>U3436*1</f>
        <v>1350</v>
      </c>
      <c r="W3436" s="72">
        <f t="shared" si="1403"/>
        <v>0</v>
      </c>
      <c r="X3436" s="72">
        <v>0</v>
      </c>
      <c r="Y3436" s="14">
        <f t="shared" ref="Y3436:Y3450" si="1407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6210</v>
      </c>
      <c r="C3437" s="11" t="s">
        <v>6211</v>
      </c>
      <c r="D3437" s="11">
        <v>17982</v>
      </c>
      <c r="E3437" s="11" t="s">
        <v>2126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90"/>
        <v>1.74</v>
      </c>
      <c r="O3437" s="13">
        <v>35</v>
      </c>
      <c r="P3437" s="13"/>
      <c r="Q3437" s="13">
        <v>0</v>
      </c>
      <c r="R3437" s="72">
        <f>+L3437*O3437</f>
        <v>1522.5</v>
      </c>
      <c r="S3437" s="72">
        <v>0</v>
      </c>
      <c r="T3437" s="72">
        <f>+L3437*S3437</f>
        <v>0</v>
      </c>
      <c r="U3437" s="72">
        <f>+R3437-T3437</f>
        <v>1522.5</v>
      </c>
      <c r="V3437" s="72">
        <f t="shared" ref="V3437" si="1408">+U3437*0</f>
        <v>0</v>
      </c>
      <c r="W3437" s="72">
        <f>+U3437-V3437</f>
        <v>1522.5</v>
      </c>
      <c r="X3437" s="72">
        <v>0</v>
      </c>
      <c r="Y3437" s="14">
        <f t="shared" si="1407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647</v>
      </c>
      <c r="C3438" s="11" t="s">
        <v>6212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6345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90"/>
        <v>1.5608000000000002</v>
      </c>
      <c r="O3438" s="13">
        <v>42.5</v>
      </c>
      <c r="P3438" s="13"/>
      <c r="Q3438" s="13">
        <v>0</v>
      </c>
      <c r="R3438" s="72">
        <f>L3438*O3438</f>
        <v>1658.3500000000001</v>
      </c>
      <c r="S3438" s="72">
        <v>0</v>
      </c>
      <c r="T3438" s="72">
        <f>+L3438*S3438</f>
        <v>0</v>
      </c>
      <c r="U3438" s="72">
        <f>R3438-T3438</f>
        <v>1658.3500000000001</v>
      </c>
      <c r="V3438" s="72">
        <f>U3438*0</f>
        <v>0</v>
      </c>
      <c r="W3438" s="72">
        <f>U3438-V3438</f>
        <v>1658.3500000000001</v>
      </c>
      <c r="X3438" s="72"/>
      <c r="Y3438" s="14">
        <f t="shared" si="1407"/>
        <v>0</v>
      </c>
      <c r="Z3438" s="76" t="s">
        <v>26</v>
      </c>
      <c r="AA3438" s="12" t="s">
        <v>31</v>
      </c>
    </row>
    <row r="3439" spans="1:27" x14ac:dyDescent="0.25">
      <c r="A3439" s="10">
        <v>45709</v>
      </c>
      <c r="B3439" s="11" t="s">
        <v>705</v>
      </c>
      <c r="C3439" s="11" t="s">
        <v>6213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90"/>
        <v>1.8</v>
      </c>
      <c r="O3439" s="13">
        <v>35</v>
      </c>
      <c r="P3439" s="13"/>
      <c r="Q3439" s="13">
        <v>0</v>
      </c>
      <c r="R3439" s="72">
        <f>+L3439*O3439</f>
        <v>1575</v>
      </c>
      <c r="S3439" s="72">
        <v>0</v>
      </c>
      <c r="T3439" s="72">
        <f>+L3439*S3439</f>
        <v>0</v>
      </c>
      <c r="U3439" s="72">
        <f>+R3439-T3439</f>
        <v>1575</v>
      </c>
      <c r="V3439" s="72">
        <f t="shared" ref="V3439" si="1409">+U3439*0</f>
        <v>0</v>
      </c>
      <c r="W3439" s="72">
        <f>+U3439-V3439</f>
        <v>1575</v>
      </c>
      <c r="X3439" s="72">
        <v>0</v>
      </c>
      <c r="Y3439" s="14">
        <f t="shared" si="1407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697</v>
      </c>
      <c r="C3440" s="11" t="s">
        <v>6214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1926</v>
      </c>
      <c r="K3440" s="12" t="s">
        <v>82</v>
      </c>
      <c r="L3440" s="13">
        <v>39.659999999999997</v>
      </c>
      <c r="M3440" s="13">
        <v>25</v>
      </c>
      <c r="N3440" s="13">
        <f t="shared" si="1390"/>
        <v>1.5863999999999998</v>
      </c>
      <c r="O3440" s="13" t="s">
        <v>30</v>
      </c>
      <c r="P3440" s="13">
        <v>54</v>
      </c>
      <c r="Q3440" s="13">
        <v>0</v>
      </c>
      <c r="R3440" s="72">
        <f>M3440*P3440</f>
        <v>1350</v>
      </c>
      <c r="S3440" s="72">
        <v>0</v>
      </c>
      <c r="T3440" s="72">
        <f>M3440*S3440</f>
        <v>0</v>
      </c>
      <c r="U3440" s="72">
        <f t="shared" ref="U3440" si="1410">R3440-T3440</f>
        <v>1350</v>
      </c>
      <c r="V3440" s="72">
        <f>U3440*1</f>
        <v>1350</v>
      </c>
      <c r="W3440" s="72">
        <f>U3440-V3440</f>
        <v>0</v>
      </c>
      <c r="X3440" s="72">
        <v>0</v>
      </c>
      <c r="Y3440" s="14">
        <f t="shared" si="1407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6215</v>
      </c>
      <c r="C3441" s="11" t="s">
        <v>6216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4463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90"/>
        <v>1.3824000000000001</v>
      </c>
      <c r="O3441" s="13">
        <v>44</v>
      </c>
      <c r="P3441" s="13" t="s">
        <v>30</v>
      </c>
      <c r="Q3441" s="13">
        <v>0</v>
      </c>
      <c r="R3441" s="72">
        <f t="shared" ref="R3441" si="1411">+L3441*O3441</f>
        <v>1520.64</v>
      </c>
      <c r="S3441" s="72">
        <v>0</v>
      </c>
      <c r="T3441" s="72">
        <f>+L3441*S3441</f>
        <v>0</v>
      </c>
      <c r="U3441" s="72">
        <f>+R3441-T3441</f>
        <v>1520.64</v>
      </c>
      <c r="V3441" s="72">
        <f>+U3441*1</f>
        <v>1520.64</v>
      </c>
      <c r="W3441" s="72">
        <f>+U3441-V3441</f>
        <v>0</v>
      </c>
      <c r="X3441" s="72">
        <v>0</v>
      </c>
      <c r="Y3441" s="14">
        <f t="shared" si="1407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3977</v>
      </c>
      <c r="C3442" s="11" t="s">
        <v>6217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90"/>
        <v>1.7280000000000002</v>
      </c>
      <c r="O3442" s="13">
        <v>35</v>
      </c>
      <c r="P3442" s="13"/>
      <c r="Q3442" s="13">
        <v>0</v>
      </c>
      <c r="R3442" s="72">
        <f>+L3442*O3442</f>
        <v>1512</v>
      </c>
      <c r="S3442" s="72">
        <v>0</v>
      </c>
      <c r="T3442" s="72">
        <f>+L3442*S3442</f>
        <v>0</v>
      </c>
      <c r="U3442" s="72">
        <f>+R3442-T3442</f>
        <v>1512</v>
      </c>
      <c r="V3442" s="72">
        <f t="shared" ref="V3442:V3444" si="1412">+U3442*0</f>
        <v>0</v>
      </c>
      <c r="W3442" s="72">
        <f>+U3442-V3442</f>
        <v>1512</v>
      </c>
      <c r="X3442" s="72">
        <v>0</v>
      </c>
      <c r="Y3442" s="14">
        <f t="shared" si="1407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6218</v>
      </c>
      <c r="C3443" s="11" t="s">
        <v>6219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90"/>
        <v>1.4557142857142857</v>
      </c>
      <c r="O3443" s="13">
        <v>40</v>
      </c>
      <c r="P3443" s="13"/>
      <c r="Q3443" s="13">
        <v>0</v>
      </c>
      <c r="R3443" s="72">
        <f>+L3443*O3443</f>
        <v>1630.3999999999999</v>
      </c>
      <c r="S3443" s="72">
        <v>0</v>
      </c>
      <c r="T3443" s="72">
        <f>+L3443*S3443</f>
        <v>0</v>
      </c>
      <c r="U3443" s="72">
        <f>+R3443-T3443</f>
        <v>1630.3999999999999</v>
      </c>
      <c r="V3443" s="72">
        <f t="shared" si="1412"/>
        <v>0</v>
      </c>
      <c r="W3443" s="72">
        <f>+U3443-V3443</f>
        <v>1630.3999999999999</v>
      </c>
      <c r="X3443" s="72">
        <v>0</v>
      </c>
      <c r="Y3443" s="14">
        <f t="shared" si="1407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6139</v>
      </c>
      <c r="C3444" s="11" t="s">
        <v>6220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90"/>
        <v>1.530909090909091</v>
      </c>
      <c r="O3444" s="13">
        <v>20</v>
      </c>
      <c r="P3444" s="13" t="s">
        <v>30</v>
      </c>
      <c r="Q3444" s="13">
        <v>0</v>
      </c>
      <c r="R3444" s="72">
        <f>(L3444*O3444)-Q3444</f>
        <v>673.6</v>
      </c>
      <c r="S3444" s="72">
        <v>0</v>
      </c>
      <c r="T3444" s="72">
        <f t="shared" ref="T3444" si="1413">+L3444*S3444</f>
        <v>0</v>
      </c>
      <c r="U3444" s="72">
        <f t="shared" ref="U3444:U3447" si="1414">+R3444-T3444</f>
        <v>673.6</v>
      </c>
      <c r="V3444" s="72">
        <f t="shared" si="1412"/>
        <v>0</v>
      </c>
      <c r="W3444" s="72">
        <f t="shared" ref="W3444:W3447" si="1415">+U3444-V3444</f>
        <v>673.6</v>
      </c>
      <c r="X3444" s="72">
        <v>0</v>
      </c>
      <c r="Y3444" s="14">
        <f t="shared" si="1407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6218</v>
      </c>
      <c r="C3445" s="11" t="s">
        <v>6221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4440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90"/>
        <v>1.4296</v>
      </c>
      <c r="O3445" s="13">
        <v>45</v>
      </c>
      <c r="P3445" s="13" t="s">
        <v>30</v>
      </c>
      <c r="Q3445" s="13">
        <v>0</v>
      </c>
      <c r="R3445" s="72">
        <f>+L3445*O3445</f>
        <v>1608.3000000000002</v>
      </c>
      <c r="S3445" s="72">
        <v>0</v>
      </c>
      <c r="T3445" s="72">
        <f>+L3445*S3445</f>
        <v>0</v>
      </c>
      <c r="U3445" s="72">
        <f t="shared" si="1414"/>
        <v>1608.3000000000002</v>
      </c>
      <c r="V3445" s="72">
        <f>+U3445*1</f>
        <v>1608.3000000000002</v>
      </c>
      <c r="W3445" s="72">
        <f t="shared" si="1415"/>
        <v>0</v>
      </c>
      <c r="X3445" s="72">
        <v>0</v>
      </c>
      <c r="Y3445" s="14">
        <f t="shared" si="1407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465</v>
      </c>
      <c r="C3446" s="11" t="s">
        <v>6222</v>
      </c>
      <c r="D3446" s="11">
        <v>17991</v>
      </c>
      <c r="E3446" s="11" t="s">
        <v>4779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90"/>
        <v>1.6055999999999999</v>
      </c>
      <c r="O3446" s="13">
        <v>45</v>
      </c>
      <c r="P3446" s="13" t="s">
        <v>30</v>
      </c>
      <c r="Q3446" s="13">
        <v>0</v>
      </c>
      <c r="R3446" s="72">
        <f>(L3446*O3446)-Q3446</f>
        <v>1806.3</v>
      </c>
      <c r="S3446" s="72">
        <v>0</v>
      </c>
      <c r="T3446" s="72">
        <f t="shared" ref="T3446" si="1416">+L3446*S3446</f>
        <v>0</v>
      </c>
      <c r="U3446" s="72">
        <f t="shared" si="1414"/>
        <v>1806.3</v>
      </c>
      <c r="V3446" s="72">
        <f>+U3446*0</f>
        <v>0</v>
      </c>
      <c r="W3446" s="72">
        <f t="shared" si="1415"/>
        <v>1806.3</v>
      </c>
      <c r="X3446" s="72">
        <v>0</v>
      </c>
      <c r="Y3446" s="14">
        <f t="shared" si="1407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6072</v>
      </c>
      <c r="C3447" s="11" t="s">
        <v>6223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4440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90"/>
        <v>1.3991999999999998</v>
      </c>
      <c r="O3447" s="13">
        <v>45</v>
      </c>
      <c r="P3447" s="13" t="s">
        <v>30</v>
      </c>
      <c r="Q3447" s="13">
        <v>0</v>
      </c>
      <c r="R3447" s="72">
        <f>+L3447*O3447</f>
        <v>1574.1</v>
      </c>
      <c r="S3447" s="72">
        <v>0</v>
      </c>
      <c r="T3447" s="72">
        <f>+L3447*S3447</f>
        <v>0</v>
      </c>
      <c r="U3447" s="72">
        <f t="shared" si="1414"/>
        <v>1574.1</v>
      </c>
      <c r="V3447" s="72">
        <f>+U3447*1</f>
        <v>1574.1</v>
      </c>
      <c r="W3447" s="72">
        <f t="shared" si="1415"/>
        <v>0</v>
      </c>
      <c r="X3447" s="72">
        <v>0</v>
      </c>
      <c r="Y3447" s="14">
        <f t="shared" si="1407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631</v>
      </c>
      <c r="C3448" s="11" t="s">
        <v>6224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90"/>
        <v>1.4143999999999999</v>
      </c>
      <c r="O3448" s="13" t="s">
        <v>30</v>
      </c>
      <c r="P3448" s="13">
        <v>60</v>
      </c>
      <c r="Q3448" s="13">
        <v>0</v>
      </c>
      <c r="R3448" s="72">
        <f>M3448*P3448</f>
        <v>1500</v>
      </c>
      <c r="S3448" s="72">
        <v>0</v>
      </c>
      <c r="T3448" s="72">
        <f>M3448*S3448</f>
        <v>0</v>
      </c>
      <c r="U3448" s="72">
        <f>R3448-T3448</f>
        <v>1500</v>
      </c>
      <c r="V3448" s="72">
        <f>U3448*0</f>
        <v>0</v>
      </c>
      <c r="W3448" s="72">
        <f>U3448-V3448</f>
        <v>1500</v>
      </c>
      <c r="X3448" s="72">
        <v>0</v>
      </c>
      <c r="Y3448" s="14">
        <f t="shared" si="1407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352</v>
      </c>
      <c r="C3449" s="11" t="s">
        <v>6225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90"/>
        <v>1.5928</v>
      </c>
      <c r="O3449" s="13">
        <v>15</v>
      </c>
      <c r="P3449" s="13" t="s">
        <v>30</v>
      </c>
      <c r="Q3449" s="13">
        <v>0</v>
      </c>
      <c r="R3449" s="72">
        <f>L3449*O3449</f>
        <v>597.29999999999995</v>
      </c>
      <c r="S3449" s="72">
        <v>0</v>
      </c>
      <c r="T3449" s="72">
        <f>L3449*S3449</f>
        <v>0</v>
      </c>
      <c r="U3449" s="72">
        <f>R3449-T3449</f>
        <v>597.29999999999995</v>
      </c>
      <c r="V3449" s="72">
        <f>U3449*0</f>
        <v>0</v>
      </c>
      <c r="W3449" s="72">
        <f>U3449-V3449</f>
        <v>597.29999999999995</v>
      </c>
      <c r="X3449" s="72">
        <v>0</v>
      </c>
      <c r="Y3449" s="14">
        <f t="shared" si="1407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1122</v>
      </c>
      <c r="C3450" s="11" t="s">
        <v>6226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90"/>
        <v>1.6368</v>
      </c>
      <c r="O3450" s="13">
        <v>15</v>
      </c>
      <c r="P3450" s="13" t="s">
        <v>30</v>
      </c>
      <c r="Q3450" s="13">
        <v>0</v>
      </c>
      <c r="R3450" s="72">
        <f>L3450*O3450</f>
        <v>613.80000000000007</v>
      </c>
      <c r="S3450" s="72">
        <v>0</v>
      </c>
      <c r="T3450" s="72">
        <f>L3450*S3450</f>
        <v>0</v>
      </c>
      <c r="U3450" s="72">
        <f>R3450-T3450</f>
        <v>613.80000000000007</v>
      </c>
      <c r="V3450" s="72">
        <f>U3450*0</f>
        <v>0</v>
      </c>
      <c r="W3450" s="72">
        <f>U3450-V3450</f>
        <v>613.80000000000007</v>
      </c>
      <c r="X3450" s="72">
        <v>0</v>
      </c>
      <c r="Y3450" s="14">
        <f t="shared" si="1407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6227</v>
      </c>
      <c r="C3451" s="11" t="s">
        <v>6228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4439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90"/>
        <v>1.4542857142857142</v>
      </c>
      <c r="O3451" s="13">
        <v>85</v>
      </c>
      <c r="P3451" s="13" t="s">
        <v>30</v>
      </c>
      <c r="Q3451" s="13">
        <v>0</v>
      </c>
      <c r="R3451" s="72">
        <f t="shared" ref="R3451" si="1417">L3451*O3451</f>
        <v>3461.2</v>
      </c>
      <c r="S3451" s="72">
        <v>38</v>
      </c>
      <c r="T3451" s="72">
        <f t="shared" ref="T3451" si="1418">L3451*S3451</f>
        <v>1547.36</v>
      </c>
      <c r="U3451" s="72">
        <f t="shared" ref="U3451" si="1419">R3451-T3451</f>
        <v>1913.84</v>
      </c>
      <c r="V3451" s="72">
        <f>U3451*1</f>
        <v>1913.84</v>
      </c>
      <c r="W3451" s="72">
        <f t="shared" ref="W3451" si="1420">U3451-V3451</f>
        <v>0</v>
      </c>
      <c r="X3451" s="72">
        <f>L3451*36</f>
        <v>1465.92</v>
      </c>
      <c r="Y3451" s="73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6229</v>
      </c>
      <c r="C3452" s="11" t="s">
        <v>6230</v>
      </c>
      <c r="D3452" s="11">
        <v>17997</v>
      </c>
      <c r="E3452" s="11" t="s">
        <v>1217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90"/>
        <v>1.476</v>
      </c>
      <c r="O3452" s="13" t="s">
        <v>30</v>
      </c>
      <c r="P3452" s="13">
        <v>60</v>
      </c>
      <c r="Q3452" s="13">
        <v>0</v>
      </c>
      <c r="R3452" s="72">
        <f>M3452*P3452</f>
        <v>1500</v>
      </c>
      <c r="S3452" s="72">
        <v>0</v>
      </c>
      <c r="T3452" s="72">
        <f>M3452*S3452</f>
        <v>0</v>
      </c>
      <c r="U3452" s="72">
        <f>R3452-T3452</f>
        <v>1500</v>
      </c>
      <c r="V3452" s="72">
        <f>U3452*0</f>
        <v>0</v>
      </c>
      <c r="W3452" s="72">
        <f>U3452-V3452</f>
        <v>1500</v>
      </c>
      <c r="X3452" s="72">
        <v>0</v>
      </c>
      <c r="Y3452" s="14">
        <f t="shared" ref="Y3452" si="1421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6231</v>
      </c>
      <c r="C3453" s="11" t="s">
        <v>6232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4439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90"/>
        <v>1.4638709677419355</v>
      </c>
      <c r="O3453" s="13">
        <v>87</v>
      </c>
      <c r="P3453" s="13" t="s">
        <v>30</v>
      </c>
      <c r="Q3453" s="13">
        <v>0</v>
      </c>
      <c r="R3453" s="72">
        <f t="shared" ref="R3453" si="1422">L3453*O3453</f>
        <v>3948.0600000000004</v>
      </c>
      <c r="S3453" s="72">
        <v>38</v>
      </c>
      <c r="T3453" s="72">
        <f t="shared" ref="T3453" si="1423">L3453*S3453</f>
        <v>1724.44</v>
      </c>
      <c r="U3453" s="72">
        <f t="shared" ref="U3453" si="1424">R3453-T3453</f>
        <v>2223.6200000000003</v>
      </c>
      <c r="V3453" s="72">
        <f>U3453*1</f>
        <v>2223.6200000000003</v>
      </c>
      <c r="W3453" s="72">
        <f t="shared" ref="W3453" si="1425">U3453-V3453</f>
        <v>0</v>
      </c>
      <c r="X3453" s="72">
        <f>L3453*37</f>
        <v>1679.0600000000002</v>
      </c>
      <c r="Y3453" s="73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630</v>
      </c>
      <c r="C3454" s="11" t="s">
        <v>6233</v>
      </c>
      <c r="D3454" s="11">
        <v>17999</v>
      </c>
      <c r="E3454" s="11" t="s">
        <v>2126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90"/>
        <v>1.7512000000000001</v>
      </c>
      <c r="O3454" s="13">
        <v>35</v>
      </c>
      <c r="P3454" s="13"/>
      <c r="Q3454" s="13">
        <v>0</v>
      </c>
      <c r="R3454" s="72">
        <f>+L3454*O3454</f>
        <v>1532.3</v>
      </c>
      <c r="S3454" s="72">
        <v>0</v>
      </c>
      <c r="T3454" s="72">
        <f>+L3454*S3454</f>
        <v>0</v>
      </c>
      <c r="U3454" s="72">
        <f>+R3454-T3454</f>
        <v>1532.3</v>
      </c>
      <c r="V3454" s="72">
        <f t="shared" ref="V3454" si="1426">+U3454*0</f>
        <v>0</v>
      </c>
      <c r="W3454" s="72">
        <f>+U3454-V3454</f>
        <v>1532.3</v>
      </c>
      <c r="X3454" s="72">
        <v>0</v>
      </c>
      <c r="Y3454" s="14">
        <f t="shared" ref="Y3454" si="1427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6234</v>
      </c>
      <c r="C3455" s="11" t="s">
        <v>6235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4439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90"/>
        <v>1.4451612903225806</v>
      </c>
      <c r="O3455" s="13">
        <v>85</v>
      </c>
      <c r="P3455" s="13" t="s">
        <v>30</v>
      </c>
      <c r="Q3455" s="13">
        <v>0</v>
      </c>
      <c r="R3455" s="72">
        <f t="shared" ref="R3455" si="1428">L3455*O3455</f>
        <v>3807.9999999999995</v>
      </c>
      <c r="S3455" s="72">
        <v>38</v>
      </c>
      <c r="T3455" s="72">
        <f t="shared" ref="T3455" si="1429">L3455*S3455</f>
        <v>1702.3999999999999</v>
      </c>
      <c r="U3455" s="72">
        <f t="shared" ref="U3455" si="1430">R3455-T3455</f>
        <v>2105.5999999999995</v>
      </c>
      <c r="V3455" s="72">
        <f>U3455*1</f>
        <v>2105.5999999999995</v>
      </c>
      <c r="W3455" s="72">
        <f t="shared" ref="W3455" si="1431">U3455-V3455</f>
        <v>0</v>
      </c>
      <c r="X3455" s="72">
        <f>L3455*37</f>
        <v>1657.6</v>
      </c>
      <c r="Y3455" s="73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6236</v>
      </c>
      <c r="C3456" s="11" t="s">
        <v>6237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4440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90"/>
        <v>1.4576</v>
      </c>
      <c r="O3456" s="13">
        <v>45</v>
      </c>
      <c r="P3456" s="13" t="s">
        <v>30</v>
      </c>
      <c r="Q3456" s="13">
        <v>0</v>
      </c>
      <c r="R3456" s="72">
        <f>+L3456*O3456</f>
        <v>1639.8</v>
      </c>
      <c r="S3456" s="72">
        <v>0</v>
      </c>
      <c r="T3456" s="72">
        <f>+L3456*S3456</f>
        <v>0</v>
      </c>
      <c r="U3456" s="72">
        <f t="shared" ref="U3456" si="1432">+R3456-T3456</f>
        <v>1639.8</v>
      </c>
      <c r="V3456" s="72">
        <f>+U3456*1</f>
        <v>1639.8</v>
      </c>
      <c r="W3456" s="72">
        <f t="shared" ref="W3456" si="1433">+U3456-V3456</f>
        <v>0</v>
      </c>
      <c r="X3456" s="72">
        <v>0</v>
      </c>
      <c r="Y3456" s="14">
        <f t="shared" ref="Y3456:Y3473" si="1434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6238</v>
      </c>
      <c r="C3457" s="11" t="s">
        <v>6239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90"/>
        <v>1.4606896551724138</v>
      </c>
      <c r="O3457" s="13">
        <v>40</v>
      </c>
      <c r="P3457" s="13"/>
      <c r="Q3457" s="13">
        <v>0</v>
      </c>
      <c r="R3457" s="72">
        <f>+L3457*O3457</f>
        <v>1694.4</v>
      </c>
      <c r="S3457" s="72">
        <v>0</v>
      </c>
      <c r="T3457" s="72">
        <f>+L3457*S3457</f>
        <v>0</v>
      </c>
      <c r="U3457" s="72">
        <f>+R3457-T3457</f>
        <v>1694.4</v>
      </c>
      <c r="V3457" s="72">
        <f t="shared" ref="V3457:V3458" si="1435">+U3457*0</f>
        <v>0</v>
      </c>
      <c r="W3457" s="72">
        <f>+U3457-V3457</f>
        <v>1694.4</v>
      </c>
      <c r="X3457" s="72">
        <v>0</v>
      </c>
      <c r="Y3457" s="14">
        <f t="shared" si="1434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1404</v>
      </c>
      <c r="C3458" s="11" t="s">
        <v>6240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90"/>
        <v>1.4550000000000001</v>
      </c>
      <c r="O3458" s="13">
        <v>40</v>
      </c>
      <c r="P3458" s="13"/>
      <c r="Q3458" s="13">
        <v>0</v>
      </c>
      <c r="R3458" s="72">
        <f>+L3458*O3458</f>
        <v>1629.6000000000001</v>
      </c>
      <c r="S3458" s="72">
        <v>0</v>
      </c>
      <c r="T3458" s="72">
        <f>+L3458*S3458</f>
        <v>0</v>
      </c>
      <c r="U3458" s="72">
        <f>+R3458-T3458</f>
        <v>1629.6000000000001</v>
      </c>
      <c r="V3458" s="72">
        <f t="shared" si="1435"/>
        <v>0</v>
      </c>
      <c r="W3458" s="72">
        <f>+U3458-V3458</f>
        <v>1629.6000000000001</v>
      </c>
      <c r="X3458" s="72">
        <v>0</v>
      </c>
      <c r="Y3458" s="14">
        <f t="shared" si="1434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6241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90"/>
        <v>1.6368</v>
      </c>
      <c r="O3459" s="13" t="s">
        <v>30</v>
      </c>
      <c r="P3459" s="13">
        <v>64</v>
      </c>
      <c r="Q3459" s="13">
        <v>0</v>
      </c>
      <c r="R3459" s="72">
        <f>M3459*P3459</f>
        <v>1600</v>
      </c>
      <c r="S3459" s="72">
        <v>0</v>
      </c>
      <c r="T3459" s="72">
        <f>M3459*S3459</f>
        <v>0</v>
      </c>
      <c r="U3459" s="72">
        <f>R3459-T3459</f>
        <v>1600</v>
      </c>
      <c r="V3459" s="72">
        <f t="shared" ref="V3459" si="1436">U3459*0</f>
        <v>0</v>
      </c>
      <c r="W3459" s="72">
        <f t="shared" ref="W3459" si="1437">U3459-V3459</f>
        <v>1600</v>
      </c>
      <c r="X3459" s="72">
        <v>0</v>
      </c>
      <c r="Y3459" s="14">
        <f t="shared" si="1434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1685</v>
      </c>
      <c r="C3460" s="11" t="s">
        <v>6242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6345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90"/>
        <v>1.5871999999999999</v>
      </c>
      <c r="O3460" s="13">
        <v>42.5</v>
      </c>
      <c r="P3460" s="13"/>
      <c r="Q3460" s="13">
        <v>0</v>
      </c>
      <c r="R3460" s="72">
        <f>L3460*O3460</f>
        <v>1686.4</v>
      </c>
      <c r="S3460" s="72">
        <v>0</v>
      </c>
      <c r="T3460" s="72">
        <f>+L3460*S3460</f>
        <v>0</v>
      </c>
      <c r="U3460" s="72">
        <f>R3460-T3460</f>
        <v>1686.4</v>
      </c>
      <c r="V3460" s="72">
        <f>U3460*0</f>
        <v>0</v>
      </c>
      <c r="W3460" s="72">
        <f>U3460-V3460</f>
        <v>1686.4</v>
      </c>
      <c r="X3460" s="72"/>
      <c r="Y3460" s="14">
        <f t="shared" si="1434"/>
        <v>0</v>
      </c>
      <c r="Z3460" s="76" t="s">
        <v>26</v>
      </c>
      <c r="AA3460" s="12" t="s">
        <v>31</v>
      </c>
    </row>
    <row r="3461" spans="1:27" x14ac:dyDescent="0.25">
      <c r="A3461" s="10">
        <v>45709</v>
      </c>
      <c r="B3461" s="11" t="s">
        <v>6243</v>
      </c>
      <c r="C3461" s="11" t="s">
        <v>6244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90"/>
        <v>1.4485714285714286</v>
      </c>
      <c r="O3461" s="13">
        <v>40</v>
      </c>
      <c r="P3461" s="13"/>
      <c r="Q3461" s="13">
        <v>0</v>
      </c>
      <c r="R3461" s="72">
        <f>+L3461*O3461</f>
        <v>1622.4</v>
      </c>
      <c r="S3461" s="72">
        <v>0</v>
      </c>
      <c r="T3461" s="72">
        <f>+L3461*S3461</f>
        <v>0</v>
      </c>
      <c r="U3461" s="72">
        <f>+R3461-T3461</f>
        <v>1622.4</v>
      </c>
      <c r="V3461" s="72">
        <f t="shared" ref="V3461" si="1438">+U3461*0</f>
        <v>0</v>
      </c>
      <c r="W3461" s="72">
        <f>+U3461-V3461</f>
        <v>1622.4</v>
      </c>
      <c r="X3461" s="72">
        <v>0</v>
      </c>
      <c r="Y3461" s="14">
        <f t="shared" si="1434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6245</v>
      </c>
      <c r="C3462" s="11" t="s">
        <v>6246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4440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90"/>
        <v>1.4936</v>
      </c>
      <c r="O3462" s="13">
        <v>42</v>
      </c>
      <c r="P3462" s="13" t="s">
        <v>30</v>
      </c>
      <c r="Q3462" s="13">
        <v>0</v>
      </c>
      <c r="R3462" s="72">
        <f t="shared" ref="R3462:R3463" si="1439">+L3462*O3462</f>
        <v>1568.2800000000002</v>
      </c>
      <c r="S3462" s="72">
        <v>0</v>
      </c>
      <c r="T3462" s="72">
        <f t="shared" ref="T3462:T3463" si="1440">+L3462*S3462</f>
        <v>0</v>
      </c>
      <c r="U3462" s="72">
        <f t="shared" ref="U3462:U3463" si="1441">+R3462-T3462</f>
        <v>1568.2800000000002</v>
      </c>
      <c r="V3462" s="72">
        <f>+U3462*1</f>
        <v>1568.2800000000002</v>
      </c>
      <c r="W3462" s="72">
        <f t="shared" ref="W3462:W3463" si="1442">+U3462-V3462</f>
        <v>0</v>
      </c>
      <c r="X3462" s="72">
        <v>0</v>
      </c>
      <c r="Y3462" s="14">
        <f t="shared" si="1434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6247</v>
      </c>
      <c r="C3463" s="11" t="s">
        <v>6248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4440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90"/>
        <v>1.5031999999999999</v>
      </c>
      <c r="O3463" s="13">
        <v>42</v>
      </c>
      <c r="P3463" s="13" t="s">
        <v>30</v>
      </c>
      <c r="Q3463" s="13">
        <v>0</v>
      </c>
      <c r="R3463" s="72">
        <f t="shared" si="1439"/>
        <v>1578.36</v>
      </c>
      <c r="S3463" s="72">
        <v>0</v>
      </c>
      <c r="T3463" s="72">
        <f t="shared" si="1440"/>
        <v>0</v>
      </c>
      <c r="U3463" s="72">
        <f t="shared" si="1441"/>
        <v>1578.36</v>
      </c>
      <c r="V3463" s="72">
        <f>+U3463*1</f>
        <v>1578.36</v>
      </c>
      <c r="W3463" s="72">
        <f t="shared" si="1442"/>
        <v>0</v>
      </c>
      <c r="X3463" s="72">
        <v>0</v>
      </c>
      <c r="Y3463" s="14">
        <f t="shared" si="1434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5805</v>
      </c>
      <c r="C3464" s="11" t="s">
        <v>6249</v>
      </c>
      <c r="D3464" s="11">
        <v>18009</v>
      </c>
      <c r="E3464" s="11" t="s">
        <v>1217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90"/>
        <v>1.724</v>
      </c>
      <c r="O3464" s="13" t="s">
        <v>30</v>
      </c>
      <c r="P3464" s="13">
        <v>64</v>
      </c>
      <c r="Q3464" s="13">
        <v>0</v>
      </c>
      <c r="R3464" s="72">
        <f>M3464*P3464</f>
        <v>1600</v>
      </c>
      <c r="S3464" s="72">
        <v>0</v>
      </c>
      <c r="T3464" s="72">
        <f>M3464*S3464</f>
        <v>0</v>
      </c>
      <c r="U3464" s="72">
        <f>R3464-T3464</f>
        <v>1600</v>
      </c>
      <c r="V3464" s="72">
        <f t="shared" ref="V3464" si="1443">U3464*0</f>
        <v>0</v>
      </c>
      <c r="W3464" s="72">
        <f t="shared" ref="W3464" si="1444">U3464-V3464</f>
        <v>1600</v>
      </c>
      <c r="X3464" s="72">
        <v>0</v>
      </c>
      <c r="Y3464" s="14">
        <f t="shared" si="1434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6250</v>
      </c>
      <c r="C3465" s="11" t="s">
        <v>6251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4440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90"/>
        <v>1.3936000000000002</v>
      </c>
      <c r="O3465" s="13">
        <v>46</v>
      </c>
      <c r="P3465" s="13" t="s">
        <v>30</v>
      </c>
      <c r="Q3465" s="13">
        <v>0</v>
      </c>
      <c r="R3465" s="72">
        <f t="shared" ref="R3465" si="1445">+L3465*O3465</f>
        <v>1602.64</v>
      </c>
      <c r="S3465" s="72">
        <v>0</v>
      </c>
      <c r="T3465" s="72">
        <f t="shared" ref="T3465" si="1446">+L3465*S3465</f>
        <v>0</v>
      </c>
      <c r="U3465" s="72">
        <f t="shared" ref="U3465:U3466" si="1447">+R3465-T3465</f>
        <v>1602.64</v>
      </c>
      <c r="V3465" s="72">
        <f>+U3465*1</f>
        <v>1602.64</v>
      </c>
      <c r="W3465" s="72">
        <f t="shared" ref="W3465:W3466" si="1448">+U3465-V3465</f>
        <v>0</v>
      </c>
      <c r="X3465" s="72">
        <v>0</v>
      </c>
      <c r="Y3465" s="14">
        <f t="shared" si="1434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6252</v>
      </c>
      <c r="C3466" s="11" t="s">
        <v>6253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90"/>
        <v>1.548</v>
      </c>
      <c r="O3466" s="13" t="s">
        <v>30</v>
      </c>
      <c r="P3466" s="13">
        <v>60</v>
      </c>
      <c r="Q3466" s="13">
        <v>0</v>
      </c>
      <c r="R3466" s="72">
        <f>+M3466*P3466</f>
        <v>1500</v>
      </c>
      <c r="S3466" s="72">
        <v>0</v>
      </c>
      <c r="T3466" s="72">
        <f>+M3466*S3466</f>
        <v>0</v>
      </c>
      <c r="U3466" s="72">
        <f t="shared" si="1447"/>
        <v>1500</v>
      </c>
      <c r="V3466" s="72">
        <f>+U3466*0</f>
        <v>0</v>
      </c>
      <c r="W3466" s="72">
        <f t="shared" si="1448"/>
        <v>1500</v>
      </c>
      <c r="X3466" s="72">
        <v>0</v>
      </c>
      <c r="Y3466" s="14">
        <f t="shared" si="1434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5716</v>
      </c>
      <c r="C3467" s="11" t="s">
        <v>6254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90"/>
        <v>1.7416</v>
      </c>
      <c r="O3467" s="13" t="s">
        <v>30</v>
      </c>
      <c r="P3467" s="13">
        <v>62</v>
      </c>
      <c r="Q3467" s="13">
        <v>0</v>
      </c>
      <c r="R3467" s="72">
        <f>M3467*P3467</f>
        <v>1550</v>
      </c>
      <c r="S3467" s="72">
        <v>0</v>
      </c>
      <c r="T3467" s="72">
        <f>M3467*S3467</f>
        <v>0</v>
      </c>
      <c r="U3467" s="72">
        <f>R3467-T3467</f>
        <v>1550</v>
      </c>
      <c r="V3467" s="72">
        <f>U3467*0</f>
        <v>0</v>
      </c>
      <c r="W3467" s="72">
        <f>U3467-V3467</f>
        <v>1550</v>
      </c>
      <c r="X3467" s="72">
        <v>0</v>
      </c>
      <c r="Y3467" s="14">
        <f t="shared" si="1434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719</v>
      </c>
      <c r="C3468" s="11" t="s">
        <v>6255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1926</v>
      </c>
      <c r="K3468" s="12" t="s">
        <v>82</v>
      </c>
      <c r="L3468" s="13">
        <v>40.119999999999997</v>
      </c>
      <c r="M3468" s="13">
        <v>25</v>
      </c>
      <c r="N3468" s="13">
        <f t="shared" si="1390"/>
        <v>1.6048</v>
      </c>
      <c r="O3468" s="13" t="s">
        <v>30</v>
      </c>
      <c r="P3468" s="13">
        <v>54</v>
      </c>
      <c r="Q3468" s="13">
        <v>0</v>
      </c>
      <c r="R3468" s="72">
        <f>M3468*P3468</f>
        <v>1350</v>
      </c>
      <c r="S3468" s="72">
        <v>0</v>
      </c>
      <c r="T3468" s="72">
        <f>M3468*S3468</f>
        <v>0</v>
      </c>
      <c r="U3468" s="72">
        <f t="shared" ref="U3468" si="1449">R3468-T3468</f>
        <v>1350</v>
      </c>
      <c r="V3468" s="72">
        <f>U3468*1</f>
        <v>1350</v>
      </c>
      <c r="W3468" s="72">
        <f>U3468-V3468</f>
        <v>0</v>
      </c>
      <c r="X3468" s="72">
        <v>0</v>
      </c>
      <c r="Y3468" s="14">
        <f t="shared" si="1434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6256</v>
      </c>
      <c r="C3469" s="11" t="s">
        <v>6257</v>
      </c>
      <c r="D3469" s="11">
        <v>18014</v>
      </c>
      <c r="E3469" s="11" t="s">
        <v>4779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90"/>
        <v>1.6312</v>
      </c>
      <c r="O3469" s="13">
        <v>45</v>
      </c>
      <c r="P3469" s="13" t="s">
        <v>30</v>
      </c>
      <c r="Q3469" s="13">
        <v>0</v>
      </c>
      <c r="R3469" s="72">
        <f>(L3469*O3469)-Q3469</f>
        <v>1835.1000000000001</v>
      </c>
      <c r="S3469" s="72">
        <v>0</v>
      </c>
      <c r="T3469" s="72">
        <f t="shared" ref="T3469" si="1450">+L3469*S3469</f>
        <v>0</v>
      </c>
      <c r="U3469" s="72">
        <f t="shared" ref="U3469" si="1451">+R3469-T3469</f>
        <v>1835.1000000000001</v>
      </c>
      <c r="V3469" s="72">
        <f>+U3469*0</f>
        <v>0</v>
      </c>
      <c r="W3469" s="72">
        <f t="shared" ref="W3469" si="1452">+U3469-V3469</f>
        <v>1835.1000000000001</v>
      </c>
      <c r="X3469" s="72">
        <v>0</v>
      </c>
      <c r="Y3469" s="14">
        <f t="shared" si="1434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5325</v>
      </c>
      <c r="C3470" s="11" t="s">
        <v>6258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1926</v>
      </c>
      <c r="K3470" s="12" t="s">
        <v>82</v>
      </c>
      <c r="L3470" s="13">
        <v>40.1</v>
      </c>
      <c r="M3470" s="13">
        <v>25</v>
      </c>
      <c r="N3470" s="13">
        <f t="shared" si="1390"/>
        <v>1.6040000000000001</v>
      </c>
      <c r="O3470" s="13" t="s">
        <v>30</v>
      </c>
      <c r="P3470" s="13">
        <v>54</v>
      </c>
      <c r="Q3470" s="13">
        <v>0</v>
      </c>
      <c r="R3470" s="72">
        <f>M3470*P3470</f>
        <v>1350</v>
      </c>
      <c r="S3470" s="72">
        <v>0</v>
      </c>
      <c r="T3470" s="72">
        <f>M3470*S3470</f>
        <v>0</v>
      </c>
      <c r="U3470" s="72">
        <f t="shared" ref="U3470" si="1453">R3470-T3470</f>
        <v>1350</v>
      </c>
      <c r="V3470" s="72">
        <f>U3470*1</f>
        <v>1350</v>
      </c>
      <c r="W3470" s="72">
        <f>U3470-V3470</f>
        <v>0</v>
      </c>
      <c r="X3470" s="72">
        <v>0</v>
      </c>
      <c r="Y3470" s="14">
        <f t="shared" si="1434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3589</v>
      </c>
      <c r="C3471" s="11" t="s">
        <v>6259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90"/>
        <v>1.444</v>
      </c>
      <c r="O3471" s="13" t="s">
        <v>30</v>
      </c>
      <c r="P3471" s="13">
        <v>60</v>
      </c>
      <c r="Q3471" s="13">
        <v>0</v>
      </c>
      <c r="R3471" s="72">
        <f>M3471*P3471</f>
        <v>1500</v>
      </c>
      <c r="S3471" s="72">
        <v>0</v>
      </c>
      <c r="T3471" s="72">
        <f>M3471*S3471</f>
        <v>0</v>
      </c>
      <c r="U3471" s="72">
        <f t="shared" ref="U3471:U3472" si="1454">+R3471-T3471</f>
        <v>1500</v>
      </c>
      <c r="V3471" s="72">
        <f>+U3471*0</f>
        <v>0</v>
      </c>
      <c r="W3471" s="72">
        <f t="shared" ref="W3471:W3472" si="1455">+U3471-V3471</f>
        <v>1500</v>
      </c>
      <c r="X3471" s="72">
        <v>0</v>
      </c>
      <c r="Y3471" s="14">
        <f t="shared" si="1434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6260</v>
      </c>
      <c r="C3472" s="11" t="s">
        <v>6261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4440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90"/>
        <v>1.3936000000000002</v>
      </c>
      <c r="O3472" s="13">
        <v>45</v>
      </c>
      <c r="P3472" s="13" t="s">
        <v>30</v>
      </c>
      <c r="Q3472" s="13">
        <v>0</v>
      </c>
      <c r="R3472" s="72">
        <f>+L3472*O3472</f>
        <v>1567.8000000000002</v>
      </c>
      <c r="S3472" s="72">
        <v>0</v>
      </c>
      <c r="T3472" s="72">
        <f>+L3472*S3472</f>
        <v>0</v>
      </c>
      <c r="U3472" s="72">
        <f t="shared" si="1454"/>
        <v>1567.8000000000002</v>
      </c>
      <c r="V3472" s="72">
        <f>+U3472*1</f>
        <v>1567.8000000000002</v>
      </c>
      <c r="W3472" s="72">
        <f t="shared" si="1455"/>
        <v>0</v>
      </c>
      <c r="X3472" s="72">
        <v>0</v>
      </c>
      <c r="Y3472" s="14">
        <f t="shared" si="1434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257</v>
      </c>
      <c r="C3473" s="11" t="s">
        <v>6262</v>
      </c>
      <c r="D3473" s="11">
        <v>18018</v>
      </c>
      <c r="E3473" s="11" t="s">
        <v>2126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90"/>
        <v>1.4949999999999999</v>
      </c>
      <c r="O3473" s="13">
        <v>40</v>
      </c>
      <c r="P3473" s="13"/>
      <c r="Q3473" s="13">
        <v>0</v>
      </c>
      <c r="R3473" s="72">
        <f>+L3473*O3473</f>
        <v>1674.4</v>
      </c>
      <c r="S3473" s="72">
        <v>0</v>
      </c>
      <c r="T3473" s="72">
        <f>+L3473*S3473</f>
        <v>0</v>
      </c>
      <c r="U3473" s="72">
        <f>+R3473-T3473</f>
        <v>1674.4</v>
      </c>
      <c r="V3473" s="72">
        <f t="shared" ref="V3473" si="1456">+U3473*0</f>
        <v>0</v>
      </c>
      <c r="W3473" s="72">
        <f>+U3473-V3473</f>
        <v>1674.4</v>
      </c>
      <c r="X3473" s="72">
        <v>0</v>
      </c>
      <c r="Y3473" s="14">
        <f t="shared" si="1434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6263</v>
      </c>
      <c r="C3474" s="11" t="s">
        <v>6264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4466</v>
      </c>
      <c r="I3474" s="12" t="s">
        <v>37</v>
      </c>
      <c r="J3474" s="12" t="s">
        <v>4705</v>
      </c>
      <c r="K3474" s="12" t="s">
        <v>82</v>
      </c>
      <c r="L3474" s="13">
        <v>34.76</v>
      </c>
      <c r="M3474" s="13">
        <v>21</v>
      </c>
      <c r="N3474" s="13">
        <f t="shared" si="1390"/>
        <v>1.6552380952380952</v>
      </c>
      <c r="O3474" s="13">
        <v>0</v>
      </c>
      <c r="P3474" s="13" t="s">
        <v>30</v>
      </c>
      <c r="Q3474" s="13"/>
      <c r="R3474" s="72"/>
      <c r="S3474" s="72"/>
      <c r="T3474" s="72"/>
      <c r="U3474" s="72"/>
      <c r="V3474" s="72"/>
      <c r="W3474" s="72"/>
      <c r="X3474" s="72">
        <v>0</v>
      </c>
      <c r="Y3474" s="73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663</v>
      </c>
      <c r="C3475" s="11" t="s">
        <v>6265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4463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90"/>
        <v>1.4208000000000001</v>
      </c>
      <c r="O3475" s="13">
        <v>44</v>
      </c>
      <c r="P3475" s="13" t="s">
        <v>30</v>
      </c>
      <c r="Q3475" s="13">
        <v>0</v>
      </c>
      <c r="R3475" s="72">
        <f t="shared" ref="R3475" si="1457">+L3475*O3475</f>
        <v>1562.88</v>
      </c>
      <c r="S3475" s="72">
        <v>0</v>
      </c>
      <c r="T3475" s="72">
        <f>+L3475*S3475</f>
        <v>0</v>
      </c>
      <c r="U3475" s="72">
        <f>+R3475-T3475</f>
        <v>1562.88</v>
      </c>
      <c r="V3475" s="72">
        <f>+U3475*1</f>
        <v>1562.88</v>
      </c>
      <c r="W3475" s="72">
        <f>+U3475-V3475</f>
        <v>0</v>
      </c>
      <c r="X3475" s="72">
        <v>0</v>
      </c>
      <c r="Y3475" s="14">
        <f t="shared" ref="Y3475:Y3484" si="1458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2530</v>
      </c>
      <c r="C3476" s="11" t="s">
        <v>6266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4465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90"/>
        <v>1.62</v>
      </c>
      <c r="O3476" s="13">
        <v>42.5</v>
      </c>
      <c r="P3476" s="13"/>
      <c r="Q3476" s="13">
        <v>0</v>
      </c>
      <c r="R3476" s="72">
        <f>+L3476*O3476</f>
        <v>1721.25</v>
      </c>
      <c r="S3476" s="72">
        <v>0</v>
      </c>
      <c r="T3476" s="72">
        <f>+L3476*S3476</f>
        <v>0</v>
      </c>
      <c r="U3476" s="72">
        <f>+R3476-T3476</f>
        <v>1721.25</v>
      </c>
      <c r="V3476" s="72">
        <f>+U3476*0.75</f>
        <v>1290.9375</v>
      </c>
      <c r="W3476" s="72">
        <f>+U3476-V3476</f>
        <v>430.3125</v>
      </c>
      <c r="X3476" s="72">
        <v>0</v>
      </c>
      <c r="Y3476" s="14">
        <f t="shared" si="1458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6267</v>
      </c>
      <c r="C3477" s="11" t="s">
        <v>6268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90"/>
        <v>1.5064</v>
      </c>
      <c r="O3477" s="13" t="s">
        <v>30</v>
      </c>
      <c r="P3477" s="13">
        <v>60</v>
      </c>
      <c r="Q3477" s="13">
        <v>0</v>
      </c>
      <c r="R3477" s="72">
        <f>+M3477*P3477</f>
        <v>1500</v>
      </c>
      <c r="S3477" s="72">
        <v>0</v>
      </c>
      <c r="T3477" s="72">
        <f>+M3477*S3477</f>
        <v>0</v>
      </c>
      <c r="U3477" s="72">
        <f t="shared" ref="U3477" si="1459">+R3477-T3477</f>
        <v>1500</v>
      </c>
      <c r="V3477" s="72">
        <f>+U3477*0</f>
        <v>0</v>
      </c>
      <c r="W3477" s="72">
        <f t="shared" ref="W3477" si="1460">+U3477-V3477</f>
        <v>1500</v>
      </c>
      <c r="X3477" s="72">
        <v>0</v>
      </c>
      <c r="Y3477" s="14">
        <f t="shared" si="1458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6269</v>
      </c>
      <c r="C3478" s="11" t="s">
        <v>6270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90"/>
        <v>1.470344827586207</v>
      </c>
      <c r="O3478" s="13">
        <v>40</v>
      </c>
      <c r="P3478" s="13"/>
      <c r="Q3478" s="13">
        <v>0</v>
      </c>
      <c r="R3478" s="72">
        <f>+L3478*O3478</f>
        <v>1705.6</v>
      </c>
      <c r="S3478" s="72">
        <v>0</v>
      </c>
      <c r="T3478" s="72">
        <f>+L3478*S3478</f>
        <v>0</v>
      </c>
      <c r="U3478" s="72">
        <f>+R3478-T3478</f>
        <v>1705.6</v>
      </c>
      <c r="V3478" s="72">
        <f t="shared" ref="V3478:V3479" si="1461">+U3478*0</f>
        <v>0</v>
      </c>
      <c r="W3478" s="72">
        <f>+U3478-V3478</f>
        <v>1705.6</v>
      </c>
      <c r="X3478" s="72">
        <v>0</v>
      </c>
      <c r="Y3478" s="14">
        <f t="shared" si="1458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5705</v>
      </c>
      <c r="C3479" s="11" t="s">
        <v>6271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90"/>
        <v>1.7480000000000002</v>
      </c>
      <c r="O3479" s="13">
        <v>35</v>
      </c>
      <c r="P3479" s="13"/>
      <c r="Q3479" s="13">
        <v>0</v>
      </c>
      <c r="R3479" s="72">
        <f>+L3479*O3479</f>
        <v>1529.5</v>
      </c>
      <c r="S3479" s="72">
        <v>0</v>
      </c>
      <c r="T3479" s="72">
        <f>+L3479*S3479</f>
        <v>0</v>
      </c>
      <c r="U3479" s="72">
        <f>+R3479-T3479</f>
        <v>1529.5</v>
      </c>
      <c r="V3479" s="72">
        <f t="shared" si="1461"/>
        <v>0</v>
      </c>
      <c r="W3479" s="72">
        <f>+U3479-V3479</f>
        <v>1529.5</v>
      </c>
      <c r="X3479" s="72">
        <v>0</v>
      </c>
      <c r="Y3479" s="14">
        <f t="shared" si="1458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3649</v>
      </c>
      <c r="C3480" s="11" t="s">
        <v>6272</v>
      </c>
      <c r="D3480" s="11">
        <v>18025</v>
      </c>
      <c r="E3480" s="11" t="s">
        <v>1217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90"/>
        <v>1.5496000000000001</v>
      </c>
      <c r="O3480" s="13" t="s">
        <v>30</v>
      </c>
      <c r="P3480" s="13">
        <v>60</v>
      </c>
      <c r="Q3480" s="13">
        <v>0</v>
      </c>
      <c r="R3480" s="72">
        <f>M3480*P3480</f>
        <v>1500</v>
      </c>
      <c r="S3480" s="72">
        <v>0</v>
      </c>
      <c r="T3480" s="72">
        <f>M3480*S3480</f>
        <v>0</v>
      </c>
      <c r="U3480" s="72">
        <f>R3480-T3480</f>
        <v>1500</v>
      </c>
      <c r="V3480" s="72">
        <f>U3480*0</f>
        <v>0</v>
      </c>
      <c r="W3480" s="72">
        <f>U3480-V3480</f>
        <v>1500</v>
      </c>
      <c r="X3480" s="72">
        <v>0</v>
      </c>
      <c r="Y3480" s="14">
        <f t="shared" si="1458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6273</v>
      </c>
      <c r="C3481" s="11" t="s">
        <v>6274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90"/>
        <v>1.3824000000000001</v>
      </c>
      <c r="O3481" s="13" t="s">
        <v>30</v>
      </c>
      <c r="P3481" s="13">
        <v>60</v>
      </c>
      <c r="Q3481" s="13">
        <v>0</v>
      </c>
      <c r="R3481" s="72">
        <f>M3481*P3481</f>
        <v>1500</v>
      </c>
      <c r="S3481" s="72">
        <v>0</v>
      </c>
      <c r="T3481" s="72">
        <f>M3481*S3481</f>
        <v>0</v>
      </c>
      <c r="U3481" s="72">
        <f>R3481-T3481</f>
        <v>1500</v>
      </c>
      <c r="V3481" s="72">
        <f>U3481*0</f>
        <v>0</v>
      </c>
      <c r="W3481" s="72">
        <f>U3481-V3481</f>
        <v>1500</v>
      </c>
      <c r="X3481" s="72">
        <v>0</v>
      </c>
      <c r="Y3481" s="14">
        <f t="shared" si="1458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663</v>
      </c>
      <c r="C3482" s="11" t="s">
        <v>6275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4465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90"/>
        <v>1.4824000000000002</v>
      </c>
      <c r="O3482" s="13">
        <v>46.66</v>
      </c>
      <c r="P3482" s="13" t="s">
        <v>30</v>
      </c>
      <c r="Q3482" s="13">
        <v>0</v>
      </c>
      <c r="R3482" s="72">
        <f>+L3482*O3482</f>
        <v>1729.2195999999999</v>
      </c>
      <c r="S3482" s="72">
        <v>0</v>
      </c>
      <c r="T3482" s="72">
        <f>+L3482*S3482</f>
        <v>0</v>
      </c>
      <c r="U3482" s="72">
        <f>+R3482-T3482</f>
        <v>1729.2195999999999</v>
      </c>
      <c r="V3482" s="72">
        <f>+U3482*0.75</f>
        <v>1296.9146999999998</v>
      </c>
      <c r="W3482" s="72">
        <f>+U3482-V3482</f>
        <v>432.30490000000009</v>
      </c>
      <c r="X3482" s="72">
        <v>0</v>
      </c>
      <c r="Y3482" s="14">
        <f t="shared" si="1458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5450</v>
      </c>
      <c r="C3483" s="11" t="s">
        <v>6276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4465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90"/>
        <v>1.6303999999999998</v>
      </c>
      <c r="O3483" s="13">
        <v>42.5</v>
      </c>
      <c r="P3483" s="13"/>
      <c r="Q3483" s="13">
        <v>0</v>
      </c>
      <c r="R3483" s="72">
        <f>+L3483*O3483</f>
        <v>1732.3</v>
      </c>
      <c r="S3483" s="72">
        <v>0</v>
      </c>
      <c r="T3483" s="72">
        <f>+L3483*S3483</f>
        <v>0</v>
      </c>
      <c r="U3483" s="72">
        <f>+R3483-T3483</f>
        <v>1732.3</v>
      </c>
      <c r="V3483" s="72">
        <f>+U3483*0.75</f>
        <v>1299.2249999999999</v>
      </c>
      <c r="W3483" s="72">
        <f>+U3483-V3483</f>
        <v>433.07500000000005</v>
      </c>
      <c r="X3483" s="72">
        <v>0</v>
      </c>
      <c r="Y3483" s="14">
        <f t="shared" si="1458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6277</v>
      </c>
      <c r="C3484" s="11" t="s">
        <v>6278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4440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90"/>
        <v>1.4736000000000002</v>
      </c>
      <c r="O3484" s="13">
        <v>45</v>
      </c>
      <c r="P3484" s="13" t="s">
        <v>30</v>
      </c>
      <c r="Q3484" s="13">
        <v>0</v>
      </c>
      <c r="R3484" s="72">
        <f>+L3484*O3484</f>
        <v>1657.8000000000002</v>
      </c>
      <c r="S3484" s="72">
        <v>0</v>
      </c>
      <c r="T3484" s="72">
        <f>+L3484*S3484</f>
        <v>0</v>
      </c>
      <c r="U3484" s="72">
        <f t="shared" ref="U3484" si="1462">+R3484-T3484</f>
        <v>1657.8000000000002</v>
      </c>
      <c r="V3484" s="72">
        <f>+U3484*1</f>
        <v>1657.8000000000002</v>
      </c>
      <c r="W3484" s="72">
        <f t="shared" ref="W3484" si="1463">+U3484-V3484</f>
        <v>0</v>
      </c>
      <c r="X3484" s="72">
        <v>0</v>
      </c>
      <c r="Y3484" s="14">
        <f t="shared" si="1458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4088</v>
      </c>
      <c r="C3485" s="11" t="s">
        <v>6279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4439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4">L3485/M3485</f>
        <v>1.4842857142857144</v>
      </c>
      <c r="O3485" s="13">
        <v>85</v>
      </c>
      <c r="P3485" s="13" t="s">
        <v>30</v>
      </c>
      <c r="Q3485" s="13">
        <v>0</v>
      </c>
      <c r="R3485" s="72">
        <f t="shared" ref="R3485" si="1465">L3485*O3485</f>
        <v>3532.6000000000004</v>
      </c>
      <c r="S3485" s="72">
        <v>38</v>
      </c>
      <c r="T3485" s="72">
        <f t="shared" ref="T3485" si="1466">L3485*S3485</f>
        <v>1579.2800000000002</v>
      </c>
      <c r="U3485" s="72">
        <f t="shared" ref="U3485" si="1467">R3485-T3485</f>
        <v>1953.3200000000002</v>
      </c>
      <c r="V3485" s="72">
        <f>U3485*1</f>
        <v>1953.3200000000002</v>
      </c>
      <c r="W3485" s="72">
        <f t="shared" ref="W3485" si="1468">U3485-V3485</f>
        <v>0</v>
      </c>
      <c r="X3485" s="72">
        <f>L3485*36</f>
        <v>1496.16</v>
      </c>
      <c r="Y3485" s="73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6280</v>
      </c>
      <c r="C3486" s="11" t="s">
        <v>6281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4"/>
        <v>1.3919999999999999</v>
      </c>
      <c r="O3486" s="13" t="s">
        <v>30</v>
      </c>
      <c r="P3486" s="13">
        <v>60</v>
      </c>
      <c r="Q3486" s="13">
        <v>0</v>
      </c>
      <c r="R3486" s="72">
        <f>M3486*P3486</f>
        <v>1500</v>
      </c>
      <c r="S3486" s="72">
        <v>0</v>
      </c>
      <c r="T3486" s="72">
        <f>M3486*S3486</f>
        <v>0</v>
      </c>
      <c r="U3486" s="72">
        <f>R3486-T3486</f>
        <v>1500</v>
      </c>
      <c r="V3486" s="72">
        <f>U3486*0</f>
        <v>0</v>
      </c>
      <c r="W3486" s="72">
        <f>U3486-V3486</f>
        <v>1500</v>
      </c>
      <c r="X3486" s="72">
        <v>0</v>
      </c>
      <c r="Y3486" s="14">
        <f t="shared" ref="Y3486:Y3489" si="1469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3912</v>
      </c>
      <c r="C3487" s="11" t="s">
        <v>6282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4"/>
        <v>1.7216</v>
      </c>
      <c r="O3487" s="13">
        <v>40</v>
      </c>
      <c r="P3487" s="13" t="s">
        <v>30</v>
      </c>
      <c r="Q3487" s="13">
        <v>0</v>
      </c>
      <c r="R3487" s="72">
        <f>L3487*O3487</f>
        <v>1721.6</v>
      </c>
      <c r="S3487" s="72">
        <v>0</v>
      </c>
      <c r="T3487" s="72">
        <f>L3487*S3487</f>
        <v>0</v>
      </c>
      <c r="U3487" s="72">
        <f>R3487-T3487</f>
        <v>1721.6</v>
      </c>
      <c r="V3487" s="72">
        <f>U3487*0</f>
        <v>0</v>
      </c>
      <c r="W3487" s="72">
        <f>U3487-V3487</f>
        <v>1721.6</v>
      </c>
      <c r="X3487" s="72">
        <v>0</v>
      </c>
      <c r="Y3487" s="14">
        <f t="shared" si="1469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330</v>
      </c>
      <c r="C3488" s="11" t="s">
        <v>6283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4440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4"/>
        <v>1.4752000000000001</v>
      </c>
      <c r="O3488" s="13">
        <v>45</v>
      </c>
      <c r="P3488" s="13" t="s">
        <v>30</v>
      </c>
      <c r="Q3488" s="13">
        <v>0</v>
      </c>
      <c r="R3488" s="72">
        <f>+L3488*O3488</f>
        <v>1659.6000000000001</v>
      </c>
      <c r="S3488" s="72">
        <v>0</v>
      </c>
      <c r="T3488" s="72">
        <f>+L3488*S3488</f>
        <v>0</v>
      </c>
      <c r="U3488" s="72">
        <f t="shared" ref="U3488" si="1470">+R3488-T3488</f>
        <v>1659.6000000000001</v>
      </c>
      <c r="V3488" s="72">
        <f>+U3488*1</f>
        <v>1659.6000000000001</v>
      </c>
      <c r="W3488" s="72">
        <f t="shared" ref="W3488" si="1471">+U3488-V3488</f>
        <v>0</v>
      </c>
      <c r="X3488" s="72">
        <v>0</v>
      </c>
      <c r="Y3488" s="14">
        <f t="shared" si="1469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6284</v>
      </c>
      <c r="C3489" s="11" t="s">
        <v>6285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4463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4"/>
        <v>1.4463999999999999</v>
      </c>
      <c r="O3489" s="13">
        <v>44</v>
      </c>
      <c r="P3489" s="13" t="s">
        <v>30</v>
      </c>
      <c r="Q3489" s="13">
        <v>0</v>
      </c>
      <c r="R3489" s="72">
        <f t="shared" ref="R3489" si="1472">+L3489*O3489</f>
        <v>1591.04</v>
      </c>
      <c r="S3489" s="72">
        <v>0</v>
      </c>
      <c r="T3489" s="72">
        <f>+L3489*S3489</f>
        <v>0</v>
      </c>
      <c r="U3489" s="72">
        <f>+R3489-T3489</f>
        <v>1591.04</v>
      </c>
      <c r="V3489" s="72">
        <f>+U3489*1</f>
        <v>1591.04</v>
      </c>
      <c r="W3489" s="72">
        <f>+U3489-V3489</f>
        <v>0</v>
      </c>
      <c r="X3489" s="72">
        <v>0</v>
      </c>
      <c r="Y3489" s="14">
        <f t="shared" si="1469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6017</v>
      </c>
      <c r="C3490" s="11" t="s">
        <v>6286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4439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4"/>
        <v>1.7063999999999999</v>
      </c>
      <c r="O3490" s="13">
        <v>83</v>
      </c>
      <c r="P3490" s="13" t="s">
        <v>30</v>
      </c>
      <c r="Q3490" s="13">
        <v>0</v>
      </c>
      <c r="R3490" s="72">
        <f>L3490*O3490</f>
        <v>3540.7799999999997</v>
      </c>
      <c r="S3490" s="72">
        <v>38</v>
      </c>
      <c r="T3490" s="72">
        <f>L3490*S3490</f>
        <v>1621.08</v>
      </c>
      <c r="U3490" s="72">
        <f>R3490-T3490</f>
        <v>1919.6999999999998</v>
      </c>
      <c r="V3490" s="72">
        <f>U3490*1</f>
        <v>1919.6999999999998</v>
      </c>
      <c r="W3490" s="72">
        <f>U3490-V3490</f>
        <v>0</v>
      </c>
      <c r="X3490" s="72">
        <f>L3490*36</f>
        <v>1535.7599999999998</v>
      </c>
      <c r="Y3490" s="73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1093</v>
      </c>
      <c r="C3491" s="11" t="s">
        <v>6287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4439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4"/>
        <v>1.7831999999999999</v>
      </c>
      <c r="O3491" s="13">
        <v>83</v>
      </c>
      <c r="P3491" s="13" t="s">
        <v>30</v>
      </c>
      <c r="Q3491" s="13">
        <v>0</v>
      </c>
      <c r="R3491" s="72">
        <f>L3491*O3491</f>
        <v>3700.14</v>
      </c>
      <c r="S3491" s="72">
        <v>38</v>
      </c>
      <c r="T3491" s="72">
        <f>L3491*S3491</f>
        <v>1694.04</v>
      </c>
      <c r="U3491" s="72">
        <f>R3491-T3491</f>
        <v>2006.1</v>
      </c>
      <c r="V3491" s="72">
        <f>U3491*1</f>
        <v>2006.1</v>
      </c>
      <c r="W3491" s="72">
        <f>U3491-V3491</f>
        <v>0</v>
      </c>
      <c r="X3491" s="72">
        <f>L3491*36</f>
        <v>1604.8799999999999</v>
      </c>
      <c r="Y3491" s="73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6288</v>
      </c>
      <c r="C3492" s="11" t="s">
        <v>6289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4"/>
        <v>1.4855172413793103</v>
      </c>
      <c r="O3492" s="13">
        <v>40</v>
      </c>
      <c r="P3492" s="13"/>
      <c r="Q3492" s="13">
        <v>0</v>
      </c>
      <c r="R3492" s="72">
        <f>+L3492*O3492</f>
        <v>1723.1999999999998</v>
      </c>
      <c r="S3492" s="72">
        <v>0</v>
      </c>
      <c r="T3492" s="72">
        <f>+L3492*S3492</f>
        <v>0</v>
      </c>
      <c r="U3492" s="72">
        <f>+R3492-T3492</f>
        <v>1723.1999999999998</v>
      </c>
      <c r="V3492" s="72">
        <f t="shared" ref="V3492" si="1473">+U3492*0</f>
        <v>0</v>
      </c>
      <c r="W3492" s="72">
        <f>+U3492-V3492</f>
        <v>1723.1999999999998</v>
      </c>
      <c r="X3492" s="72">
        <v>0</v>
      </c>
      <c r="Y3492" s="14">
        <f t="shared" ref="Y3492" si="1474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6290</v>
      </c>
      <c r="C3493" s="11" t="s">
        <v>6291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4439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4"/>
        <v>1.4773333333333334</v>
      </c>
      <c r="O3493" s="13">
        <v>85</v>
      </c>
      <c r="P3493" s="13" t="s">
        <v>30</v>
      </c>
      <c r="Q3493" s="13">
        <v>0</v>
      </c>
      <c r="R3493" s="72">
        <f t="shared" ref="R3493" si="1475">L3493*O3493</f>
        <v>3767.2</v>
      </c>
      <c r="S3493" s="72">
        <v>38</v>
      </c>
      <c r="T3493" s="72">
        <f t="shared" ref="T3493" si="1476">L3493*S3493</f>
        <v>1684.16</v>
      </c>
      <c r="U3493" s="72">
        <f t="shared" ref="U3493" si="1477">R3493-T3493</f>
        <v>2083.04</v>
      </c>
      <c r="V3493" s="72">
        <f>U3493*1</f>
        <v>2083.04</v>
      </c>
      <c r="W3493" s="72">
        <f t="shared" ref="W3493" si="1478">U3493-V3493</f>
        <v>0</v>
      </c>
      <c r="X3493" s="72">
        <f>L3493*37</f>
        <v>1639.84</v>
      </c>
      <c r="Y3493" s="73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6292</v>
      </c>
      <c r="C3494" s="11" t="s">
        <v>6293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4439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4"/>
        <v>1.6519999999999999</v>
      </c>
      <c r="O3494" s="13">
        <v>83</v>
      </c>
      <c r="P3494" s="13" t="s">
        <v>30</v>
      </c>
      <c r="Q3494" s="13">
        <v>0</v>
      </c>
      <c r="R3494" s="72">
        <f>L3494*O3494</f>
        <v>3427.8999999999996</v>
      </c>
      <c r="S3494" s="72">
        <v>38</v>
      </c>
      <c r="T3494" s="72">
        <f>L3494*S3494</f>
        <v>1569.3999999999999</v>
      </c>
      <c r="U3494" s="72">
        <f>R3494-T3494</f>
        <v>1858.4999999999998</v>
      </c>
      <c r="V3494" s="72">
        <f>U3494*1</f>
        <v>1858.4999999999998</v>
      </c>
      <c r="W3494" s="72">
        <f>U3494-V3494</f>
        <v>0</v>
      </c>
      <c r="X3494" s="72">
        <f>L3494*37</f>
        <v>1528.1</v>
      </c>
      <c r="Y3494" s="73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6294</v>
      </c>
      <c r="C3495" s="11" t="s">
        <v>6295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4439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4"/>
        <v>1.7504</v>
      </c>
      <c r="O3495" s="13">
        <v>83</v>
      </c>
      <c r="P3495" s="13" t="s">
        <v>30</v>
      </c>
      <c r="Q3495" s="13">
        <v>0</v>
      </c>
      <c r="R3495" s="72">
        <f>L3495*O3495</f>
        <v>3632.08</v>
      </c>
      <c r="S3495" s="72">
        <v>38</v>
      </c>
      <c r="T3495" s="72">
        <f>L3495*S3495</f>
        <v>1662.8799999999999</v>
      </c>
      <c r="U3495" s="72">
        <f>R3495-T3495</f>
        <v>1969.2</v>
      </c>
      <c r="V3495" s="72">
        <f>U3495*1</f>
        <v>1969.2</v>
      </c>
      <c r="W3495" s="72">
        <f>U3495-V3495</f>
        <v>0</v>
      </c>
      <c r="X3495" s="72">
        <f>L3495*37</f>
        <v>1619.12</v>
      </c>
      <c r="Y3495" s="73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6296</v>
      </c>
      <c r="C3496" s="11" t="s">
        <v>6297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4"/>
        <v>1.5959999999999999</v>
      </c>
      <c r="O3496" s="13">
        <v>15</v>
      </c>
      <c r="P3496" s="13" t="s">
        <v>30</v>
      </c>
      <c r="Q3496" s="13">
        <v>0</v>
      </c>
      <c r="R3496" s="72">
        <f>L3496*O3496</f>
        <v>598.5</v>
      </c>
      <c r="S3496" s="72">
        <v>0</v>
      </c>
      <c r="T3496" s="72">
        <f>L3496*S3496</f>
        <v>0</v>
      </c>
      <c r="U3496" s="72">
        <f>R3496-T3496</f>
        <v>598.5</v>
      </c>
      <c r="V3496" s="72">
        <f>U3496*0</f>
        <v>0</v>
      </c>
      <c r="W3496" s="72">
        <f>U3496-V3496</f>
        <v>598.5</v>
      </c>
      <c r="X3496" s="72">
        <v>0</v>
      </c>
      <c r="Y3496" s="14">
        <f t="shared" ref="Y3496:Y3499" si="1479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6298</v>
      </c>
      <c r="C3497" s="11" t="s">
        <v>6299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4465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4"/>
        <v>1.6824000000000001</v>
      </c>
      <c r="O3497" s="13">
        <v>42.5</v>
      </c>
      <c r="P3497" s="13"/>
      <c r="Q3497" s="13">
        <v>0</v>
      </c>
      <c r="R3497" s="72">
        <f>+L3497*O3497</f>
        <v>1787.5500000000002</v>
      </c>
      <c r="S3497" s="72">
        <v>0</v>
      </c>
      <c r="T3497" s="72">
        <f>+L3497*S3497</f>
        <v>0</v>
      </c>
      <c r="U3497" s="72">
        <f>+R3497-T3497</f>
        <v>1787.5500000000002</v>
      </c>
      <c r="V3497" s="72">
        <f>+U3497*0.75</f>
        <v>1340.6625000000001</v>
      </c>
      <c r="W3497" s="72">
        <f>+U3497-V3497</f>
        <v>446.88750000000005</v>
      </c>
      <c r="X3497" s="72">
        <v>0</v>
      </c>
      <c r="Y3497" s="14">
        <f t="shared" si="1479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6300</v>
      </c>
      <c r="C3498" s="11" t="s">
        <v>6301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4"/>
        <v>1.6472</v>
      </c>
      <c r="O3498" s="13">
        <v>15</v>
      </c>
      <c r="P3498" s="13" t="s">
        <v>30</v>
      </c>
      <c r="Q3498" s="13">
        <v>0</v>
      </c>
      <c r="R3498" s="72">
        <f>L3498*O3498</f>
        <v>617.70000000000005</v>
      </c>
      <c r="S3498" s="72">
        <v>0</v>
      </c>
      <c r="T3498" s="72">
        <f>L3498*S3498</f>
        <v>0</v>
      </c>
      <c r="U3498" s="72">
        <f>R3498-T3498</f>
        <v>617.70000000000005</v>
      </c>
      <c r="V3498" s="72">
        <f>U3498*0</f>
        <v>0</v>
      </c>
      <c r="W3498" s="72">
        <f>U3498-V3498</f>
        <v>617.70000000000005</v>
      </c>
      <c r="X3498" s="72">
        <v>0</v>
      </c>
      <c r="Y3498" s="14">
        <f t="shared" si="1479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6302</v>
      </c>
      <c r="C3499" s="11" t="s">
        <v>6303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4"/>
        <v>1.6088</v>
      </c>
      <c r="O3499" s="13">
        <v>15</v>
      </c>
      <c r="P3499" s="13" t="s">
        <v>30</v>
      </c>
      <c r="Q3499" s="13">
        <v>0</v>
      </c>
      <c r="R3499" s="72">
        <f>L3499*O3499</f>
        <v>603.29999999999995</v>
      </c>
      <c r="S3499" s="72">
        <v>0</v>
      </c>
      <c r="T3499" s="72">
        <f>L3499*S3499</f>
        <v>0</v>
      </c>
      <c r="U3499" s="72">
        <f>R3499-T3499</f>
        <v>603.29999999999995</v>
      </c>
      <c r="V3499" s="72">
        <f>U3499*0</f>
        <v>0</v>
      </c>
      <c r="W3499" s="72">
        <f>U3499-V3499</f>
        <v>603.29999999999995</v>
      </c>
      <c r="X3499" s="72">
        <v>0</v>
      </c>
      <c r="Y3499" s="14">
        <f t="shared" si="1479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6304</v>
      </c>
      <c r="C3500" s="11" t="s">
        <v>6305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4"/>
        <v>1.7063999999999999</v>
      </c>
      <c r="O3500" s="13">
        <v>91</v>
      </c>
      <c r="P3500" s="13" t="s">
        <v>30</v>
      </c>
      <c r="Q3500" s="13">
        <v>0</v>
      </c>
      <c r="R3500" s="72">
        <f>+L3500*O3500</f>
        <v>3882.0599999999995</v>
      </c>
      <c r="S3500" s="72">
        <v>40</v>
      </c>
      <c r="T3500" s="72">
        <f>L3500*S3500</f>
        <v>1706.3999999999999</v>
      </c>
      <c r="U3500" s="72">
        <f t="shared" ref="U3500" si="1480">R3500-T3500</f>
        <v>2175.66</v>
      </c>
      <c r="V3500" s="72">
        <f>U3500*1</f>
        <v>2175.66</v>
      </c>
      <c r="W3500" s="72">
        <f t="shared" ref="W3500:W3501" si="1481">U3500-V3500</f>
        <v>0</v>
      </c>
      <c r="X3500" s="72">
        <f>L3500*37</f>
        <v>1578.4199999999998</v>
      </c>
      <c r="Y3500" s="73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5429</v>
      </c>
      <c r="C3501" s="11" t="s">
        <v>6306</v>
      </c>
      <c r="D3501" s="11">
        <v>18046</v>
      </c>
      <c r="E3501" s="11" t="s">
        <v>1217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4"/>
        <v>1.6359999999999999</v>
      </c>
      <c r="O3501" s="13" t="s">
        <v>30</v>
      </c>
      <c r="P3501" s="13">
        <v>64</v>
      </c>
      <c r="Q3501" s="13">
        <v>0</v>
      </c>
      <c r="R3501" s="72">
        <f>M3501*P3501</f>
        <v>1600</v>
      </c>
      <c r="S3501" s="72">
        <v>0</v>
      </c>
      <c r="T3501" s="72">
        <f>M3501*S3501</f>
        <v>0</v>
      </c>
      <c r="U3501" s="72">
        <f>R3501-T3501</f>
        <v>1600</v>
      </c>
      <c r="V3501" s="72">
        <f t="shared" ref="V3501" si="1482">U3501*0</f>
        <v>0</v>
      </c>
      <c r="W3501" s="72">
        <f t="shared" si="1481"/>
        <v>1600</v>
      </c>
      <c r="X3501" s="72">
        <v>0</v>
      </c>
      <c r="Y3501" s="14">
        <f t="shared" ref="Y3501:Y3511" si="1483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6307</v>
      </c>
      <c r="C3502" s="11" t="s">
        <v>6308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4"/>
        <v>1.544</v>
      </c>
      <c r="O3502" s="13" t="s">
        <v>30</v>
      </c>
      <c r="P3502" s="13">
        <v>60</v>
      </c>
      <c r="Q3502" s="13">
        <v>0</v>
      </c>
      <c r="R3502" s="72">
        <f>M3502*P3502</f>
        <v>1500</v>
      </c>
      <c r="S3502" s="72">
        <v>0</v>
      </c>
      <c r="T3502" s="72">
        <f>M3502*S3502</f>
        <v>0</v>
      </c>
      <c r="U3502" s="72">
        <f t="shared" ref="U3502" si="1484">+R3502-T3502</f>
        <v>1500</v>
      </c>
      <c r="V3502" s="72">
        <f>+U3502*0</f>
        <v>0</v>
      </c>
      <c r="W3502" s="72">
        <f t="shared" ref="W3502" si="1485">+U3502-V3502</f>
        <v>1500</v>
      </c>
      <c r="X3502" s="72">
        <v>0</v>
      </c>
      <c r="Y3502" s="14">
        <f t="shared" si="1483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6309</v>
      </c>
      <c r="C3503" s="11" t="s">
        <v>6310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4"/>
        <v>1.4657142857142857</v>
      </c>
      <c r="O3503" s="13">
        <v>40</v>
      </c>
      <c r="P3503" s="13"/>
      <c r="Q3503" s="13">
        <v>0</v>
      </c>
      <c r="R3503" s="72">
        <f>+L3503*O3503</f>
        <v>1641.6</v>
      </c>
      <c r="S3503" s="72">
        <v>0</v>
      </c>
      <c r="T3503" s="72">
        <f>+L3503*S3503</f>
        <v>0</v>
      </c>
      <c r="U3503" s="72">
        <f>+R3503-T3503</f>
        <v>1641.6</v>
      </c>
      <c r="V3503" s="72">
        <f t="shared" ref="V3503" si="1486">+U3503*0</f>
        <v>0</v>
      </c>
      <c r="W3503" s="72">
        <f>+U3503-V3503</f>
        <v>1641.6</v>
      </c>
      <c r="X3503" s="72">
        <v>0</v>
      </c>
      <c r="Y3503" s="14">
        <f t="shared" si="1483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6311</v>
      </c>
      <c r="C3504" s="11" t="s">
        <v>6312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4"/>
        <v>1.78</v>
      </c>
      <c r="O3504" s="13">
        <v>45</v>
      </c>
      <c r="P3504" s="13" t="s">
        <v>30</v>
      </c>
      <c r="Q3504" s="13">
        <v>0</v>
      </c>
      <c r="R3504" s="72">
        <f>(L3504*O3504)-Q3504</f>
        <v>160.19999999999999</v>
      </c>
      <c r="S3504" s="72">
        <v>0</v>
      </c>
      <c r="T3504" s="72">
        <f t="shared" ref="T3504:T3505" si="1487">+L3504*S3504</f>
        <v>0</v>
      </c>
      <c r="U3504" s="72">
        <f t="shared" ref="U3504:U3505" si="1488">+R3504-T3504</f>
        <v>160.19999999999999</v>
      </c>
      <c r="V3504" s="72">
        <f>+U3504*0</f>
        <v>0</v>
      </c>
      <c r="W3504" s="72">
        <f t="shared" ref="W3504:W3505" si="1489">+U3504-V3504</f>
        <v>160.19999999999999</v>
      </c>
      <c r="X3504" s="72">
        <v>0</v>
      </c>
      <c r="Y3504" s="14">
        <f t="shared" si="1483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2027</v>
      </c>
      <c r="C3505" s="11" t="s">
        <v>6313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4"/>
        <v>1.4666666666666668</v>
      </c>
      <c r="O3505" s="13">
        <v>50</v>
      </c>
      <c r="P3505" s="13" t="s">
        <v>30</v>
      </c>
      <c r="Q3505" s="13">
        <v>0</v>
      </c>
      <c r="R3505" s="72">
        <f>(L3505*O3505)-Q3505</f>
        <v>440.00000000000006</v>
      </c>
      <c r="S3505" s="72">
        <v>0</v>
      </c>
      <c r="T3505" s="72">
        <f t="shared" si="1487"/>
        <v>0</v>
      </c>
      <c r="U3505" s="72">
        <f t="shared" si="1488"/>
        <v>440.00000000000006</v>
      </c>
      <c r="V3505" s="72">
        <f t="shared" ref="V3505" si="1490">+U3505*0</f>
        <v>0</v>
      </c>
      <c r="W3505" s="72">
        <f t="shared" si="1489"/>
        <v>440.00000000000006</v>
      </c>
      <c r="X3505" s="72">
        <v>0</v>
      </c>
      <c r="Y3505" s="14">
        <f t="shared" si="1483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321</v>
      </c>
      <c r="C3506" s="11" t="s">
        <v>6314</v>
      </c>
      <c r="D3506" s="11">
        <v>18051</v>
      </c>
      <c r="E3506" s="11" t="s">
        <v>5211</v>
      </c>
      <c r="F3506" s="11" t="s">
        <v>26</v>
      </c>
      <c r="G3506" s="11">
        <v>78007</v>
      </c>
      <c r="H3506" s="12" t="s">
        <v>4465</v>
      </c>
      <c r="I3506" s="12" t="s">
        <v>37</v>
      </c>
      <c r="J3506" s="12" t="s">
        <v>599</v>
      </c>
      <c r="K3506" s="12" t="s">
        <v>6315</v>
      </c>
      <c r="L3506" s="13">
        <v>36.68</v>
      </c>
      <c r="M3506" s="13">
        <v>25</v>
      </c>
      <c r="N3506" s="13">
        <f t="shared" si="1464"/>
        <v>1.4672000000000001</v>
      </c>
      <c r="O3506" s="13">
        <v>31</v>
      </c>
      <c r="P3506" s="13" t="s">
        <v>30</v>
      </c>
      <c r="Q3506" s="13">
        <v>0</v>
      </c>
      <c r="R3506" s="72">
        <f>+L3506*O3506</f>
        <v>1137.08</v>
      </c>
      <c r="S3506" s="72">
        <v>0</v>
      </c>
      <c r="T3506" s="72">
        <f>+L3506*S3506</f>
        <v>0</v>
      </c>
      <c r="U3506" s="72">
        <f>+R3506-T3506</f>
        <v>1137.08</v>
      </c>
      <c r="V3506" s="72">
        <f>+U3506*0.75</f>
        <v>852.81</v>
      </c>
      <c r="W3506" s="72">
        <f>+U3506-V3506</f>
        <v>284.27</v>
      </c>
      <c r="X3506" s="72">
        <v>0</v>
      </c>
      <c r="Y3506" s="14">
        <f t="shared" si="1483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1150</v>
      </c>
      <c r="C3507" s="11" t="s">
        <v>6316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4463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4"/>
        <v>1.4352</v>
      </c>
      <c r="O3507" s="13">
        <v>44</v>
      </c>
      <c r="P3507" s="13" t="s">
        <v>30</v>
      </c>
      <c r="Q3507" s="13">
        <v>0</v>
      </c>
      <c r="R3507" s="72">
        <f t="shared" ref="R3507" si="1491">+L3507*O3507</f>
        <v>1578.72</v>
      </c>
      <c r="S3507" s="72">
        <v>0</v>
      </c>
      <c r="T3507" s="72">
        <f>+L3507*S3507</f>
        <v>0</v>
      </c>
      <c r="U3507" s="72">
        <f>+R3507-T3507</f>
        <v>1578.72</v>
      </c>
      <c r="V3507" s="72">
        <f>+U3507*1</f>
        <v>1578.72</v>
      </c>
      <c r="W3507" s="72">
        <f>+U3507-V3507</f>
        <v>0</v>
      </c>
      <c r="X3507" s="72">
        <v>0</v>
      </c>
      <c r="Y3507" s="14">
        <f t="shared" si="1483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4203</v>
      </c>
      <c r="C3508" s="11" t="s">
        <v>6317</v>
      </c>
      <c r="D3508" s="11">
        <v>18053</v>
      </c>
      <c r="E3508" s="11" t="s">
        <v>6318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4"/>
        <v>1.522</v>
      </c>
      <c r="O3508" s="13">
        <v>50</v>
      </c>
      <c r="P3508" s="13" t="s">
        <v>30</v>
      </c>
      <c r="Q3508" s="13">
        <v>0</v>
      </c>
      <c r="R3508" s="72">
        <f>(L3508*O3508)-Q3508</f>
        <v>761</v>
      </c>
      <c r="S3508" s="72">
        <v>0</v>
      </c>
      <c r="T3508" s="72">
        <f t="shared" ref="T3508:T3509" si="1492">+L3508*S3508</f>
        <v>0</v>
      </c>
      <c r="U3508" s="72">
        <f t="shared" ref="U3508:U3509" si="1493">+R3508-T3508</f>
        <v>761</v>
      </c>
      <c r="V3508" s="72">
        <f t="shared" ref="V3508" si="1494">+U3508*0</f>
        <v>0</v>
      </c>
      <c r="W3508" s="72">
        <f t="shared" ref="W3508:W3509" si="1495">+U3508-V3508</f>
        <v>761</v>
      </c>
      <c r="X3508" s="72">
        <v>0</v>
      </c>
      <c r="Y3508" s="14">
        <f t="shared" si="1483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6319</v>
      </c>
      <c r="C3509" s="11" t="s">
        <v>6320</v>
      </c>
      <c r="D3509" s="11">
        <v>18054</v>
      </c>
      <c r="E3509" s="11" t="s">
        <v>4779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4"/>
        <v>1.6272</v>
      </c>
      <c r="O3509" s="13">
        <v>45</v>
      </c>
      <c r="P3509" s="13" t="s">
        <v>30</v>
      </c>
      <c r="Q3509" s="13">
        <v>0</v>
      </c>
      <c r="R3509" s="72">
        <f>(L3509*O3509)-Q3509</f>
        <v>1830.6</v>
      </c>
      <c r="S3509" s="72">
        <v>0</v>
      </c>
      <c r="T3509" s="72">
        <f t="shared" si="1492"/>
        <v>0</v>
      </c>
      <c r="U3509" s="72">
        <f t="shared" si="1493"/>
        <v>1830.6</v>
      </c>
      <c r="V3509" s="72">
        <f>+U3509*0</f>
        <v>0</v>
      </c>
      <c r="W3509" s="72">
        <f t="shared" si="1495"/>
        <v>1830.6</v>
      </c>
      <c r="X3509" s="72">
        <v>0</v>
      </c>
      <c r="Y3509" s="14">
        <f t="shared" si="1483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690</v>
      </c>
      <c r="C3510" s="11" t="s">
        <v>6321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4465</v>
      </c>
      <c r="I3510" s="12" t="s">
        <v>37</v>
      </c>
      <c r="J3510" s="12" t="s">
        <v>599</v>
      </c>
      <c r="K3510" s="12" t="s">
        <v>6315</v>
      </c>
      <c r="L3510" s="13">
        <v>37.24</v>
      </c>
      <c r="M3510" s="13">
        <v>25</v>
      </c>
      <c r="N3510" s="13">
        <f t="shared" si="1464"/>
        <v>1.4896</v>
      </c>
      <c r="O3510" s="13">
        <v>31</v>
      </c>
      <c r="P3510" s="13" t="s">
        <v>30</v>
      </c>
      <c r="Q3510" s="13">
        <v>0</v>
      </c>
      <c r="R3510" s="72">
        <f>+L3510*O3510</f>
        <v>1154.44</v>
      </c>
      <c r="S3510" s="72">
        <v>0</v>
      </c>
      <c r="T3510" s="72">
        <f>+L3510*S3510</f>
        <v>0</v>
      </c>
      <c r="U3510" s="72">
        <f>+R3510-T3510</f>
        <v>1154.44</v>
      </c>
      <c r="V3510" s="72">
        <f>+U3510*0.75</f>
        <v>865.83</v>
      </c>
      <c r="W3510" s="72">
        <f>+U3510-V3510</f>
        <v>288.61</v>
      </c>
      <c r="X3510" s="72">
        <v>0</v>
      </c>
      <c r="Y3510" s="14">
        <f t="shared" si="1483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6322</v>
      </c>
      <c r="C3511" s="11" t="s">
        <v>6323</v>
      </c>
      <c r="D3511" s="11">
        <v>18056</v>
      </c>
      <c r="E3511" s="11" t="s">
        <v>1742</v>
      </c>
      <c r="F3511" s="11" t="s">
        <v>26</v>
      </c>
      <c r="G3511" s="11">
        <v>22555</v>
      </c>
      <c r="H3511" s="12" t="s">
        <v>4465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4"/>
        <v>1.6887999999999999</v>
      </c>
      <c r="O3511" s="13">
        <v>42.5</v>
      </c>
      <c r="P3511" s="13"/>
      <c r="Q3511" s="13">
        <v>0</v>
      </c>
      <c r="R3511" s="72">
        <f>+L3511*O3511</f>
        <v>1794.35</v>
      </c>
      <c r="S3511" s="72">
        <v>0</v>
      </c>
      <c r="T3511" s="72">
        <f>+L3511*S3511</f>
        <v>0</v>
      </c>
      <c r="U3511" s="72">
        <f>+R3511-T3511</f>
        <v>1794.35</v>
      </c>
      <c r="V3511" s="72">
        <f>+U3511*0.75</f>
        <v>1345.7624999999998</v>
      </c>
      <c r="W3511" s="72">
        <f>+U3511-V3511</f>
        <v>448.58750000000009</v>
      </c>
      <c r="X3511" s="72">
        <v>0</v>
      </c>
      <c r="Y3511" s="14">
        <f t="shared" si="1483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646</v>
      </c>
      <c r="C3512" s="11" t="s">
        <v>6324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4439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4"/>
        <v>1.4513333333333334</v>
      </c>
      <c r="O3512" s="13">
        <v>87</v>
      </c>
      <c r="P3512" s="13" t="s">
        <v>30</v>
      </c>
      <c r="Q3512" s="13">
        <v>0</v>
      </c>
      <c r="R3512" s="72">
        <f t="shared" ref="R3512" si="1496">L3512*O3512</f>
        <v>3787.98</v>
      </c>
      <c r="S3512" s="72">
        <v>38</v>
      </c>
      <c r="T3512" s="72">
        <f t="shared" ref="T3512" si="1497">L3512*S3512</f>
        <v>1654.52</v>
      </c>
      <c r="U3512" s="72">
        <f t="shared" ref="U3512" si="1498">R3512-T3512</f>
        <v>2133.46</v>
      </c>
      <c r="V3512" s="72">
        <f>U3512*1</f>
        <v>2133.46</v>
      </c>
      <c r="W3512" s="72">
        <f t="shared" ref="W3512" si="1499">U3512-V3512</f>
        <v>0</v>
      </c>
      <c r="X3512" s="72">
        <f>L3512*37</f>
        <v>1610.98</v>
      </c>
      <c r="Y3512" s="73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6325</v>
      </c>
      <c r="C3513" s="11" t="s">
        <v>6326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4465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4"/>
        <v>1.6272</v>
      </c>
      <c r="O3513" s="13">
        <v>42.5</v>
      </c>
      <c r="P3513" s="13"/>
      <c r="Q3513" s="13">
        <v>0</v>
      </c>
      <c r="R3513" s="72">
        <f>+L3513*O3513</f>
        <v>1728.9</v>
      </c>
      <c r="S3513" s="72">
        <v>0</v>
      </c>
      <c r="T3513" s="72">
        <f>+L3513*S3513</f>
        <v>0</v>
      </c>
      <c r="U3513" s="72">
        <f>+R3513-T3513</f>
        <v>1728.9</v>
      </c>
      <c r="V3513" s="72">
        <f>+U3513*0.75</f>
        <v>1296.6750000000002</v>
      </c>
      <c r="W3513" s="72">
        <f>+U3513-V3513</f>
        <v>432.22499999999991</v>
      </c>
      <c r="X3513" s="72">
        <v>0</v>
      </c>
      <c r="Y3513" s="14">
        <f t="shared" ref="Y3513:Y3524" si="1500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344</v>
      </c>
      <c r="C3514" s="11" t="s">
        <v>6327</v>
      </c>
      <c r="D3514" s="11">
        <v>18059</v>
      </c>
      <c r="E3514" s="11" t="s">
        <v>1217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4"/>
        <v>1.68</v>
      </c>
      <c r="O3514" s="13" t="s">
        <v>30</v>
      </c>
      <c r="P3514" s="13">
        <v>64</v>
      </c>
      <c r="Q3514" s="13">
        <v>0</v>
      </c>
      <c r="R3514" s="72">
        <f>M3514*P3514</f>
        <v>1600</v>
      </c>
      <c r="S3514" s="72">
        <v>0</v>
      </c>
      <c r="T3514" s="72">
        <f>M3514*S3514</f>
        <v>0</v>
      </c>
      <c r="U3514" s="72">
        <f>R3514-T3514</f>
        <v>1600</v>
      </c>
      <c r="V3514" s="72">
        <f t="shared" ref="V3514" si="1501">U3514*0</f>
        <v>0</v>
      </c>
      <c r="W3514" s="72">
        <f t="shared" ref="W3514" si="1502">U3514-V3514</f>
        <v>1600</v>
      </c>
      <c r="X3514" s="72">
        <v>0</v>
      </c>
      <c r="Y3514" s="14">
        <f t="shared" si="1500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6328</v>
      </c>
      <c r="C3515" s="11" t="s">
        <v>6329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4"/>
        <v>1.6632</v>
      </c>
      <c r="O3515" s="13">
        <v>15</v>
      </c>
      <c r="P3515" s="13" t="s">
        <v>30</v>
      </c>
      <c r="Q3515" s="13">
        <v>0</v>
      </c>
      <c r="R3515" s="72">
        <f>L3515*O3515</f>
        <v>623.69999999999993</v>
      </c>
      <c r="S3515" s="72">
        <v>0</v>
      </c>
      <c r="T3515" s="72">
        <f>L3515*S3515</f>
        <v>0</v>
      </c>
      <c r="U3515" s="72">
        <f>R3515-T3515</f>
        <v>623.69999999999993</v>
      </c>
      <c r="V3515" s="72">
        <f>U3515*0</f>
        <v>0</v>
      </c>
      <c r="W3515" s="72">
        <f>U3515-V3515</f>
        <v>623.69999999999993</v>
      </c>
      <c r="X3515" s="72">
        <v>0</v>
      </c>
      <c r="Y3515" s="14">
        <f t="shared" si="1500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2084</v>
      </c>
      <c r="C3516" s="11" t="s">
        <v>6330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4"/>
        <v>1.5808333333333333</v>
      </c>
      <c r="O3516" s="13" t="s">
        <v>30</v>
      </c>
      <c r="P3516" s="13">
        <v>64</v>
      </c>
      <c r="Q3516" s="13">
        <v>0</v>
      </c>
      <c r="R3516" s="72">
        <f>M3516*P3516</f>
        <v>1536</v>
      </c>
      <c r="S3516" s="72">
        <v>0</v>
      </c>
      <c r="T3516" s="72">
        <f>M3516*S3516</f>
        <v>0</v>
      </c>
      <c r="U3516" s="72">
        <f>+R3516-T3516</f>
        <v>1536</v>
      </c>
      <c r="V3516" s="72">
        <f t="shared" ref="V3516" si="1503">+U3516*0</f>
        <v>0</v>
      </c>
      <c r="W3516" s="72">
        <f>+U3516-V3516</f>
        <v>1536</v>
      </c>
      <c r="X3516" s="72">
        <v>0</v>
      </c>
      <c r="Y3516" s="14">
        <f t="shared" si="1500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6331</v>
      </c>
      <c r="C3517" s="11" t="s">
        <v>6332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4"/>
        <v>1.4924137931034482</v>
      </c>
      <c r="O3517" s="13"/>
      <c r="P3517" s="13">
        <v>60</v>
      </c>
      <c r="Q3517" s="13">
        <v>0</v>
      </c>
      <c r="R3517" s="72">
        <f>M3517*P3517</f>
        <v>1740</v>
      </c>
      <c r="S3517" s="72">
        <v>0</v>
      </c>
      <c r="T3517" s="72">
        <f>M3517*S3517</f>
        <v>0</v>
      </c>
      <c r="U3517" s="72">
        <f>R3517-T3517</f>
        <v>1740</v>
      </c>
      <c r="V3517" s="72">
        <f>U3517*0</f>
        <v>0</v>
      </c>
      <c r="W3517" s="72">
        <f>+U3517-V3517</f>
        <v>1740</v>
      </c>
      <c r="X3517" s="72">
        <v>0</v>
      </c>
      <c r="Y3517" s="14">
        <f t="shared" si="1500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6333</v>
      </c>
      <c r="C3518" s="11" t="s">
        <v>6334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4"/>
        <v>1.5896000000000001</v>
      </c>
      <c r="O3518" s="13" t="s">
        <v>30</v>
      </c>
      <c r="P3518" s="13">
        <v>64</v>
      </c>
      <c r="Q3518" s="13">
        <v>0</v>
      </c>
      <c r="R3518" s="72">
        <f>M3518*P3518</f>
        <v>1600</v>
      </c>
      <c r="S3518" s="72">
        <v>0</v>
      </c>
      <c r="T3518" s="72">
        <f>M3518*S3518</f>
        <v>0</v>
      </c>
      <c r="U3518" s="72">
        <f>+R3518-T3518</f>
        <v>1600</v>
      </c>
      <c r="V3518" s="72">
        <f t="shared" ref="V3518:V3519" si="1504">+U3518*0</f>
        <v>0</v>
      </c>
      <c r="W3518" s="72">
        <f>+U3518-V3518</f>
        <v>1600</v>
      </c>
      <c r="X3518" s="72">
        <v>0</v>
      </c>
      <c r="Y3518" s="14">
        <f t="shared" si="1500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6335</v>
      </c>
      <c r="C3519" s="11" t="s">
        <v>6336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4"/>
        <v>1.4379999999999999</v>
      </c>
      <c r="O3519" s="13">
        <v>40</v>
      </c>
      <c r="P3519" s="13"/>
      <c r="Q3519" s="13">
        <v>0</v>
      </c>
      <c r="R3519" s="72">
        <f>+L3519*O3519</f>
        <v>1725.6</v>
      </c>
      <c r="S3519" s="72">
        <v>0</v>
      </c>
      <c r="T3519" s="72">
        <f>+L3519*S3519</f>
        <v>0</v>
      </c>
      <c r="U3519" s="72">
        <f>+R3519-T3519</f>
        <v>1725.6</v>
      </c>
      <c r="V3519" s="72">
        <f t="shared" si="1504"/>
        <v>0</v>
      </c>
      <c r="W3519" s="72">
        <f>+U3519-V3519</f>
        <v>1725.6</v>
      </c>
      <c r="X3519" s="72">
        <v>0</v>
      </c>
      <c r="Y3519" s="14">
        <f t="shared" si="1500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5325</v>
      </c>
      <c r="C3520" s="11" t="s">
        <v>6337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4440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4"/>
        <v>1.476</v>
      </c>
      <c r="O3520" s="13">
        <v>42</v>
      </c>
      <c r="P3520" s="13" t="s">
        <v>30</v>
      </c>
      <c r="Q3520" s="13">
        <v>0</v>
      </c>
      <c r="R3520" s="72">
        <f t="shared" ref="R3520" si="1505">+L3520*O3520</f>
        <v>1549.8</v>
      </c>
      <c r="S3520" s="72">
        <v>0</v>
      </c>
      <c r="T3520" s="72">
        <f t="shared" ref="T3520" si="1506">+L3520*S3520</f>
        <v>0</v>
      </c>
      <c r="U3520" s="72">
        <f t="shared" ref="U3520:U3524" si="1507">+R3520-T3520</f>
        <v>1549.8</v>
      </c>
      <c r="V3520" s="72">
        <f>+U3520*1</f>
        <v>1549.8</v>
      </c>
      <c r="W3520" s="72">
        <f t="shared" ref="W3520:W3524" si="1508">+U3520-V3520</f>
        <v>0</v>
      </c>
      <c r="X3520" s="72">
        <v>0</v>
      </c>
      <c r="Y3520" s="14">
        <f t="shared" si="1500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334</v>
      </c>
      <c r="C3521" s="11" t="s">
        <v>6338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4"/>
        <v>1.5631999999999999</v>
      </c>
      <c r="O3521" s="13" t="s">
        <v>30</v>
      </c>
      <c r="P3521" s="13">
        <v>64</v>
      </c>
      <c r="Q3521" s="13">
        <v>0</v>
      </c>
      <c r="R3521" s="72">
        <f>+M3521*P3521</f>
        <v>1600</v>
      </c>
      <c r="S3521" s="72">
        <v>0</v>
      </c>
      <c r="T3521" s="72">
        <f>+M3521*S3521</f>
        <v>0</v>
      </c>
      <c r="U3521" s="72">
        <f t="shared" si="1507"/>
        <v>1600</v>
      </c>
      <c r="V3521" s="72">
        <f t="shared" ref="V3521:V3524" si="1509">+U3521*0</f>
        <v>0</v>
      </c>
      <c r="W3521" s="72">
        <f t="shared" si="1508"/>
        <v>1600</v>
      </c>
      <c r="X3521" s="72">
        <v>0</v>
      </c>
      <c r="Y3521" s="14">
        <f t="shared" si="1500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2984</v>
      </c>
      <c r="C3522" s="11" t="s">
        <v>6339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4"/>
        <v>1.6208</v>
      </c>
      <c r="O3522" s="13" t="s">
        <v>30</v>
      </c>
      <c r="P3522" s="13">
        <v>64</v>
      </c>
      <c r="Q3522" s="13">
        <v>0</v>
      </c>
      <c r="R3522" s="72">
        <f>+M3522*P3522</f>
        <v>1600</v>
      </c>
      <c r="S3522" s="72">
        <v>0</v>
      </c>
      <c r="T3522" s="72">
        <f>+M3522*S3522</f>
        <v>0</v>
      </c>
      <c r="U3522" s="72">
        <f t="shared" si="1507"/>
        <v>1600</v>
      </c>
      <c r="V3522" s="72">
        <f t="shared" si="1509"/>
        <v>0</v>
      </c>
      <c r="W3522" s="72">
        <f t="shared" si="1508"/>
        <v>1600</v>
      </c>
      <c r="X3522" s="72">
        <v>0</v>
      </c>
      <c r="Y3522" s="14">
        <f t="shared" si="1500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6340</v>
      </c>
      <c r="C3523" s="11" t="s">
        <v>6341</v>
      </c>
      <c r="D3523" s="11">
        <v>18070</v>
      </c>
      <c r="E3523" s="11" t="s">
        <v>6342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4"/>
        <v>1.5090909090909093</v>
      </c>
      <c r="O3523" s="13">
        <v>20</v>
      </c>
      <c r="P3523" s="13" t="s">
        <v>30</v>
      </c>
      <c r="Q3523" s="13">
        <v>0</v>
      </c>
      <c r="R3523" s="72">
        <f>(L3523*O3523)-Q3523</f>
        <v>664</v>
      </c>
      <c r="S3523" s="72">
        <v>0</v>
      </c>
      <c r="T3523" s="72">
        <f t="shared" ref="T3523:T3524" si="1510">+L3523*S3523</f>
        <v>0</v>
      </c>
      <c r="U3523" s="72">
        <f t="shared" si="1507"/>
        <v>664</v>
      </c>
      <c r="V3523" s="72">
        <f t="shared" si="1509"/>
        <v>0</v>
      </c>
      <c r="W3523" s="72">
        <f t="shared" si="1508"/>
        <v>664</v>
      </c>
      <c r="X3523" s="72">
        <v>0</v>
      </c>
      <c r="Y3523" s="14">
        <f t="shared" si="1500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6343</v>
      </c>
      <c r="C3524" s="11" t="s">
        <v>6344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4"/>
        <v>1.335</v>
      </c>
      <c r="O3524" s="13">
        <v>50</v>
      </c>
      <c r="P3524" s="13" t="s">
        <v>30</v>
      </c>
      <c r="Q3524" s="13">
        <v>0</v>
      </c>
      <c r="R3524" s="72">
        <f>(L3524*O3524)-Q3524</f>
        <v>267</v>
      </c>
      <c r="S3524" s="72">
        <v>0</v>
      </c>
      <c r="T3524" s="72">
        <f t="shared" si="1510"/>
        <v>0</v>
      </c>
      <c r="U3524" s="72">
        <f t="shared" si="1507"/>
        <v>267</v>
      </c>
      <c r="V3524" s="72">
        <f t="shared" si="1509"/>
        <v>0</v>
      </c>
      <c r="W3524" s="72">
        <f t="shared" si="1508"/>
        <v>267</v>
      </c>
      <c r="X3524" s="72">
        <v>0</v>
      </c>
      <c r="Y3524" s="14">
        <f t="shared" si="1500"/>
        <v>0</v>
      </c>
      <c r="Z3524" s="11" t="s">
        <v>26</v>
      </c>
      <c r="AA3524" s="12" t="s">
        <v>31</v>
      </c>
    </row>
    <row r="3525" spans="1:27" x14ac:dyDescent="0.25">
      <c r="A3525" s="10">
        <v>45712</v>
      </c>
      <c r="B3525" s="11" t="s">
        <v>125</v>
      </c>
      <c r="C3525" s="11" t="s">
        <v>6349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4439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72">
        <f t="shared" ref="R3525" si="1511">L3525*O3525</f>
        <v>3761.88</v>
      </c>
      <c r="S3525" s="72">
        <v>38</v>
      </c>
      <c r="T3525" s="72">
        <f t="shared" ref="T3525" si="1512">L3525*S3525</f>
        <v>1643.1200000000001</v>
      </c>
      <c r="U3525" s="72">
        <f t="shared" ref="U3525" si="1513">R3525-T3525</f>
        <v>2118.7600000000002</v>
      </c>
      <c r="V3525" s="72">
        <f>U3525*1</f>
        <v>2118.7600000000002</v>
      </c>
      <c r="W3525" s="72">
        <f t="shared" ref="W3525" si="1514">U3525-V3525</f>
        <v>0</v>
      </c>
      <c r="X3525" s="72">
        <f>L3525*37</f>
        <v>1599.88</v>
      </c>
      <c r="Y3525" s="73">
        <f>+T3525-X3525</f>
        <v>43.240000000000009</v>
      </c>
      <c r="Z3525" s="14" t="s">
        <v>41</v>
      </c>
      <c r="AA3525" s="12" t="s">
        <v>78</v>
      </c>
    </row>
    <row r="3526" spans="1:27" x14ac:dyDescent="0.25">
      <c r="A3526" s="10">
        <v>45712</v>
      </c>
      <c r="B3526" s="11" t="s">
        <v>6350</v>
      </c>
      <c r="C3526" s="11" t="s">
        <v>6351</v>
      </c>
      <c r="D3526" s="11">
        <v>18073</v>
      </c>
      <c r="E3526" s="11" t="s">
        <v>607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1515">L3526/M3526</f>
        <v>1.6079999999999999</v>
      </c>
      <c r="O3526" s="13">
        <v>45</v>
      </c>
      <c r="P3526" s="13" t="s">
        <v>30</v>
      </c>
      <c r="Q3526" s="13">
        <v>0</v>
      </c>
      <c r="R3526" s="72">
        <f>(L3526*O3526)-Q3526</f>
        <v>723.59999999999991</v>
      </c>
      <c r="S3526" s="72">
        <v>0</v>
      </c>
      <c r="T3526" s="72">
        <f t="shared" ref="T3526:T3527" si="1516">+L3526*S3526</f>
        <v>0</v>
      </c>
      <c r="U3526" s="72">
        <f t="shared" ref="U3526:U3527" si="1517">+R3526-T3526</f>
        <v>723.59999999999991</v>
      </c>
      <c r="V3526" s="72">
        <f>+U3526*0</f>
        <v>0</v>
      </c>
      <c r="W3526" s="72">
        <f t="shared" ref="W3526:W3527" si="1518">+U3526-V3526</f>
        <v>723.59999999999991</v>
      </c>
      <c r="X3526" s="72">
        <v>0</v>
      </c>
      <c r="Y3526" s="14">
        <f t="shared" ref="Y3526:Y3527" si="1519">T3526-X3526</f>
        <v>0</v>
      </c>
      <c r="Z3526" s="11" t="s">
        <v>26</v>
      </c>
      <c r="AA3526" s="12" t="s">
        <v>31</v>
      </c>
    </row>
    <row r="3527" spans="1:27" x14ac:dyDescent="0.25">
      <c r="A3527" s="10">
        <v>45712</v>
      </c>
      <c r="B3527" s="11" t="s">
        <v>6352</v>
      </c>
      <c r="C3527" s="11" t="s">
        <v>6353</v>
      </c>
      <c r="D3527" s="11">
        <v>18074</v>
      </c>
      <c r="E3527" s="11" t="s">
        <v>224</v>
      </c>
      <c r="F3527" s="11" t="s">
        <v>26</v>
      </c>
      <c r="G3527" s="11">
        <v>3235</v>
      </c>
      <c r="H3527" s="12" t="s">
        <v>4440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1515"/>
        <v>1.3696000000000002</v>
      </c>
      <c r="O3527" s="13">
        <v>46</v>
      </c>
      <c r="P3527" s="13" t="s">
        <v>30</v>
      </c>
      <c r="Q3527" s="13">
        <v>0</v>
      </c>
      <c r="R3527" s="72">
        <f t="shared" ref="R3527" si="1520">+L3527*O3527</f>
        <v>1575.0400000000002</v>
      </c>
      <c r="S3527" s="72">
        <v>0</v>
      </c>
      <c r="T3527" s="72">
        <f t="shared" si="1516"/>
        <v>0</v>
      </c>
      <c r="U3527" s="72">
        <f t="shared" si="1517"/>
        <v>1575.0400000000002</v>
      </c>
      <c r="V3527" s="72">
        <f>+U3527*1</f>
        <v>1575.0400000000002</v>
      </c>
      <c r="W3527" s="72">
        <f t="shared" si="1518"/>
        <v>0</v>
      </c>
      <c r="X3527" s="72">
        <v>0</v>
      </c>
      <c r="Y3527" s="14">
        <f t="shared" si="1519"/>
        <v>0</v>
      </c>
      <c r="Z3527" s="11" t="s">
        <v>26</v>
      </c>
      <c r="AA3527" s="12" t="s">
        <v>31</v>
      </c>
    </row>
    <row r="3528" spans="1:27" x14ac:dyDescent="0.25">
      <c r="A3528" s="10">
        <v>45712</v>
      </c>
      <c r="B3528" s="11" t="s">
        <v>5985</v>
      </c>
      <c r="C3528" s="11" t="s">
        <v>6354</v>
      </c>
      <c r="D3528" s="11">
        <v>18075</v>
      </c>
      <c r="E3528" s="11" t="s">
        <v>501</v>
      </c>
      <c r="F3528" s="11" t="s">
        <v>26</v>
      </c>
      <c r="G3528" s="11" t="s">
        <v>26</v>
      </c>
      <c r="H3528" s="12" t="s">
        <v>4439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1515"/>
        <v>1.477857142857143</v>
      </c>
      <c r="O3528" s="13">
        <v>85</v>
      </c>
      <c r="P3528" s="13" t="s">
        <v>30</v>
      </c>
      <c r="Q3528" s="13">
        <v>0</v>
      </c>
      <c r="R3528" s="72">
        <f t="shared" ref="R3528" si="1521">L3528*O3528</f>
        <v>3517.3</v>
      </c>
      <c r="S3528" s="72">
        <v>38</v>
      </c>
      <c r="T3528" s="72">
        <f t="shared" ref="T3528" si="1522">L3528*S3528</f>
        <v>1572.44</v>
      </c>
      <c r="U3528" s="72">
        <f t="shared" ref="U3528" si="1523">R3528-T3528</f>
        <v>1944.8600000000001</v>
      </c>
      <c r="V3528" s="72">
        <f>U3528*1</f>
        <v>1944.8600000000001</v>
      </c>
      <c r="W3528" s="72">
        <f t="shared" ref="W3528" si="1524">U3528-V3528</f>
        <v>0</v>
      </c>
      <c r="X3528" s="72">
        <f>L3528*36</f>
        <v>1489.68</v>
      </c>
      <c r="Y3528" s="73">
        <f>+T3528-X3528</f>
        <v>82.759999999999991</v>
      </c>
      <c r="Z3528" s="12" t="s">
        <v>141</v>
      </c>
      <c r="AA3528" s="12" t="s">
        <v>78</v>
      </c>
    </row>
    <row r="3529" spans="1:27" x14ac:dyDescent="0.25">
      <c r="A3529" s="10">
        <v>45712</v>
      </c>
      <c r="B3529" s="11" t="s">
        <v>6355</v>
      </c>
      <c r="C3529" s="11" t="s">
        <v>6356</v>
      </c>
      <c r="D3529" s="11">
        <v>18076</v>
      </c>
      <c r="E3529" s="11" t="s">
        <v>2126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1515"/>
        <v>1.4503703703703703</v>
      </c>
      <c r="O3529" s="13">
        <v>40</v>
      </c>
      <c r="P3529" s="13"/>
      <c r="Q3529" s="13">
        <v>0</v>
      </c>
      <c r="R3529" s="72">
        <f>+L3529*O3529</f>
        <v>1566.3999999999999</v>
      </c>
      <c r="S3529" s="72">
        <v>0</v>
      </c>
      <c r="T3529" s="72">
        <f>+L3529*S3529</f>
        <v>0</v>
      </c>
      <c r="U3529" s="72">
        <f>+R3529-T3529</f>
        <v>1566.3999999999999</v>
      </c>
      <c r="V3529" s="72">
        <f t="shared" ref="V3529" si="1525">+U3529*0</f>
        <v>0</v>
      </c>
      <c r="W3529" s="72">
        <f>+U3529-V3529</f>
        <v>1566.3999999999999</v>
      </c>
      <c r="X3529" s="72">
        <v>0</v>
      </c>
      <c r="Y3529" s="14">
        <f t="shared" ref="Y3529:Y3532" si="1526">T3529-X3529</f>
        <v>0</v>
      </c>
      <c r="Z3529" s="11" t="s">
        <v>26</v>
      </c>
      <c r="AA3529" s="12" t="s">
        <v>31</v>
      </c>
    </row>
    <row r="3530" spans="1:27" x14ac:dyDescent="0.25">
      <c r="A3530" s="10">
        <v>45712</v>
      </c>
      <c r="B3530" s="11" t="s">
        <v>416</v>
      </c>
      <c r="C3530" s="11" t="s">
        <v>6357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1515"/>
        <v>1.5863999999999998</v>
      </c>
      <c r="O3530" s="13" t="s">
        <v>30</v>
      </c>
      <c r="P3530" s="13">
        <v>62</v>
      </c>
      <c r="Q3530" s="13">
        <v>0</v>
      </c>
      <c r="R3530" s="72">
        <f>M3530*P3530</f>
        <v>1550</v>
      </c>
      <c r="S3530" s="72">
        <v>0</v>
      </c>
      <c r="T3530" s="72">
        <f>M3530*S3530</f>
        <v>0</v>
      </c>
      <c r="U3530" s="72">
        <f>R3530-T3530</f>
        <v>1550</v>
      </c>
      <c r="V3530" s="72">
        <f>U3530*0</f>
        <v>0</v>
      </c>
      <c r="W3530" s="72">
        <f>U3530-V3530</f>
        <v>1550</v>
      </c>
      <c r="X3530" s="72">
        <v>0</v>
      </c>
      <c r="Y3530" s="14">
        <f t="shared" si="1526"/>
        <v>0</v>
      </c>
      <c r="Z3530" s="11" t="s">
        <v>26</v>
      </c>
      <c r="AA3530" s="12" t="s">
        <v>31</v>
      </c>
    </row>
    <row r="3531" spans="1:27" x14ac:dyDescent="0.25">
      <c r="A3531" s="10">
        <v>45712</v>
      </c>
      <c r="B3531" s="11" t="s">
        <v>6358</v>
      </c>
      <c r="C3531" s="11" t="s">
        <v>6359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4465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1515"/>
        <v>1.5</v>
      </c>
      <c r="O3531" s="13">
        <v>46.66</v>
      </c>
      <c r="P3531" s="13" t="s">
        <v>30</v>
      </c>
      <c r="Q3531" s="13">
        <v>0</v>
      </c>
      <c r="R3531" s="72">
        <f>+L3531*O3531</f>
        <v>1749.7499999999998</v>
      </c>
      <c r="S3531" s="72">
        <v>0</v>
      </c>
      <c r="T3531" s="72">
        <f>+L3531*S3531</f>
        <v>0</v>
      </c>
      <c r="U3531" s="72">
        <f>+R3531-T3531</f>
        <v>1749.7499999999998</v>
      </c>
      <c r="V3531" s="72">
        <f>+U3531*0.75</f>
        <v>1312.3124999999998</v>
      </c>
      <c r="W3531" s="72">
        <f>+U3531-V3531</f>
        <v>437.4375</v>
      </c>
      <c r="X3531" s="72">
        <v>0</v>
      </c>
      <c r="Y3531" s="14">
        <f t="shared" si="1526"/>
        <v>0</v>
      </c>
      <c r="Z3531" s="11" t="s">
        <v>26</v>
      </c>
      <c r="AA3531" s="12" t="s">
        <v>31</v>
      </c>
    </row>
    <row r="3532" spans="1:27" x14ac:dyDescent="0.25">
      <c r="A3532" s="10">
        <v>45712</v>
      </c>
      <c r="B3532" s="11" t="s">
        <v>6360</v>
      </c>
      <c r="C3532" s="11" t="s">
        <v>6361</v>
      </c>
      <c r="D3532" s="11">
        <v>18080</v>
      </c>
      <c r="E3532" s="11" t="s">
        <v>553</v>
      </c>
      <c r="F3532" s="11" t="s">
        <v>26</v>
      </c>
      <c r="G3532" s="11">
        <v>60608</v>
      </c>
      <c r="H3532" s="12" t="s">
        <v>4440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1515"/>
        <v>1.4264285714285714</v>
      </c>
      <c r="O3532" s="13">
        <v>45</v>
      </c>
      <c r="P3532" s="13" t="s">
        <v>30</v>
      </c>
      <c r="Q3532" s="13">
        <v>0</v>
      </c>
      <c r="R3532" s="72">
        <f>+L3532*O3532</f>
        <v>1797.3</v>
      </c>
      <c r="S3532" s="72">
        <v>0</v>
      </c>
      <c r="T3532" s="72">
        <f>+L3532*S3532</f>
        <v>0</v>
      </c>
      <c r="U3532" s="72">
        <f t="shared" ref="U3532" si="1527">+R3532-T3532</f>
        <v>1797.3</v>
      </c>
      <c r="V3532" s="72">
        <f>+U3532*1</f>
        <v>1797.3</v>
      </c>
      <c r="W3532" s="72">
        <f t="shared" ref="W3532" si="1528">+U3532-V3532</f>
        <v>0</v>
      </c>
      <c r="X3532" s="72">
        <v>0</v>
      </c>
      <c r="Y3532" s="14">
        <f t="shared" si="1526"/>
        <v>0</v>
      </c>
      <c r="Z3532" s="11" t="s">
        <v>26</v>
      </c>
      <c r="AA3532" s="12" t="s">
        <v>31</v>
      </c>
    </row>
    <row r="3533" spans="1:27" x14ac:dyDescent="0.25">
      <c r="A3533" s="10">
        <v>45712</v>
      </c>
      <c r="B3533" s="11" t="s">
        <v>6362</v>
      </c>
      <c r="C3533" s="11" t="s">
        <v>6363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4439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1515"/>
        <v>1.4764285714285716</v>
      </c>
      <c r="O3533" s="13">
        <v>85</v>
      </c>
      <c r="P3533" s="13" t="s">
        <v>30</v>
      </c>
      <c r="Q3533" s="13">
        <v>0</v>
      </c>
      <c r="R3533" s="72">
        <f t="shared" ref="R3533" si="1529">L3533*O3533</f>
        <v>3513.9</v>
      </c>
      <c r="S3533" s="72">
        <v>38</v>
      </c>
      <c r="T3533" s="72">
        <f t="shared" ref="T3533" si="1530">L3533*S3533</f>
        <v>1570.92</v>
      </c>
      <c r="U3533" s="72">
        <f t="shared" ref="U3533" si="1531">R3533-T3533</f>
        <v>1942.98</v>
      </c>
      <c r="V3533" s="72">
        <f>U3533*1</f>
        <v>1942.98</v>
      </c>
      <c r="W3533" s="72">
        <f t="shared" ref="W3533" si="1532">U3533-V3533</f>
        <v>0</v>
      </c>
      <c r="X3533" s="72">
        <f>L3533*36</f>
        <v>1488.2400000000002</v>
      </c>
      <c r="Y3533" s="73">
        <f>+T3533-X3533</f>
        <v>82.679999999999836</v>
      </c>
      <c r="Z3533" s="12" t="s">
        <v>141</v>
      </c>
      <c r="AA3533" s="12" t="s">
        <v>78</v>
      </c>
    </row>
    <row r="3534" spans="1:27" x14ac:dyDescent="0.25">
      <c r="A3534" s="10">
        <v>45712</v>
      </c>
      <c r="B3534" s="11" t="s">
        <v>6364</v>
      </c>
      <c r="C3534" s="11" t="s">
        <v>6365</v>
      </c>
      <c r="D3534" s="11">
        <v>18082</v>
      </c>
      <c r="E3534" s="11" t="s">
        <v>605</v>
      </c>
      <c r="F3534" s="11" t="s">
        <v>26</v>
      </c>
      <c r="G3534" s="11" t="s">
        <v>26</v>
      </c>
      <c r="H3534" s="12" t="s">
        <v>4439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1515"/>
        <v>1.6863999999999999</v>
      </c>
      <c r="O3534" s="13">
        <v>83</v>
      </c>
      <c r="P3534" s="13" t="s">
        <v>30</v>
      </c>
      <c r="Q3534" s="13">
        <v>0</v>
      </c>
      <c r="R3534" s="72">
        <f>L3534*O3534</f>
        <v>3499.2799999999997</v>
      </c>
      <c r="S3534" s="72">
        <v>38</v>
      </c>
      <c r="T3534" s="72">
        <f>L3534*S3534</f>
        <v>1602.08</v>
      </c>
      <c r="U3534" s="72">
        <f>R3534-T3534</f>
        <v>1897.1999999999998</v>
      </c>
      <c r="V3534" s="72">
        <f>U3534*1</f>
        <v>1897.1999999999998</v>
      </c>
      <c r="W3534" s="72">
        <f>U3534-V3534</f>
        <v>0</v>
      </c>
      <c r="X3534" s="72">
        <f>L3534*36</f>
        <v>1517.7599999999998</v>
      </c>
      <c r="Y3534" s="73">
        <f>+T3534-X3534</f>
        <v>84.320000000000164</v>
      </c>
      <c r="Z3534" s="12" t="s">
        <v>141</v>
      </c>
      <c r="AA3534" s="12" t="s">
        <v>78</v>
      </c>
    </row>
    <row r="3535" spans="1:27" x14ac:dyDescent="0.25">
      <c r="A3535" s="10">
        <v>45712</v>
      </c>
      <c r="B3535" s="11" t="s">
        <v>6366</v>
      </c>
      <c r="C3535" s="11" t="s">
        <v>6367</v>
      </c>
      <c r="D3535" s="11">
        <v>18083</v>
      </c>
      <c r="E3535" s="11" t="s">
        <v>570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1515"/>
        <v>1.4655172413793103</v>
      </c>
      <c r="O3535" s="13">
        <v>40</v>
      </c>
      <c r="P3535" s="13"/>
      <c r="Q3535" s="13">
        <v>0</v>
      </c>
      <c r="R3535" s="72">
        <f>+L3535*O3535</f>
        <v>1700</v>
      </c>
      <c r="S3535" s="72">
        <v>0</v>
      </c>
      <c r="T3535" s="72">
        <f>+L3535*S3535</f>
        <v>0</v>
      </c>
      <c r="U3535" s="72">
        <f>+R3535-T3535</f>
        <v>1700</v>
      </c>
      <c r="V3535" s="72">
        <f t="shared" ref="V3535" si="1533">+U3535*0</f>
        <v>0</v>
      </c>
      <c r="W3535" s="72">
        <f>+U3535-V3535</f>
        <v>1700</v>
      </c>
      <c r="X3535" s="72">
        <v>0</v>
      </c>
      <c r="Y3535" s="14">
        <f t="shared" ref="Y3535" si="1534">T3535-X3535</f>
        <v>0</v>
      </c>
      <c r="Z3535" s="11" t="s">
        <v>26</v>
      </c>
      <c r="AA3535" s="12" t="s">
        <v>31</v>
      </c>
    </row>
    <row r="3536" spans="1:27" x14ac:dyDescent="0.25">
      <c r="A3536" s="10">
        <v>45712</v>
      </c>
      <c r="B3536" s="11" t="s">
        <v>6368</v>
      </c>
      <c r="C3536" s="11" t="s">
        <v>6369</v>
      </c>
      <c r="D3536" s="11">
        <v>18084</v>
      </c>
      <c r="E3536" s="11" t="s">
        <v>246</v>
      </c>
      <c r="F3536" s="11" t="s">
        <v>26</v>
      </c>
      <c r="G3536" s="11" t="s">
        <v>26</v>
      </c>
      <c r="H3536" s="12" t="s">
        <v>4439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1515"/>
        <v>1.476</v>
      </c>
      <c r="O3536" s="13">
        <v>85</v>
      </c>
      <c r="P3536" s="13" t="s">
        <v>30</v>
      </c>
      <c r="Q3536" s="13">
        <v>0</v>
      </c>
      <c r="R3536" s="72">
        <f t="shared" ref="R3536" si="1535">L3536*O3536</f>
        <v>3763.8</v>
      </c>
      <c r="S3536" s="72">
        <v>38</v>
      </c>
      <c r="T3536" s="72">
        <f t="shared" ref="T3536" si="1536">L3536*S3536</f>
        <v>1682.64</v>
      </c>
      <c r="U3536" s="72">
        <f t="shared" ref="U3536" si="1537">R3536-T3536</f>
        <v>2081.16</v>
      </c>
      <c r="V3536" s="72">
        <f>U3536*1</f>
        <v>2081.16</v>
      </c>
      <c r="W3536" s="72">
        <f t="shared" ref="W3536" si="1538">U3536-V3536</f>
        <v>0</v>
      </c>
      <c r="X3536" s="72">
        <f>L3536*37</f>
        <v>1638.3600000000001</v>
      </c>
      <c r="Y3536" s="73">
        <f>+T3536-X3536</f>
        <v>44.279999999999973</v>
      </c>
      <c r="Z3536" s="12" t="s">
        <v>41</v>
      </c>
      <c r="AA3536" s="12" t="s">
        <v>78</v>
      </c>
    </row>
    <row r="3537" spans="1:27" x14ac:dyDescent="0.25">
      <c r="A3537" s="10">
        <v>45712</v>
      </c>
      <c r="B3537" s="11" t="s">
        <v>3398</v>
      </c>
      <c r="C3537" s="11" t="s">
        <v>6370</v>
      </c>
      <c r="D3537" s="11">
        <v>18085</v>
      </c>
      <c r="E3537" s="11" t="s">
        <v>461</v>
      </c>
      <c r="F3537" s="11" t="s">
        <v>26</v>
      </c>
      <c r="G3537" s="11">
        <v>50</v>
      </c>
      <c r="H3537" s="12" t="s">
        <v>4461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1515"/>
        <v>1.4849999999999999</v>
      </c>
      <c r="O3537" s="13">
        <v>30</v>
      </c>
      <c r="P3537" s="13" t="s">
        <v>30</v>
      </c>
      <c r="Q3537" s="13">
        <v>0</v>
      </c>
      <c r="R3537" s="72">
        <f>L3537*O3537</f>
        <v>891</v>
      </c>
      <c r="S3537" s="72">
        <v>0</v>
      </c>
      <c r="T3537" s="72">
        <f>L3537*S3537</f>
        <v>0</v>
      </c>
      <c r="U3537" s="72">
        <f>R3537-T3537</f>
        <v>891</v>
      </c>
      <c r="V3537" s="72">
        <f>U3537*0</f>
        <v>0</v>
      </c>
      <c r="W3537" s="72">
        <f>U3537-V3537</f>
        <v>891</v>
      </c>
      <c r="X3537" s="72">
        <v>0</v>
      </c>
      <c r="Y3537" s="14">
        <f t="shared" ref="Y3537:Y3546" si="1539">T3537-X3537</f>
        <v>0</v>
      </c>
      <c r="Z3537" s="11" t="s">
        <v>26</v>
      </c>
      <c r="AA3537" s="12" t="s">
        <v>31</v>
      </c>
    </row>
    <row r="3538" spans="1:27" x14ac:dyDescent="0.25">
      <c r="A3538" s="10">
        <v>45712</v>
      </c>
      <c r="B3538" s="11" t="s">
        <v>3531</v>
      </c>
      <c r="C3538" s="11" t="s">
        <v>6371</v>
      </c>
      <c r="D3538" s="11">
        <v>18086</v>
      </c>
      <c r="E3538" s="11" t="s">
        <v>446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1515"/>
        <v>1.5218181818181817</v>
      </c>
      <c r="O3538" s="13">
        <v>20</v>
      </c>
      <c r="P3538" s="13" t="s">
        <v>30</v>
      </c>
      <c r="Q3538" s="13">
        <v>0</v>
      </c>
      <c r="R3538" s="72">
        <f>(L3538*O3538)-Q3538</f>
        <v>669.59999999999991</v>
      </c>
      <c r="S3538" s="72">
        <v>0</v>
      </c>
      <c r="T3538" s="72">
        <f t="shared" ref="T3538" si="1540">+L3538*S3538</f>
        <v>0</v>
      </c>
      <c r="U3538" s="72">
        <f t="shared" ref="U3538:U3539" si="1541">+R3538-T3538</f>
        <v>669.59999999999991</v>
      </c>
      <c r="V3538" s="72">
        <f t="shared" ref="V3538" si="1542">+U3538*0</f>
        <v>0</v>
      </c>
      <c r="W3538" s="72">
        <f t="shared" ref="W3538:W3539" si="1543">+U3538-V3538</f>
        <v>669.59999999999991</v>
      </c>
      <c r="X3538" s="72">
        <v>0</v>
      </c>
      <c r="Y3538" s="14">
        <f t="shared" si="1539"/>
        <v>0</v>
      </c>
      <c r="Z3538" s="11" t="s">
        <v>26</v>
      </c>
      <c r="AA3538" s="12" t="s">
        <v>31</v>
      </c>
    </row>
    <row r="3539" spans="1:27" x14ac:dyDescent="0.25">
      <c r="A3539" s="10">
        <v>45712</v>
      </c>
      <c r="B3539" s="11" t="s">
        <v>6372</v>
      </c>
      <c r="C3539" s="11" t="s">
        <v>6373</v>
      </c>
      <c r="D3539" s="11">
        <v>18087</v>
      </c>
      <c r="E3539" s="11" t="s">
        <v>539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1515"/>
        <v>1.5575999999999999</v>
      </c>
      <c r="O3539" s="13" t="s">
        <v>30</v>
      </c>
      <c r="P3539" s="13">
        <v>60</v>
      </c>
      <c r="Q3539" s="13">
        <v>0</v>
      </c>
      <c r="R3539" s="72">
        <f>M3539*P3539</f>
        <v>1500</v>
      </c>
      <c r="S3539" s="72">
        <v>0</v>
      </c>
      <c r="T3539" s="72">
        <f>M3539*S3539</f>
        <v>0</v>
      </c>
      <c r="U3539" s="72">
        <f t="shared" si="1541"/>
        <v>1500</v>
      </c>
      <c r="V3539" s="72">
        <f>+U3539*0</f>
        <v>0</v>
      </c>
      <c r="W3539" s="72">
        <f t="shared" si="1543"/>
        <v>1500</v>
      </c>
      <c r="X3539" s="72">
        <v>0</v>
      </c>
      <c r="Y3539" s="14">
        <f t="shared" si="1539"/>
        <v>0</v>
      </c>
      <c r="Z3539" s="11" t="s">
        <v>26</v>
      </c>
      <c r="AA3539" s="12" t="s">
        <v>31</v>
      </c>
    </row>
    <row r="3540" spans="1:27" x14ac:dyDescent="0.25">
      <c r="A3540" s="10">
        <v>45712</v>
      </c>
      <c r="B3540" s="11" t="s">
        <v>5772</v>
      </c>
      <c r="C3540" s="11" t="s">
        <v>6374</v>
      </c>
      <c r="D3540" s="11">
        <v>18088</v>
      </c>
      <c r="E3540" s="11" t="s">
        <v>244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1515"/>
        <v>1.4384000000000001</v>
      </c>
      <c r="O3540" s="13">
        <v>29</v>
      </c>
      <c r="P3540" s="13" t="s">
        <v>30</v>
      </c>
      <c r="Q3540" s="13">
        <v>0</v>
      </c>
      <c r="R3540" s="72">
        <f>L3540*O3540</f>
        <v>1042.8399999999999</v>
      </c>
      <c r="S3540" s="72">
        <v>0</v>
      </c>
      <c r="T3540" s="72">
        <f>L3540*S3540</f>
        <v>0</v>
      </c>
      <c r="U3540" s="72">
        <f>R3540-T3540</f>
        <v>1042.8399999999999</v>
      </c>
      <c r="V3540" s="72">
        <f>U3540*0</f>
        <v>0</v>
      </c>
      <c r="W3540" s="72">
        <f>U3540-V3540</f>
        <v>1042.8399999999999</v>
      </c>
      <c r="X3540" s="72">
        <v>0</v>
      </c>
      <c r="Y3540" s="14">
        <f t="shared" si="1539"/>
        <v>0</v>
      </c>
      <c r="Z3540" s="11" t="s">
        <v>26</v>
      </c>
      <c r="AA3540" s="12" t="s">
        <v>31</v>
      </c>
    </row>
    <row r="3541" spans="1:27" x14ac:dyDescent="0.25">
      <c r="A3541" s="10">
        <v>45712</v>
      </c>
      <c r="B3541" s="11" t="s">
        <v>6375</v>
      </c>
      <c r="C3541" s="11" t="s">
        <v>6376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1515"/>
        <v>1.6640000000000001</v>
      </c>
      <c r="O3541" s="13">
        <v>35</v>
      </c>
      <c r="P3541" s="13"/>
      <c r="Q3541" s="13">
        <v>0</v>
      </c>
      <c r="R3541" s="72">
        <f>+L3541*O3541</f>
        <v>1456</v>
      </c>
      <c r="S3541" s="72">
        <v>0</v>
      </c>
      <c r="T3541" s="72">
        <f>+L3541*S3541</f>
        <v>0</v>
      </c>
      <c r="U3541" s="72">
        <f>+R3541-T3541</f>
        <v>1456</v>
      </c>
      <c r="V3541" s="72">
        <f t="shared" ref="V3541:V3542" si="1544">+U3541*0</f>
        <v>0</v>
      </c>
      <c r="W3541" s="72">
        <f>+U3541-V3541</f>
        <v>1456</v>
      </c>
      <c r="X3541" s="72">
        <v>0</v>
      </c>
      <c r="Y3541" s="14">
        <f t="shared" si="1539"/>
        <v>0</v>
      </c>
      <c r="Z3541" s="11" t="s">
        <v>26</v>
      </c>
      <c r="AA3541" s="12" t="s">
        <v>31</v>
      </c>
    </row>
    <row r="3542" spans="1:27" x14ac:dyDescent="0.25">
      <c r="A3542" s="10">
        <v>45712</v>
      </c>
      <c r="B3542" s="11" t="s">
        <v>6377</v>
      </c>
      <c r="C3542" s="11" t="s">
        <v>6378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1515"/>
        <v>1.6033333333333333</v>
      </c>
      <c r="O3542" s="13" t="s">
        <v>30</v>
      </c>
      <c r="P3542" s="13">
        <v>64</v>
      </c>
      <c r="Q3542" s="13">
        <v>0</v>
      </c>
      <c r="R3542" s="72">
        <f>M3542*P3542</f>
        <v>1536</v>
      </c>
      <c r="S3542" s="72">
        <v>0</v>
      </c>
      <c r="T3542" s="72">
        <f>M3542*S3542</f>
        <v>0</v>
      </c>
      <c r="U3542" s="72">
        <f>+R3542-T3542</f>
        <v>1536</v>
      </c>
      <c r="V3542" s="72">
        <f t="shared" si="1544"/>
        <v>0</v>
      </c>
      <c r="W3542" s="72">
        <f>+U3542-V3542</f>
        <v>1536</v>
      </c>
      <c r="X3542" s="72">
        <v>0</v>
      </c>
      <c r="Y3542" s="14">
        <f t="shared" si="1539"/>
        <v>0</v>
      </c>
      <c r="Z3542" s="11" t="s">
        <v>26</v>
      </c>
      <c r="AA3542" s="12" t="s">
        <v>31</v>
      </c>
    </row>
    <row r="3543" spans="1:27" x14ac:dyDescent="0.25">
      <c r="A3543" s="10">
        <v>45712</v>
      </c>
      <c r="B3543" s="11" t="s">
        <v>6379</v>
      </c>
      <c r="C3543" s="11" t="s">
        <v>6380</v>
      </c>
      <c r="D3543" s="11">
        <v>18091</v>
      </c>
      <c r="E3543" s="11" t="s">
        <v>461</v>
      </c>
      <c r="F3543" s="11" t="s">
        <v>26</v>
      </c>
      <c r="G3543" s="11">
        <v>49</v>
      </c>
      <c r="H3543" s="12" t="s">
        <v>4461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1515"/>
        <v>1.6190000000000002</v>
      </c>
      <c r="O3543" s="13">
        <v>30</v>
      </c>
      <c r="P3543" s="13" t="s">
        <v>30</v>
      </c>
      <c r="Q3543" s="13">
        <v>0</v>
      </c>
      <c r="R3543" s="72">
        <f>L3543*O3543</f>
        <v>971.40000000000009</v>
      </c>
      <c r="S3543" s="72">
        <v>0</v>
      </c>
      <c r="T3543" s="72">
        <f>L3543*S3543</f>
        <v>0</v>
      </c>
      <c r="U3543" s="72">
        <f>R3543-T3543</f>
        <v>971.40000000000009</v>
      </c>
      <c r="V3543" s="72">
        <f>U3543*0</f>
        <v>0</v>
      </c>
      <c r="W3543" s="72">
        <f>U3543-V3543</f>
        <v>971.40000000000009</v>
      </c>
      <c r="X3543" s="72">
        <v>0</v>
      </c>
      <c r="Y3543" s="14">
        <f t="shared" si="1539"/>
        <v>0</v>
      </c>
      <c r="Z3543" s="11" t="s">
        <v>26</v>
      </c>
      <c r="AA3543" s="12" t="s">
        <v>31</v>
      </c>
    </row>
    <row r="3544" spans="1:27" x14ac:dyDescent="0.25">
      <c r="A3544" s="10">
        <v>45712</v>
      </c>
      <c r="B3544" s="11" t="s">
        <v>379</v>
      </c>
      <c r="C3544" s="11" t="s">
        <v>6381</v>
      </c>
      <c r="D3544" s="11">
        <v>18092</v>
      </c>
      <c r="E3544" s="11" t="s">
        <v>1217</v>
      </c>
      <c r="F3544" s="11" t="s">
        <v>26</v>
      </c>
      <c r="G3544" s="11">
        <v>2991</v>
      </c>
      <c r="H3544" s="12" t="s">
        <v>163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1515"/>
        <v>1.6943999999999999</v>
      </c>
      <c r="O3544" s="13" t="s">
        <v>30</v>
      </c>
      <c r="P3544" s="13">
        <v>64</v>
      </c>
      <c r="Q3544" s="13">
        <v>0</v>
      </c>
      <c r="R3544" s="72">
        <f>M3544*P3544</f>
        <v>1600</v>
      </c>
      <c r="S3544" s="72">
        <v>0</v>
      </c>
      <c r="T3544" s="72">
        <f>M3544*S3544</f>
        <v>0</v>
      </c>
      <c r="U3544" s="72">
        <f>R3544-T3544</f>
        <v>1600</v>
      </c>
      <c r="V3544" s="72">
        <f t="shared" ref="V3544:V3545" si="1545">U3544*0</f>
        <v>0</v>
      </c>
      <c r="W3544" s="72">
        <f t="shared" ref="W3544:W3545" si="1546">U3544-V3544</f>
        <v>1600</v>
      </c>
      <c r="X3544" s="72">
        <v>0</v>
      </c>
      <c r="Y3544" s="14">
        <f t="shared" si="1539"/>
        <v>0</v>
      </c>
      <c r="Z3544" s="11" t="s">
        <v>26</v>
      </c>
      <c r="AA3544" s="12" t="s">
        <v>31</v>
      </c>
    </row>
    <row r="3545" spans="1:27" x14ac:dyDescent="0.25">
      <c r="A3545" s="10">
        <v>45712</v>
      </c>
      <c r="B3545" s="11" t="s">
        <v>6382</v>
      </c>
      <c r="C3545" s="11" t="s">
        <v>6383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1515"/>
        <v>1.4944</v>
      </c>
      <c r="O3545" s="13" t="s">
        <v>30</v>
      </c>
      <c r="P3545" s="13">
        <v>58</v>
      </c>
      <c r="Q3545" s="13">
        <v>0</v>
      </c>
      <c r="R3545" s="72">
        <f>M3545*P3545</f>
        <v>1450</v>
      </c>
      <c r="S3545" s="72">
        <v>0</v>
      </c>
      <c r="T3545" s="72">
        <f>M3545*S3545</f>
        <v>0</v>
      </c>
      <c r="U3545" s="72">
        <f>R3545-T3545</f>
        <v>1450</v>
      </c>
      <c r="V3545" s="72">
        <f t="shared" si="1545"/>
        <v>0</v>
      </c>
      <c r="W3545" s="72">
        <f t="shared" si="1546"/>
        <v>1450</v>
      </c>
      <c r="X3545" s="72">
        <v>0</v>
      </c>
      <c r="Y3545" s="14">
        <f t="shared" si="1539"/>
        <v>0</v>
      </c>
      <c r="Z3545" s="11" t="s">
        <v>26</v>
      </c>
      <c r="AA3545" s="12" t="s">
        <v>31</v>
      </c>
    </row>
    <row r="3546" spans="1:27" x14ac:dyDescent="0.25">
      <c r="A3546" s="10">
        <v>45712</v>
      </c>
      <c r="B3546" s="11" t="s">
        <v>6384</v>
      </c>
      <c r="C3546" s="11" t="s">
        <v>6385</v>
      </c>
      <c r="D3546" s="11">
        <v>18094</v>
      </c>
      <c r="E3546" s="11" t="s">
        <v>461</v>
      </c>
      <c r="F3546" s="11" t="s">
        <v>26</v>
      </c>
      <c r="G3546" s="11">
        <v>48</v>
      </c>
      <c r="H3546" s="12" t="s">
        <v>4461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1515"/>
        <v>1.6719999999999999</v>
      </c>
      <c r="O3546" s="13">
        <v>30</v>
      </c>
      <c r="P3546" s="13" t="s">
        <v>30</v>
      </c>
      <c r="Q3546" s="13">
        <v>0</v>
      </c>
      <c r="R3546" s="72">
        <f>L3546*O3546</f>
        <v>1003.1999999999999</v>
      </c>
      <c r="S3546" s="72">
        <v>0</v>
      </c>
      <c r="T3546" s="72">
        <f>L3546*S3546</f>
        <v>0</v>
      </c>
      <c r="U3546" s="72">
        <f>R3546-T3546</f>
        <v>1003.1999999999999</v>
      </c>
      <c r="V3546" s="72">
        <f>U3546*0</f>
        <v>0</v>
      </c>
      <c r="W3546" s="72">
        <f>U3546-V3546</f>
        <v>1003.1999999999999</v>
      </c>
      <c r="X3546" s="72">
        <v>0</v>
      </c>
      <c r="Y3546" s="14">
        <f t="shared" si="1539"/>
        <v>0</v>
      </c>
      <c r="Z3546" s="11" t="s">
        <v>26</v>
      </c>
      <c r="AA3546" s="12" t="s">
        <v>31</v>
      </c>
    </row>
    <row r="3547" spans="1:27" x14ac:dyDescent="0.25">
      <c r="A3547" s="10">
        <v>45712</v>
      </c>
      <c r="B3547" s="11" t="s">
        <v>6386</v>
      </c>
      <c r="C3547" s="11" t="s">
        <v>6387</v>
      </c>
      <c r="D3547" s="11">
        <v>18096</v>
      </c>
      <c r="E3547" s="11" t="s">
        <v>483</v>
      </c>
      <c r="F3547" s="11" t="s">
        <v>26</v>
      </c>
      <c r="G3547" s="11" t="s">
        <v>26</v>
      </c>
      <c r="H3547" s="12" t="s">
        <v>146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1515"/>
        <v>1.4862068965517241</v>
      </c>
      <c r="O3547" s="13">
        <v>91</v>
      </c>
      <c r="P3547" s="13" t="s">
        <v>30</v>
      </c>
      <c r="Q3547" s="13">
        <v>0</v>
      </c>
      <c r="R3547" s="72">
        <f>+L3547*O3547</f>
        <v>3922.1</v>
      </c>
      <c r="S3547" s="72">
        <v>40</v>
      </c>
      <c r="T3547" s="72">
        <f>L3547*S3547</f>
        <v>1724</v>
      </c>
      <c r="U3547" s="72">
        <f t="shared" ref="U3547" si="1547">R3547-T3547</f>
        <v>2198.1</v>
      </c>
      <c r="V3547" s="72">
        <f>U3547*1</f>
        <v>2198.1</v>
      </c>
      <c r="W3547" s="72">
        <f t="shared" ref="W3547" si="1548">U3547-V3547</f>
        <v>0</v>
      </c>
      <c r="X3547" s="72">
        <f>L3547*37</f>
        <v>1594.7</v>
      </c>
      <c r="Y3547" s="73">
        <f>+T3547-X3547</f>
        <v>129.29999999999995</v>
      </c>
      <c r="Z3547" s="12" t="s">
        <v>41</v>
      </c>
      <c r="AA3547" s="12" t="s">
        <v>79</v>
      </c>
    </row>
    <row r="3548" spans="1:27" x14ac:dyDescent="0.25">
      <c r="A3548" s="10">
        <v>45712</v>
      </c>
      <c r="B3548" s="11" t="s">
        <v>6388</v>
      </c>
      <c r="C3548" s="11" t="s">
        <v>6389</v>
      </c>
      <c r="D3548" s="11">
        <v>18097</v>
      </c>
      <c r="E3548" s="11" t="s">
        <v>5139</v>
      </c>
      <c r="F3548" s="11" t="s">
        <v>26</v>
      </c>
      <c r="G3548" s="11">
        <v>78902</v>
      </c>
      <c r="H3548" s="12" t="s">
        <v>4465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1515"/>
        <v>1.74</v>
      </c>
      <c r="O3548" s="13">
        <v>42.5</v>
      </c>
      <c r="P3548" s="13"/>
      <c r="Q3548" s="13">
        <v>0</v>
      </c>
      <c r="R3548" s="72">
        <f>+L3548*O3548</f>
        <v>1848.75</v>
      </c>
      <c r="S3548" s="72">
        <v>0</v>
      </c>
      <c r="T3548" s="72">
        <f>+L3548*S3548</f>
        <v>0</v>
      </c>
      <c r="U3548" s="72">
        <f>+R3548-T3548</f>
        <v>1848.75</v>
      </c>
      <c r="V3548" s="72">
        <f>+U3548*0.75</f>
        <v>1386.5625</v>
      </c>
      <c r="W3548" s="72">
        <f>+U3548-V3548</f>
        <v>462.1875</v>
      </c>
      <c r="X3548" s="72">
        <v>0</v>
      </c>
      <c r="Y3548" s="14">
        <f t="shared" ref="Y3548:Y3561" si="1549">T3548-X3548</f>
        <v>0</v>
      </c>
      <c r="Z3548" s="11" t="s">
        <v>26</v>
      </c>
      <c r="AA3548" s="12" t="s">
        <v>31</v>
      </c>
    </row>
    <row r="3549" spans="1:27" x14ac:dyDescent="0.25">
      <c r="A3549" s="10">
        <v>45712</v>
      </c>
      <c r="B3549" s="11" t="s">
        <v>6390</v>
      </c>
      <c r="C3549" s="11" t="s">
        <v>6391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1515"/>
        <v>1.7408000000000001</v>
      </c>
      <c r="O3549" s="13">
        <v>35</v>
      </c>
      <c r="P3549" s="13"/>
      <c r="Q3549" s="13">
        <v>0</v>
      </c>
      <c r="R3549" s="72">
        <f>+L3549*O3549</f>
        <v>1523.2</v>
      </c>
      <c r="S3549" s="72">
        <v>0</v>
      </c>
      <c r="T3549" s="72">
        <f>+L3549*S3549</f>
        <v>0</v>
      </c>
      <c r="U3549" s="72">
        <f>+R3549-T3549</f>
        <v>1523.2</v>
      </c>
      <c r="V3549" s="72">
        <f t="shared" ref="V3549" si="1550">+U3549*0</f>
        <v>0</v>
      </c>
      <c r="W3549" s="72">
        <f>+U3549-V3549</f>
        <v>1523.2</v>
      </c>
      <c r="X3549" s="72">
        <v>0</v>
      </c>
      <c r="Y3549" s="14">
        <f t="shared" si="1549"/>
        <v>0</v>
      </c>
      <c r="Z3549" s="11" t="s">
        <v>26</v>
      </c>
      <c r="AA3549" s="12" t="s">
        <v>31</v>
      </c>
    </row>
    <row r="3550" spans="1:27" x14ac:dyDescent="0.25">
      <c r="A3550" s="10">
        <v>45712</v>
      </c>
      <c r="B3550" s="11" t="s">
        <v>6392</v>
      </c>
      <c r="C3550" s="11" t="s">
        <v>6393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1515"/>
        <v>1.5072000000000001</v>
      </c>
      <c r="O3550" s="13" t="s">
        <v>30</v>
      </c>
      <c r="P3550" s="13">
        <v>58</v>
      </c>
      <c r="Q3550" s="13">
        <v>0</v>
      </c>
      <c r="R3550" s="72">
        <f>M3550*P3550</f>
        <v>1450</v>
      </c>
      <c r="S3550" s="72">
        <v>0</v>
      </c>
      <c r="T3550" s="72">
        <f>M3550*S3550</f>
        <v>0</v>
      </c>
      <c r="U3550" s="72">
        <f>R3550-T3550</f>
        <v>1450</v>
      </c>
      <c r="V3550" s="72">
        <f t="shared" ref="V3550" si="1551">U3550*0</f>
        <v>0</v>
      </c>
      <c r="W3550" s="72">
        <f t="shared" ref="W3550" si="1552">U3550-V3550</f>
        <v>1450</v>
      </c>
      <c r="X3550" s="72">
        <v>0</v>
      </c>
      <c r="Y3550" s="14">
        <f t="shared" si="1549"/>
        <v>0</v>
      </c>
      <c r="Z3550" s="11" t="s">
        <v>26</v>
      </c>
      <c r="AA3550" s="12" t="s">
        <v>31</v>
      </c>
    </row>
    <row r="3551" spans="1:27" x14ac:dyDescent="0.25">
      <c r="A3551" s="10">
        <v>45712</v>
      </c>
      <c r="B3551" s="11" t="s">
        <v>6394</v>
      </c>
      <c r="C3551" s="11" t="s">
        <v>6395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1515"/>
        <v>1.7143999999999999</v>
      </c>
      <c r="O3551" s="13">
        <v>35</v>
      </c>
      <c r="P3551" s="13"/>
      <c r="Q3551" s="13">
        <v>0</v>
      </c>
      <c r="R3551" s="72">
        <f>+L3551*O3551</f>
        <v>1500.1</v>
      </c>
      <c r="S3551" s="72">
        <v>0</v>
      </c>
      <c r="T3551" s="72">
        <f>+L3551*S3551</f>
        <v>0</v>
      </c>
      <c r="U3551" s="72">
        <f>+R3551-T3551</f>
        <v>1500.1</v>
      </c>
      <c r="V3551" s="72">
        <f t="shared" ref="V3551" si="1553">+U3551*0</f>
        <v>0</v>
      </c>
      <c r="W3551" s="72">
        <f>+U3551-V3551</f>
        <v>1500.1</v>
      </c>
      <c r="X3551" s="72">
        <v>0</v>
      </c>
      <c r="Y3551" s="14">
        <f t="shared" si="1549"/>
        <v>0</v>
      </c>
      <c r="Z3551" s="11" t="s">
        <v>26</v>
      </c>
      <c r="AA3551" s="12" t="s">
        <v>31</v>
      </c>
    </row>
    <row r="3552" spans="1:27" x14ac:dyDescent="0.25">
      <c r="A3552" s="10">
        <v>45712</v>
      </c>
      <c r="B3552" s="11" t="s">
        <v>1116</v>
      </c>
      <c r="C3552" s="11" t="s">
        <v>6396</v>
      </c>
      <c r="D3552" s="11">
        <v>18102</v>
      </c>
      <c r="E3552" s="11" t="s">
        <v>461</v>
      </c>
      <c r="F3552" s="11" t="s">
        <v>26</v>
      </c>
      <c r="G3552" s="11">
        <v>47</v>
      </c>
      <c r="H3552" s="12" t="s">
        <v>4461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1515"/>
        <v>1.6190000000000002</v>
      </c>
      <c r="O3552" s="13">
        <v>30</v>
      </c>
      <c r="P3552" s="13" t="s">
        <v>30</v>
      </c>
      <c r="Q3552" s="13">
        <v>0</v>
      </c>
      <c r="R3552" s="72">
        <f>L3552*O3552</f>
        <v>971.40000000000009</v>
      </c>
      <c r="S3552" s="72">
        <v>0</v>
      </c>
      <c r="T3552" s="72">
        <f>L3552*S3552</f>
        <v>0</v>
      </c>
      <c r="U3552" s="72">
        <f>R3552-T3552</f>
        <v>971.40000000000009</v>
      </c>
      <c r="V3552" s="72">
        <f>U3552*0</f>
        <v>0</v>
      </c>
      <c r="W3552" s="72">
        <f>U3552-V3552</f>
        <v>971.40000000000009</v>
      </c>
      <c r="X3552" s="72">
        <v>0</v>
      </c>
      <c r="Y3552" s="14">
        <f t="shared" si="1549"/>
        <v>0</v>
      </c>
      <c r="Z3552" s="11" t="s">
        <v>26</v>
      </c>
      <c r="AA3552" s="12" t="s">
        <v>31</v>
      </c>
    </row>
    <row r="3553" spans="1:27" x14ac:dyDescent="0.25">
      <c r="A3553" s="10">
        <v>45712</v>
      </c>
      <c r="B3553" s="11" t="s">
        <v>6397</v>
      </c>
      <c r="C3553" s="11" t="s">
        <v>6398</v>
      </c>
      <c r="D3553" s="11">
        <v>18103</v>
      </c>
      <c r="E3553" s="11" t="s">
        <v>589</v>
      </c>
      <c r="F3553" s="11" t="s">
        <v>26</v>
      </c>
      <c r="G3553" s="11">
        <v>56937</v>
      </c>
      <c r="H3553" s="12" t="s">
        <v>4440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1515"/>
        <v>1.3663999999999998</v>
      </c>
      <c r="O3553" s="13">
        <v>45</v>
      </c>
      <c r="P3553" s="13" t="s">
        <v>30</v>
      </c>
      <c r="Q3553" s="13">
        <v>0</v>
      </c>
      <c r="R3553" s="72">
        <f>+L3553*O3553</f>
        <v>1537.1999999999998</v>
      </c>
      <c r="S3553" s="72">
        <v>0</v>
      </c>
      <c r="T3553" s="72">
        <f>+L3553*S3553</f>
        <v>0</v>
      </c>
      <c r="U3553" s="72">
        <f t="shared" ref="U3553:U3555" si="1554">+R3553-T3553</f>
        <v>1537.1999999999998</v>
      </c>
      <c r="V3553" s="72">
        <f>+U3553*1</f>
        <v>1537.1999999999998</v>
      </c>
      <c r="W3553" s="72">
        <f t="shared" ref="W3553:W3555" si="1555">+U3553-V3553</f>
        <v>0</v>
      </c>
      <c r="X3553" s="72">
        <v>0</v>
      </c>
      <c r="Y3553" s="14">
        <f t="shared" si="1549"/>
        <v>0</v>
      </c>
      <c r="Z3553" s="11" t="s">
        <v>26</v>
      </c>
      <c r="AA3553" s="12" t="s">
        <v>31</v>
      </c>
    </row>
    <row r="3554" spans="1:27" x14ac:dyDescent="0.25">
      <c r="A3554" s="10">
        <v>45712</v>
      </c>
      <c r="B3554" s="11" t="s">
        <v>6399</v>
      </c>
      <c r="C3554" s="11" t="s">
        <v>6400</v>
      </c>
      <c r="D3554" s="11">
        <v>18104</v>
      </c>
      <c r="E3554" s="11" t="s">
        <v>593</v>
      </c>
      <c r="F3554" s="11" t="s">
        <v>26</v>
      </c>
      <c r="G3554" s="11">
        <v>44347</v>
      </c>
      <c r="H3554" s="12" t="s">
        <v>4440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1515"/>
        <v>1.4016</v>
      </c>
      <c r="O3554" s="13">
        <v>46</v>
      </c>
      <c r="P3554" s="13" t="s">
        <v>30</v>
      </c>
      <c r="Q3554" s="13">
        <v>0</v>
      </c>
      <c r="R3554" s="72">
        <f t="shared" ref="R3554" si="1556">+L3554*O3554</f>
        <v>1611.84</v>
      </c>
      <c r="S3554" s="72">
        <v>0</v>
      </c>
      <c r="T3554" s="72">
        <f t="shared" ref="T3554:T3555" si="1557">+L3554*S3554</f>
        <v>0</v>
      </c>
      <c r="U3554" s="72">
        <f t="shared" si="1554"/>
        <v>1611.84</v>
      </c>
      <c r="V3554" s="72">
        <f>+U3554*1</f>
        <v>1611.84</v>
      </c>
      <c r="W3554" s="72">
        <f t="shared" si="1555"/>
        <v>0</v>
      </c>
      <c r="X3554" s="72">
        <v>0</v>
      </c>
      <c r="Y3554" s="14">
        <f t="shared" si="1549"/>
        <v>0</v>
      </c>
      <c r="Z3554" s="11" t="s">
        <v>26</v>
      </c>
      <c r="AA3554" s="12" t="s">
        <v>31</v>
      </c>
    </row>
    <row r="3555" spans="1:27" x14ac:dyDescent="0.25">
      <c r="A3555" s="10">
        <v>45712</v>
      </c>
      <c r="B3555" s="11" t="s">
        <v>6401</v>
      </c>
      <c r="C3555" s="11" t="s">
        <v>6402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1515"/>
        <v>1.5899999999999999</v>
      </c>
      <c r="O3555" s="13">
        <v>50</v>
      </c>
      <c r="P3555" s="13" t="s">
        <v>30</v>
      </c>
      <c r="Q3555" s="13">
        <v>0</v>
      </c>
      <c r="R3555" s="72">
        <f>(L3555*O3555)-Q3555</f>
        <v>476.99999999999994</v>
      </c>
      <c r="S3555" s="72">
        <v>0</v>
      </c>
      <c r="T3555" s="72">
        <f t="shared" si="1557"/>
        <v>0</v>
      </c>
      <c r="U3555" s="72">
        <f t="shared" si="1554"/>
        <v>476.99999999999994</v>
      </c>
      <c r="V3555" s="72">
        <f t="shared" ref="V3555" si="1558">+U3555*0</f>
        <v>0</v>
      </c>
      <c r="W3555" s="72">
        <f t="shared" si="1555"/>
        <v>476.99999999999994</v>
      </c>
      <c r="X3555" s="72">
        <v>0</v>
      </c>
      <c r="Y3555" s="14">
        <f t="shared" si="1549"/>
        <v>0</v>
      </c>
      <c r="Z3555" s="11" t="s">
        <v>26</v>
      </c>
      <c r="AA3555" s="12" t="s">
        <v>31</v>
      </c>
    </row>
    <row r="3556" spans="1:27" x14ac:dyDescent="0.25">
      <c r="A3556" s="10">
        <v>45712</v>
      </c>
      <c r="B3556" s="11" t="s">
        <v>6403</v>
      </c>
      <c r="C3556" s="11" t="s">
        <v>6404</v>
      </c>
      <c r="D3556" s="11">
        <v>18106</v>
      </c>
      <c r="E3556" s="11" t="s">
        <v>230</v>
      </c>
      <c r="F3556" s="11" t="s">
        <v>26</v>
      </c>
      <c r="G3556" s="11">
        <v>26214</v>
      </c>
      <c r="H3556" s="12" t="s">
        <v>565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1515"/>
        <v>1.6</v>
      </c>
      <c r="O3556" s="13"/>
      <c r="P3556" s="13">
        <v>24</v>
      </c>
      <c r="Q3556" s="13">
        <v>0</v>
      </c>
      <c r="R3556" s="72">
        <f>M3556*P3556</f>
        <v>600</v>
      </c>
      <c r="S3556" s="72">
        <v>0</v>
      </c>
      <c r="T3556" s="72">
        <f>M3556*S3556</f>
        <v>0</v>
      </c>
      <c r="U3556" s="72">
        <f t="shared" ref="U3556" si="1559">R3556-T3556</f>
        <v>600</v>
      </c>
      <c r="V3556" s="72">
        <f>U3556*0</f>
        <v>0</v>
      </c>
      <c r="W3556" s="72">
        <f>+U3556-V3556</f>
        <v>600</v>
      </c>
      <c r="X3556" s="72">
        <v>0</v>
      </c>
      <c r="Y3556" s="14">
        <f t="shared" si="1549"/>
        <v>0</v>
      </c>
      <c r="Z3556" s="11" t="s">
        <v>26</v>
      </c>
      <c r="AA3556" s="12" t="s">
        <v>31</v>
      </c>
    </row>
    <row r="3557" spans="1:27" x14ac:dyDescent="0.25">
      <c r="A3557" s="10">
        <v>45712</v>
      </c>
      <c r="B3557" s="11" t="s">
        <v>723</v>
      </c>
      <c r="C3557" s="11" t="s">
        <v>6405</v>
      </c>
      <c r="D3557" s="11">
        <v>18107</v>
      </c>
      <c r="E3557" s="11" t="s">
        <v>461</v>
      </c>
      <c r="F3557" s="11" t="s">
        <v>26</v>
      </c>
      <c r="G3557" s="11">
        <v>51</v>
      </c>
      <c r="H3557" s="12" t="s">
        <v>4461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1515"/>
        <v>1.4970000000000001</v>
      </c>
      <c r="O3557" s="13">
        <v>30</v>
      </c>
      <c r="P3557" s="13" t="s">
        <v>30</v>
      </c>
      <c r="Q3557" s="13">
        <v>0</v>
      </c>
      <c r="R3557" s="72">
        <f>L3557*O3557</f>
        <v>898.2</v>
      </c>
      <c r="S3557" s="72">
        <v>0</v>
      </c>
      <c r="T3557" s="72">
        <f>L3557*S3557</f>
        <v>0</v>
      </c>
      <c r="U3557" s="72">
        <f>R3557-T3557</f>
        <v>898.2</v>
      </c>
      <c r="V3557" s="72">
        <f>U3557*0</f>
        <v>0</v>
      </c>
      <c r="W3557" s="72">
        <f>U3557-V3557</f>
        <v>898.2</v>
      </c>
      <c r="X3557" s="72">
        <v>0</v>
      </c>
      <c r="Y3557" s="14">
        <f t="shared" si="1549"/>
        <v>0</v>
      </c>
      <c r="Z3557" s="11" t="s">
        <v>26</v>
      </c>
      <c r="AA3557" s="12" t="s">
        <v>31</v>
      </c>
    </row>
    <row r="3558" spans="1:27" x14ac:dyDescent="0.25">
      <c r="A3558" s="10">
        <v>45712</v>
      </c>
      <c r="B3558" s="11" t="s">
        <v>6406</v>
      </c>
      <c r="C3558" s="11" t="s">
        <v>6407</v>
      </c>
      <c r="D3558" s="11">
        <v>18108</v>
      </c>
      <c r="E3558" s="11" t="s">
        <v>431</v>
      </c>
      <c r="F3558" s="11" t="s">
        <v>26</v>
      </c>
      <c r="G3558" s="11">
        <v>1057</v>
      </c>
      <c r="H3558" s="12" t="s">
        <v>6345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1515"/>
        <v>1.6040000000000001</v>
      </c>
      <c r="O3558" s="13">
        <v>42.5</v>
      </c>
      <c r="P3558" s="13"/>
      <c r="Q3558" s="13">
        <v>0</v>
      </c>
      <c r="R3558" s="72">
        <f>L3558*O3558</f>
        <v>1704.25</v>
      </c>
      <c r="S3558" s="72">
        <v>0</v>
      </c>
      <c r="T3558" s="72">
        <f>+L3558*S3558</f>
        <v>0</v>
      </c>
      <c r="U3558" s="72">
        <f>R3558-T3558</f>
        <v>1704.25</v>
      </c>
      <c r="V3558" s="72">
        <f>U3558*0</f>
        <v>0</v>
      </c>
      <c r="W3558" s="72">
        <f>U3558-V3558</f>
        <v>1704.25</v>
      </c>
      <c r="X3558" s="72"/>
      <c r="Y3558" s="14">
        <f t="shared" si="1549"/>
        <v>0</v>
      </c>
      <c r="Z3558" s="76" t="s">
        <v>26</v>
      </c>
      <c r="AA3558" s="12" t="s">
        <v>31</v>
      </c>
    </row>
    <row r="3559" spans="1:27" x14ac:dyDescent="0.25">
      <c r="A3559" s="10">
        <v>45712</v>
      </c>
      <c r="B3559" s="11" t="s">
        <v>6408</v>
      </c>
      <c r="C3559" s="11" t="s">
        <v>6409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163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1515"/>
        <v>1.5256000000000001</v>
      </c>
      <c r="O3559" s="13" t="s">
        <v>30</v>
      </c>
      <c r="P3559" s="13">
        <v>60</v>
      </c>
      <c r="Q3559" s="13">
        <v>0</v>
      </c>
      <c r="R3559" s="72">
        <f>M3559*P3559</f>
        <v>1500</v>
      </c>
      <c r="S3559" s="72">
        <v>0</v>
      </c>
      <c r="T3559" s="72">
        <f>M3559*S3559</f>
        <v>0</v>
      </c>
      <c r="U3559" s="72">
        <f>R3559-T3559</f>
        <v>1500</v>
      </c>
      <c r="V3559" s="72">
        <f>U3559*0</f>
        <v>0</v>
      </c>
      <c r="W3559" s="72">
        <f>U3559-V3559</f>
        <v>1500</v>
      </c>
      <c r="X3559" s="72">
        <v>0</v>
      </c>
      <c r="Y3559" s="14">
        <f t="shared" si="1549"/>
        <v>0</v>
      </c>
      <c r="Z3559" s="11" t="s">
        <v>26</v>
      </c>
      <c r="AA3559" s="12" t="s">
        <v>31</v>
      </c>
    </row>
    <row r="3560" spans="1:27" x14ac:dyDescent="0.25">
      <c r="A3560" s="10">
        <v>45712</v>
      </c>
      <c r="B3560" s="11" t="s">
        <v>3693</v>
      </c>
      <c r="C3560" s="11" t="s">
        <v>6410</v>
      </c>
      <c r="D3560" s="11">
        <v>18110</v>
      </c>
      <c r="E3560" s="11" t="s">
        <v>6411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1515"/>
        <v>1.64</v>
      </c>
      <c r="O3560" s="13">
        <v>50</v>
      </c>
      <c r="P3560" s="13" t="s">
        <v>30</v>
      </c>
      <c r="Q3560" s="13">
        <v>0</v>
      </c>
      <c r="R3560" s="72">
        <f>(L3560*O3560)-Q3560</f>
        <v>328</v>
      </c>
      <c r="S3560" s="72">
        <v>0</v>
      </c>
      <c r="T3560" s="72">
        <f t="shared" ref="T3560" si="1560">+L3560*S3560</f>
        <v>0</v>
      </c>
      <c r="U3560" s="72">
        <f t="shared" ref="U3560" si="1561">+R3560-T3560</f>
        <v>328</v>
      </c>
      <c r="V3560" s="72">
        <f t="shared" ref="V3560" si="1562">+U3560*0</f>
        <v>0</v>
      </c>
      <c r="W3560" s="72">
        <f t="shared" ref="W3560" si="1563">+U3560-V3560</f>
        <v>328</v>
      </c>
      <c r="X3560" s="72">
        <v>0</v>
      </c>
      <c r="Y3560" s="14">
        <f t="shared" si="1549"/>
        <v>0</v>
      </c>
      <c r="Z3560" s="11" t="s">
        <v>26</v>
      </c>
      <c r="AA3560" s="12" t="s">
        <v>31</v>
      </c>
    </row>
    <row r="3561" spans="1:27" x14ac:dyDescent="0.25">
      <c r="A3561" s="10">
        <v>45712</v>
      </c>
      <c r="B3561" s="11" t="s">
        <v>370</v>
      </c>
      <c r="C3561" s="11" t="s">
        <v>6412</v>
      </c>
      <c r="D3561" s="11">
        <v>18111</v>
      </c>
      <c r="E3561" s="11" t="s">
        <v>461</v>
      </c>
      <c r="F3561" s="11" t="s">
        <v>26</v>
      </c>
      <c r="G3561" s="11">
        <v>52</v>
      </c>
      <c r="H3561" s="12" t="s">
        <v>4461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1515"/>
        <v>1.609</v>
      </c>
      <c r="O3561" s="13">
        <v>30</v>
      </c>
      <c r="P3561" s="13" t="s">
        <v>30</v>
      </c>
      <c r="Q3561" s="13">
        <v>0</v>
      </c>
      <c r="R3561" s="72">
        <f>L3561*O3561</f>
        <v>965.4</v>
      </c>
      <c r="S3561" s="72">
        <v>0</v>
      </c>
      <c r="T3561" s="72">
        <f>L3561*S3561</f>
        <v>0</v>
      </c>
      <c r="U3561" s="72">
        <f>R3561-T3561</f>
        <v>965.4</v>
      </c>
      <c r="V3561" s="72">
        <f>U3561*0</f>
        <v>0</v>
      </c>
      <c r="W3561" s="72">
        <f>U3561-V3561</f>
        <v>965.4</v>
      </c>
      <c r="X3561" s="72">
        <v>0</v>
      </c>
      <c r="Y3561" s="14">
        <f t="shared" si="1549"/>
        <v>0</v>
      </c>
      <c r="Z3561" s="11" t="s">
        <v>26</v>
      </c>
      <c r="AA3561" s="12" t="s">
        <v>31</v>
      </c>
    </row>
    <row r="3562" spans="1:27" x14ac:dyDescent="0.25">
      <c r="A3562" s="10">
        <v>45712</v>
      </c>
      <c r="B3562" s="11" t="s">
        <v>6413</v>
      </c>
      <c r="C3562" s="11" t="s">
        <v>6414</v>
      </c>
      <c r="D3562" s="11">
        <v>18112</v>
      </c>
      <c r="E3562" s="11" t="s">
        <v>605</v>
      </c>
      <c r="F3562" s="11" t="s">
        <v>26</v>
      </c>
      <c r="G3562" s="11" t="s">
        <v>26</v>
      </c>
      <c r="H3562" s="12" t="s">
        <v>4441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1515"/>
        <v>1.4777777777777776</v>
      </c>
      <c r="O3562" s="13">
        <v>90</v>
      </c>
      <c r="P3562" s="13" t="s">
        <v>30</v>
      </c>
      <c r="Q3562" s="13">
        <v>0</v>
      </c>
      <c r="R3562" s="72">
        <f>L3562*O3562</f>
        <v>3591</v>
      </c>
      <c r="S3562" s="72">
        <v>41</v>
      </c>
      <c r="T3562" s="72">
        <f>+L3562*S3562</f>
        <v>1635.8999999999999</v>
      </c>
      <c r="U3562" s="72">
        <f t="shared" ref="U3562:U3563" si="1564">R3562-T3562</f>
        <v>1955.1000000000001</v>
      </c>
      <c r="V3562" s="72">
        <f>U3562*1</f>
        <v>1955.1000000000001</v>
      </c>
      <c r="W3562" s="72">
        <f t="shared" ref="W3562:W3563" si="1565">U3562-V3562</f>
        <v>0</v>
      </c>
      <c r="X3562" s="16">
        <f>L3562*37</f>
        <v>1476.3</v>
      </c>
      <c r="Y3562" s="73">
        <f t="shared" ref="Y3562" si="1566">+T3562-X3562</f>
        <v>159.59999999999991</v>
      </c>
      <c r="Z3562" s="12" t="s">
        <v>141</v>
      </c>
      <c r="AA3562" s="12" t="s">
        <v>658</v>
      </c>
    </row>
    <row r="3563" spans="1:27" x14ac:dyDescent="0.25">
      <c r="A3563" s="10">
        <v>45712</v>
      </c>
      <c r="B3563" s="11" t="s">
        <v>2022</v>
      </c>
      <c r="C3563" s="11" t="s">
        <v>6415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146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1515"/>
        <v>1.4433333333333331</v>
      </c>
      <c r="O3563" s="13">
        <v>91</v>
      </c>
      <c r="P3563" s="13" t="s">
        <v>30</v>
      </c>
      <c r="Q3563" s="13">
        <v>0</v>
      </c>
      <c r="R3563" s="72">
        <f>+L3563*O3563</f>
        <v>3940.2999999999997</v>
      </c>
      <c r="S3563" s="72">
        <v>40</v>
      </c>
      <c r="T3563" s="72">
        <f>L3563*S3563</f>
        <v>1732</v>
      </c>
      <c r="U3563" s="72">
        <f t="shared" si="1564"/>
        <v>2208.2999999999997</v>
      </c>
      <c r="V3563" s="72">
        <f>U3563*1</f>
        <v>2208.2999999999997</v>
      </c>
      <c r="W3563" s="72">
        <f t="shared" si="1565"/>
        <v>0</v>
      </c>
      <c r="X3563" s="72">
        <f>L3563*37</f>
        <v>1602.1</v>
      </c>
      <c r="Y3563" s="73">
        <f>+T3563-X3563</f>
        <v>129.90000000000009</v>
      </c>
      <c r="Z3563" s="12" t="s">
        <v>41</v>
      </c>
      <c r="AA3563" s="12" t="s">
        <v>79</v>
      </c>
    </row>
    <row r="3564" spans="1:27" x14ac:dyDescent="0.25">
      <c r="A3564" s="10">
        <v>45712</v>
      </c>
      <c r="B3564" s="11" t="s">
        <v>6416</v>
      </c>
      <c r="C3564" s="11" t="s">
        <v>6417</v>
      </c>
      <c r="D3564" s="11">
        <v>18116</v>
      </c>
      <c r="E3564" s="11" t="s">
        <v>203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1515"/>
        <v>1.665</v>
      </c>
      <c r="O3564" s="13">
        <v>20</v>
      </c>
      <c r="P3564" s="13" t="s">
        <v>30</v>
      </c>
      <c r="Q3564" s="13">
        <v>0</v>
      </c>
      <c r="R3564" s="72">
        <f>(L3564*O3564)-Q3564</f>
        <v>266.39999999999998</v>
      </c>
      <c r="S3564" s="72">
        <v>0</v>
      </c>
      <c r="T3564" s="72">
        <f t="shared" ref="T3564" si="1567">+L3564*S3564</f>
        <v>0</v>
      </c>
      <c r="U3564" s="72">
        <f t="shared" ref="U3564" si="1568">+R3564-T3564</f>
        <v>266.39999999999998</v>
      </c>
      <c r="V3564" s="72">
        <f t="shared" ref="V3564" si="1569">+U3564*0</f>
        <v>0</v>
      </c>
      <c r="W3564" s="72">
        <f t="shared" ref="W3564" si="1570">+U3564-V3564</f>
        <v>266.39999999999998</v>
      </c>
      <c r="X3564" s="72">
        <v>0</v>
      </c>
      <c r="Y3564" s="14">
        <f t="shared" ref="Y3564:Y3571" si="1571">T3564-X3564</f>
        <v>0</v>
      </c>
      <c r="Z3564" s="11" t="s">
        <v>26</v>
      </c>
      <c r="AA3564" s="12" t="s">
        <v>31</v>
      </c>
    </row>
    <row r="3565" spans="1:27" x14ac:dyDescent="0.25">
      <c r="A3565" s="10">
        <v>45712</v>
      </c>
      <c r="B3565" s="11" t="s">
        <v>464</v>
      </c>
      <c r="C3565" s="11" t="s">
        <v>6418</v>
      </c>
      <c r="D3565" s="11">
        <v>18117</v>
      </c>
      <c r="E3565" s="11" t="s">
        <v>6152</v>
      </c>
      <c r="F3565" s="11" t="s">
        <v>26</v>
      </c>
      <c r="G3565" s="11">
        <v>2963</v>
      </c>
      <c r="H3565" s="12" t="s">
        <v>4459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1515"/>
        <v>1.6819999999999999</v>
      </c>
      <c r="O3565" s="13">
        <v>41</v>
      </c>
      <c r="P3565" s="13" t="s">
        <v>30</v>
      </c>
      <c r="Q3565" s="13">
        <v>0</v>
      </c>
      <c r="R3565" s="72">
        <f>L3565*O3565</f>
        <v>689.62</v>
      </c>
      <c r="S3565" s="72">
        <v>0</v>
      </c>
      <c r="T3565" s="72">
        <f>L3565*S3565</f>
        <v>0</v>
      </c>
      <c r="U3565" s="72">
        <f>R3565-T3565</f>
        <v>689.62</v>
      </c>
      <c r="V3565" s="72">
        <f>U3565*1</f>
        <v>689.62</v>
      </c>
      <c r="W3565" s="72">
        <f>U3565-V3565</f>
        <v>0</v>
      </c>
      <c r="X3565" s="72">
        <v>0</v>
      </c>
      <c r="Y3565" s="14">
        <f t="shared" si="1571"/>
        <v>0</v>
      </c>
      <c r="Z3565" s="11" t="s">
        <v>26</v>
      </c>
      <c r="AA3565" s="12" t="s">
        <v>31</v>
      </c>
    </row>
    <row r="3566" spans="1:27" x14ac:dyDescent="0.25">
      <c r="A3566" s="10">
        <v>45712</v>
      </c>
      <c r="B3566" s="11" t="s">
        <v>6419</v>
      </c>
      <c r="C3566" s="11" t="s">
        <v>6420</v>
      </c>
      <c r="D3566" s="11">
        <v>18118</v>
      </c>
      <c r="E3566" s="11" t="s">
        <v>461</v>
      </c>
      <c r="F3566" s="11" t="s">
        <v>26</v>
      </c>
      <c r="G3566" s="11">
        <v>53</v>
      </c>
      <c r="H3566" s="12" t="s">
        <v>4461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1515"/>
        <v>1.5630000000000002</v>
      </c>
      <c r="O3566" s="13">
        <v>30</v>
      </c>
      <c r="P3566" s="13" t="s">
        <v>30</v>
      </c>
      <c r="Q3566" s="13">
        <v>0</v>
      </c>
      <c r="R3566" s="72">
        <f>L3566*O3566</f>
        <v>937.80000000000007</v>
      </c>
      <c r="S3566" s="72">
        <v>0</v>
      </c>
      <c r="T3566" s="72">
        <f>L3566*S3566</f>
        <v>0</v>
      </c>
      <c r="U3566" s="72">
        <f>R3566-T3566</f>
        <v>937.80000000000007</v>
      </c>
      <c r="V3566" s="72">
        <f>U3566*0</f>
        <v>0</v>
      </c>
      <c r="W3566" s="72">
        <f>U3566-V3566</f>
        <v>937.80000000000007</v>
      </c>
      <c r="X3566" s="72">
        <v>0</v>
      </c>
      <c r="Y3566" s="14">
        <f t="shared" si="1571"/>
        <v>0</v>
      </c>
      <c r="Z3566" s="11" t="s">
        <v>26</v>
      </c>
      <c r="AA3566" s="12" t="s">
        <v>31</v>
      </c>
    </row>
    <row r="3567" spans="1:27" x14ac:dyDescent="0.25">
      <c r="A3567" s="10">
        <v>45712</v>
      </c>
      <c r="B3567" s="11" t="s">
        <v>6421</v>
      </c>
      <c r="C3567" s="11" t="s">
        <v>6422</v>
      </c>
      <c r="D3567" s="11">
        <v>18119</v>
      </c>
      <c r="E3567" s="11" t="s">
        <v>224</v>
      </c>
      <c r="F3567" s="11" t="s">
        <v>26</v>
      </c>
      <c r="G3567" s="11">
        <v>3236</v>
      </c>
      <c r="H3567" s="12" t="s">
        <v>4440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1515"/>
        <v>1.3968</v>
      </c>
      <c r="O3567" s="13">
        <v>45</v>
      </c>
      <c r="P3567" s="13" t="s">
        <v>30</v>
      </c>
      <c r="Q3567" s="13">
        <v>0</v>
      </c>
      <c r="R3567" s="72">
        <f>+L3567*O3567</f>
        <v>1571.4</v>
      </c>
      <c r="S3567" s="72">
        <v>0</v>
      </c>
      <c r="T3567" s="72">
        <f>+L3567*S3567</f>
        <v>0</v>
      </c>
      <c r="U3567" s="72">
        <f t="shared" ref="U3567" si="1572">+R3567-T3567</f>
        <v>1571.4</v>
      </c>
      <c r="V3567" s="72">
        <f>+U3567*1</f>
        <v>1571.4</v>
      </c>
      <c r="W3567" s="72">
        <f t="shared" ref="W3567" si="1573">+U3567-V3567</f>
        <v>0</v>
      </c>
      <c r="X3567" s="72">
        <v>0</v>
      </c>
      <c r="Y3567" s="14">
        <f t="shared" si="1571"/>
        <v>0</v>
      </c>
      <c r="Z3567" s="11" t="s">
        <v>26</v>
      </c>
      <c r="AA3567" s="12" t="s">
        <v>31</v>
      </c>
    </row>
    <row r="3568" spans="1:27" x14ac:dyDescent="0.25">
      <c r="A3568" s="10">
        <v>45712</v>
      </c>
      <c r="B3568" s="11" t="s">
        <v>6423</v>
      </c>
      <c r="C3568" s="11" t="s">
        <v>6424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4463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1515"/>
        <v>1.4280000000000002</v>
      </c>
      <c r="O3568" s="13">
        <v>44</v>
      </c>
      <c r="P3568" s="13" t="s">
        <v>30</v>
      </c>
      <c r="Q3568" s="13">
        <v>0</v>
      </c>
      <c r="R3568" s="72">
        <f t="shared" ref="R3568" si="1574">+L3568*O3568</f>
        <v>1570.8000000000002</v>
      </c>
      <c r="S3568" s="72">
        <v>0</v>
      </c>
      <c r="T3568" s="72">
        <f>+L3568*S3568</f>
        <v>0</v>
      </c>
      <c r="U3568" s="72">
        <f>+R3568-T3568</f>
        <v>1570.8000000000002</v>
      </c>
      <c r="V3568" s="72">
        <f>+U3568*1</f>
        <v>1570.8000000000002</v>
      </c>
      <c r="W3568" s="72">
        <f>+U3568-V3568</f>
        <v>0</v>
      </c>
      <c r="X3568" s="72">
        <v>0</v>
      </c>
      <c r="Y3568" s="14">
        <f t="shared" si="1571"/>
        <v>0</v>
      </c>
      <c r="Z3568" s="11" t="s">
        <v>26</v>
      </c>
      <c r="AA3568" s="12" t="s">
        <v>31</v>
      </c>
    </row>
    <row r="3569" spans="1:27" x14ac:dyDescent="0.25">
      <c r="A3569" s="10">
        <v>45712</v>
      </c>
      <c r="B3569" s="11" t="s">
        <v>6425</v>
      </c>
      <c r="C3569" s="11" t="s">
        <v>6426</v>
      </c>
      <c r="D3569" s="11">
        <v>18121</v>
      </c>
      <c r="E3569" s="11" t="s">
        <v>325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1515"/>
        <v>1.4</v>
      </c>
      <c r="O3569" s="13">
        <v>50</v>
      </c>
      <c r="P3569" s="13" t="s">
        <v>30</v>
      </c>
      <c r="Q3569" s="13">
        <v>0</v>
      </c>
      <c r="R3569" s="72">
        <f>(L3569*O3569)-Q3569</f>
        <v>280</v>
      </c>
      <c r="S3569" s="72">
        <v>0</v>
      </c>
      <c r="T3569" s="72">
        <f t="shared" ref="T3569" si="1575">+L3569*S3569</f>
        <v>0</v>
      </c>
      <c r="U3569" s="72">
        <f t="shared" ref="U3569" si="1576">+R3569-T3569</f>
        <v>280</v>
      </c>
      <c r="V3569" s="72">
        <f t="shared" ref="V3569" si="1577">+U3569*0</f>
        <v>0</v>
      </c>
      <c r="W3569" s="72">
        <f t="shared" ref="W3569" si="1578">+U3569-V3569</f>
        <v>280</v>
      </c>
      <c r="X3569" s="72">
        <v>0</v>
      </c>
      <c r="Y3569" s="14">
        <f t="shared" si="1571"/>
        <v>0</v>
      </c>
      <c r="Z3569" s="11" t="s">
        <v>26</v>
      </c>
      <c r="AA3569" s="12" t="s">
        <v>31</v>
      </c>
    </row>
    <row r="3570" spans="1:27" x14ac:dyDescent="0.25">
      <c r="A3570" s="10">
        <v>45712</v>
      </c>
      <c r="B3570" s="11" t="s">
        <v>5429</v>
      </c>
      <c r="C3570" s="11" t="s">
        <v>6427</v>
      </c>
      <c r="D3570" s="11">
        <v>18122</v>
      </c>
      <c r="E3570" s="11" t="s">
        <v>461</v>
      </c>
      <c r="F3570" s="11" t="s">
        <v>26</v>
      </c>
      <c r="G3570" s="11">
        <v>54</v>
      </c>
      <c r="H3570" s="12" t="s">
        <v>4461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1515"/>
        <v>1.538</v>
      </c>
      <c r="O3570" s="13">
        <v>30</v>
      </c>
      <c r="P3570" s="13" t="s">
        <v>30</v>
      </c>
      <c r="Q3570" s="13">
        <v>0</v>
      </c>
      <c r="R3570" s="72">
        <f>L3570*O3570</f>
        <v>922.80000000000007</v>
      </c>
      <c r="S3570" s="72">
        <v>0</v>
      </c>
      <c r="T3570" s="72">
        <f>L3570*S3570</f>
        <v>0</v>
      </c>
      <c r="U3570" s="72">
        <f>R3570-T3570</f>
        <v>922.80000000000007</v>
      </c>
      <c r="V3570" s="72">
        <f>U3570*0</f>
        <v>0</v>
      </c>
      <c r="W3570" s="72">
        <f>U3570-V3570</f>
        <v>922.80000000000007</v>
      </c>
      <c r="X3570" s="72">
        <v>0</v>
      </c>
      <c r="Y3570" s="14">
        <f t="shared" si="1571"/>
        <v>0</v>
      </c>
      <c r="Z3570" s="11" t="s">
        <v>26</v>
      </c>
      <c r="AA3570" s="12" t="s">
        <v>31</v>
      </c>
    </row>
    <row r="3571" spans="1:27" x14ac:dyDescent="0.25">
      <c r="A3571" s="10">
        <v>45712</v>
      </c>
      <c r="B3571" s="11" t="s">
        <v>6428</v>
      </c>
      <c r="C3571" s="11" t="s">
        <v>6429</v>
      </c>
      <c r="D3571" s="11">
        <v>18123</v>
      </c>
      <c r="E3571" s="11" t="s">
        <v>570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1515"/>
        <v>1.4606896551724138</v>
      </c>
      <c r="O3571" s="13">
        <v>40</v>
      </c>
      <c r="P3571" s="13"/>
      <c r="Q3571" s="13">
        <v>0</v>
      </c>
      <c r="R3571" s="72">
        <f>+L3571*O3571</f>
        <v>1694.4</v>
      </c>
      <c r="S3571" s="72">
        <v>0</v>
      </c>
      <c r="T3571" s="72">
        <f>+L3571*S3571</f>
        <v>0</v>
      </c>
      <c r="U3571" s="72">
        <f>+R3571-T3571</f>
        <v>1694.4</v>
      </c>
      <c r="V3571" s="72">
        <f t="shared" ref="V3571" si="1579">+U3571*0</f>
        <v>0</v>
      </c>
      <c r="W3571" s="72">
        <f>+U3571-V3571</f>
        <v>1694.4</v>
      </c>
      <c r="X3571" s="72">
        <v>0</v>
      </c>
      <c r="Y3571" s="14">
        <f t="shared" si="1571"/>
        <v>0</v>
      </c>
      <c r="Z3571" s="11" t="s">
        <v>26</v>
      </c>
      <c r="AA3571" s="12" t="s">
        <v>31</v>
      </c>
    </row>
    <row r="3572" spans="1:27" x14ac:dyDescent="0.25">
      <c r="A3572" s="10">
        <v>45712</v>
      </c>
      <c r="B3572" s="11" t="s">
        <v>5270</v>
      </c>
      <c r="C3572" s="11" t="s">
        <v>6430</v>
      </c>
      <c r="D3572" s="11">
        <v>18124</v>
      </c>
      <c r="E3572" s="11" t="s">
        <v>574</v>
      </c>
      <c r="F3572" s="11" t="s">
        <v>26</v>
      </c>
      <c r="G3572" s="11" t="s">
        <v>26</v>
      </c>
      <c r="H3572" s="12" t="s">
        <v>4439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1515"/>
        <v>1.7791999999999999</v>
      </c>
      <c r="O3572" s="13">
        <v>83</v>
      </c>
      <c r="P3572" s="13" t="s">
        <v>30</v>
      </c>
      <c r="Q3572" s="13">
        <v>0</v>
      </c>
      <c r="R3572" s="72">
        <f>L3572*O3572</f>
        <v>3691.8399999999997</v>
      </c>
      <c r="S3572" s="72">
        <v>38</v>
      </c>
      <c r="T3572" s="72">
        <f>L3572*S3572</f>
        <v>1690.2399999999998</v>
      </c>
      <c r="U3572" s="72">
        <f>R3572-T3572</f>
        <v>2001.6</v>
      </c>
      <c r="V3572" s="72">
        <f>U3572*1</f>
        <v>2001.6</v>
      </c>
      <c r="W3572" s="72">
        <f>U3572-V3572</f>
        <v>0</v>
      </c>
      <c r="X3572" s="72">
        <f>L3572*36</f>
        <v>1601.28</v>
      </c>
      <c r="Y3572" s="73">
        <f>+T3572-X3572</f>
        <v>88.959999999999809</v>
      </c>
      <c r="Z3572" s="12" t="s">
        <v>141</v>
      </c>
      <c r="AA3572" s="12" t="s">
        <v>78</v>
      </c>
    </row>
    <row r="3573" spans="1:27" x14ac:dyDescent="0.25">
      <c r="A3573" s="10">
        <v>45712</v>
      </c>
      <c r="B3573" s="11" t="s">
        <v>751</v>
      </c>
      <c r="C3573" s="11" t="s">
        <v>6431</v>
      </c>
      <c r="D3573" s="11">
        <v>18125</v>
      </c>
      <c r="E3573" s="11" t="s">
        <v>589</v>
      </c>
      <c r="F3573" s="11" t="s">
        <v>26</v>
      </c>
      <c r="G3573" s="11">
        <v>56938</v>
      </c>
      <c r="H3573" s="12" t="s">
        <v>4440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1515"/>
        <v>1.4008</v>
      </c>
      <c r="O3573" s="13">
        <v>45</v>
      </c>
      <c r="P3573" s="13" t="s">
        <v>30</v>
      </c>
      <c r="Q3573" s="13">
        <v>0</v>
      </c>
      <c r="R3573" s="72">
        <f>+L3573*O3573</f>
        <v>1575.9</v>
      </c>
      <c r="S3573" s="72">
        <v>0</v>
      </c>
      <c r="T3573" s="72">
        <f>+L3573*S3573</f>
        <v>0</v>
      </c>
      <c r="U3573" s="72">
        <f t="shared" ref="U3573:U3574" si="1580">+R3573-T3573</f>
        <v>1575.9</v>
      </c>
      <c r="V3573" s="72">
        <f>+U3573*1</f>
        <v>1575.9</v>
      </c>
      <c r="W3573" s="72">
        <f t="shared" ref="W3573:W3574" si="1581">+U3573-V3573</f>
        <v>0</v>
      </c>
      <c r="X3573" s="72">
        <v>0</v>
      </c>
      <c r="Y3573" s="14">
        <f t="shared" ref="Y3573:Y3584" si="1582">T3573-X3573</f>
        <v>0</v>
      </c>
      <c r="Z3573" s="11" t="s">
        <v>26</v>
      </c>
      <c r="AA3573" s="12" t="s">
        <v>31</v>
      </c>
    </row>
    <row r="3574" spans="1:27" x14ac:dyDescent="0.25">
      <c r="A3574" s="10">
        <v>45712</v>
      </c>
      <c r="B3574" s="11" t="s">
        <v>5768</v>
      </c>
      <c r="C3574" s="11" t="s">
        <v>6432</v>
      </c>
      <c r="D3574" s="11">
        <v>18126</v>
      </c>
      <c r="E3574" s="11" t="s">
        <v>593</v>
      </c>
      <c r="F3574" s="11" t="s">
        <v>26</v>
      </c>
      <c r="G3574" s="11">
        <v>44348</v>
      </c>
      <c r="H3574" s="12" t="s">
        <v>4440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1515"/>
        <v>1.4119999999999999</v>
      </c>
      <c r="O3574" s="13">
        <v>45</v>
      </c>
      <c r="P3574" s="13" t="s">
        <v>30</v>
      </c>
      <c r="Q3574" s="13">
        <v>0</v>
      </c>
      <c r="R3574" s="72">
        <f>+L3574*O3574</f>
        <v>1588.4999999999998</v>
      </c>
      <c r="S3574" s="72">
        <v>0</v>
      </c>
      <c r="T3574" s="72">
        <f>+L3574*S3574</f>
        <v>0</v>
      </c>
      <c r="U3574" s="72">
        <f t="shared" si="1580"/>
        <v>1588.4999999999998</v>
      </c>
      <c r="V3574" s="72">
        <f>+U3574*1</f>
        <v>1588.4999999999998</v>
      </c>
      <c r="W3574" s="72">
        <f t="shared" si="1581"/>
        <v>0</v>
      </c>
      <c r="X3574" s="72">
        <v>0</v>
      </c>
      <c r="Y3574" s="14">
        <f t="shared" si="1582"/>
        <v>0</v>
      </c>
      <c r="Z3574" s="11" t="s">
        <v>26</v>
      </c>
      <c r="AA3574" s="12" t="s">
        <v>31</v>
      </c>
    </row>
    <row r="3575" spans="1:27" x14ac:dyDescent="0.25">
      <c r="A3575" s="10">
        <v>45712</v>
      </c>
      <c r="B3575" s="11" t="s">
        <v>686</v>
      </c>
      <c r="C3575" s="11" t="s">
        <v>6433</v>
      </c>
      <c r="D3575" s="11">
        <v>18127</v>
      </c>
      <c r="E3575" s="11" t="s">
        <v>230</v>
      </c>
      <c r="F3575" s="11" t="s">
        <v>26</v>
      </c>
      <c r="G3575" s="11">
        <v>26215</v>
      </c>
      <c r="H3575" s="12" t="s">
        <v>565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1515"/>
        <v>1.7696000000000001</v>
      </c>
      <c r="O3575" s="13"/>
      <c r="P3575" s="13">
        <v>64</v>
      </c>
      <c r="Q3575" s="13">
        <v>0</v>
      </c>
      <c r="R3575" s="72">
        <f>M3575*P3575</f>
        <v>1600</v>
      </c>
      <c r="S3575" s="72">
        <v>0</v>
      </c>
      <c r="T3575" s="72">
        <f>M3575*S3575</f>
        <v>0</v>
      </c>
      <c r="U3575" s="72">
        <f>R3575-T3575</f>
        <v>1600</v>
      </c>
      <c r="V3575" s="72">
        <f>U3575*0</f>
        <v>0</v>
      </c>
      <c r="W3575" s="72">
        <f>+U3575-V3575</f>
        <v>1600</v>
      </c>
      <c r="X3575" s="72">
        <v>0</v>
      </c>
      <c r="Y3575" s="14">
        <f t="shared" si="1582"/>
        <v>0</v>
      </c>
      <c r="Z3575" s="11" t="s">
        <v>26</v>
      </c>
      <c r="AA3575" s="12" t="s">
        <v>31</v>
      </c>
    </row>
    <row r="3576" spans="1:27" x14ac:dyDescent="0.25">
      <c r="A3576" s="10">
        <v>45712</v>
      </c>
      <c r="B3576" s="11" t="s">
        <v>6434</v>
      </c>
      <c r="C3576" s="11" t="s">
        <v>6435</v>
      </c>
      <c r="D3576" s="11">
        <v>18128</v>
      </c>
      <c r="E3576" s="11" t="s">
        <v>461</v>
      </c>
      <c r="F3576" s="11" t="s">
        <v>26</v>
      </c>
      <c r="G3576" s="11">
        <v>55</v>
      </c>
      <c r="H3576" s="12" t="s">
        <v>4461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1515"/>
        <v>1.5649999999999999</v>
      </c>
      <c r="O3576" s="13">
        <v>30</v>
      </c>
      <c r="P3576" s="13" t="s">
        <v>30</v>
      </c>
      <c r="Q3576" s="13">
        <v>0</v>
      </c>
      <c r="R3576" s="72">
        <f>L3576*O3576</f>
        <v>939</v>
      </c>
      <c r="S3576" s="72">
        <v>0</v>
      </c>
      <c r="T3576" s="72">
        <f>L3576*S3576</f>
        <v>0</v>
      </c>
      <c r="U3576" s="72">
        <f>R3576-T3576</f>
        <v>939</v>
      </c>
      <c r="V3576" s="72">
        <f>U3576*0</f>
        <v>0</v>
      </c>
      <c r="W3576" s="72">
        <f>U3576-V3576</f>
        <v>939</v>
      </c>
      <c r="X3576" s="72">
        <v>0</v>
      </c>
      <c r="Y3576" s="14">
        <f t="shared" si="1582"/>
        <v>0</v>
      </c>
      <c r="Z3576" s="11" t="s">
        <v>26</v>
      </c>
      <c r="AA3576" s="12" t="s">
        <v>31</v>
      </c>
    </row>
    <row r="3577" spans="1:27" x14ac:dyDescent="0.25">
      <c r="A3577" s="10">
        <v>45712</v>
      </c>
      <c r="B3577" s="11" t="s">
        <v>6120</v>
      </c>
      <c r="C3577" s="11" t="s">
        <v>6436</v>
      </c>
      <c r="D3577" s="11">
        <v>18131</v>
      </c>
      <c r="E3577" s="11" t="s">
        <v>435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1515"/>
        <v>1.6103999999999998</v>
      </c>
      <c r="O3577" s="13" t="s">
        <v>30</v>
      </c>
      <c r="P3577" s="13">
        <v>24</v>
      </c>
      <c r="Q3577" s="13">
        <v>0</v>
      </c>
      <c r="R3577" s="72">
        <f>+M3577*P3577</f>
        <v>600</v>
      </c>
      <c r="S3577" s="72">
        <v>0</v>
      </c>
      <c r="T3577" s="72">
        <f>+M3577*S3577</f>
        <v>0</v>
      </c>
      <c r="U3577" s="72">
        <f t="shared" ref="U3577" si="1583">+R3577-T3577</f>
        <v>600</v>
      </c>
      <c r="V3577" s="72">
        <f>+U3577*0</f>
        <v>0</v>
      </c>
      <c r="W3577" s="72">
        <f t="shared" ref="W3577" si="1584">+U3577-V3577</f>
        <v>600</v>
      </c>
      <c r="X3577" s="72">
        <v>0</v>
      </c>
      <c r="Y3577" s="14">
        <f t="shared" si="1582"/>
        <v>0</v>
      </c>
      <c r="Z3577" s="11" t="s">
        <v>26</v>
      </c>
      <c r="AA3577" s="12" t="s">
        <v>31</v>
      </c>
    </row>
    <row r="3578" spans="1:27" x14ac:dyDescent="0.25">
      <c r="A3578" s="10">
        <v>45712</v>
      </c>
      <c r="B3578" s="11" t="s">
        <v>1383</v>
      </c>
      <c r="C3578" s="11" t="s">
        <v>6437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1515"/>
        <v>1.4871428571428571</v>
      </c>
      <c r="O3578" s="13">
        <v>40</v>
      </c>
      <c r="P3578" s="13"/>
      <c r="Q3578" s="13">
        <v>0</v>
      </c>
      <c r="R3578" s="72">
        <f>+L3578*O3578</f>
        <v>1665.6</v>
      </c>
      <c r="S3578" s="72">
        <v>0</v>
      </c>
      <c r="T3578" s="72">
        <f>+L3578*S3578</f>
        <v>0</v>
      </c>
      <c r="U3578" s="72">
        <f>+R3578-T3578</f>
        <v>1665.6</v>
      </c>
      <c r="V3578" s="72">
        <f t="shared" ref="V3578" si="1585">+U3578*0</f>
        <v>0</v>
      </c>
      <c r="W3578" s="72">
        <f>+U3578-V3578</f>
        <v>1665.6</v>
      </c>
      <c r="X3578" s="72">
        <v>0</v>
      </c>
      <c r="Y3578" s="14">
        <f t="shared" si="1582"/>
        <v>0</v>
      </c>
      <c r="Z3578" s="11" t="s">
        <v>26</v>
      </c>
      <c r="AA3578" s="12" t="s">
        <v>31</v>
      </c>
    </row>
    <row r="3579" spans="1:27" x14ac:dyDescent="0.25">
      <c r="A3579" s="10">
        <v>45712</v>
      </c>
      <c r="B3579" s="11" t="s">
        <v>6438</v>
      </c>
      <c r="C3579" s="11" t="s">
        <v>6439</v>
      </c>
      <c r="D3579" s="11">
        <v>18133</v>
      </c>
      <c r="E3579" s="11" t="s">
        <v>485</v>
      </c>
      <c r="F3579" s="11" t="s">
        <v>26</v>
      </c>
      <c r="G3579" s="11">
        <v>78402</v>
      </c>
      <c r="H3579" s="12" t="s">
        <v>4465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1515"/>
        <v>1.6271428571428572</v>
      </c>
      <c r="O3579" s="13">
        <v>42.5</v>
      </c>
      <c r="P3579" s="13"/>
      <c r="Q3579" s="13">
        <v>0</v>
      </c>
      <c r="R3579" s="72">
        <f>+L3579*O3579</f>
        <v>1936.3000000000002</v>
      </c>
      <c r="S3579" s="72">
        <v>0</v>
      </c>
      <c r="T3579" s="72">
        <f>+L3579*S3579</f>
        <v>0</v>
      </c>
      <c r="U3579" s="72">
        <f>+R3579-T3579</f>
        <v>1936.3000000000002</v>
      </c>
      <c r="V3579" s="72">
        <f>+U3579*0.75</f>
        <v>1452.2250000000001</v>
      </c>
      <c r="W3579" s="72">
        <f>+U3579-V3579</f>
        <v>484.07500000000005</v>
      </c>
      <c r="X3579" s="72">
        <v>0</v>
      </c>
      <c r="Y3579" s="14">
        <f t="shared" si="1582"/>
        <v>0</v>
      </c>
      <c r="Z3579" s="11" t="s">
        <v>26</v>
      </c>
      <c r="AA3579" s="12" t="s">
        <v>31</v>
      </c>
    </row>
    <row r="3580" spans="1:27" x14ac:dyDescent="0.25">
      <c r="A3580" s="10">
        <v>45712</v>
      </c>
      <c r="B3580" s="11" t="s">
        <v>6440</v>
      </c>
      <c r="C3580" s="11" t="s">
        <v>6441</v>
      </c>
      <c r="D3580" s="11">
        <v>18134</v>
      </c>
      <c r="E3580" s="11" t="s">
        <v>461</v>
      </c>
      <c r="F3580" s="11" t="s">
        <v>26</v>
      </c>
      <c r="G3580" s="11">
        <v>56</v>
      </c>
      <c r="H3580" s="12" t="s">
        <v>4461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1515"/>
        <v>1.5569999999999999</v>
      </c>
      <c r="O3580" s="13">
        <v>30</v>
      </c>
      <c r="P3580" s="13" t="s">
        <v>30</v>
      </c>
      <c r="Q3580" s="13">
        <v>0</v>
      </c>
      <c r="R3580" s="72">
        <f>L3580*O3580</f>
        <v>934.2</v>
      </c>
      <c r="S3580" s="72">
        <v>0</v>
      </c>
      <c r="T3580" s="72">
        <f>L3580*S3580</f>
        <v>0</v>
      </c>
      <c r="U3580" s="72">
        <f>R3580-T3580</f>
        <v>934.2</v>
      </c>
      <c r="V3580" s="72">
        <f>U3580*0</f>
        <v>0</v>
      </c>
      <c r="W3580" s="72">
        <f>U3580-V3580</f>
        <v>934.2</v>
      </c>
      <c r="X3580" s="72">
        <v>0</v>
      </c>
      <c r="Y3580" s="14">
        <f t="shared" si="1582"/>
        <v>0</v>
      </c>
      <c r="Z3580" s="11" t="s">
        <v>26</v>
      </c>
      <c r="AA3580" s="12" t="s">
        <v>31</v>
      </c>
    </row>
    <row r="3581" spans="1:27" x14ac:dyDescent="0.25">
      <c r="A3581" s="10">
        <v>45712</v>
      </c>
      <c r="B3581" s="11" t="s">
        <v>6442</v>
      </c>
      <c r="C3581" s="11" t="s">
        <v>6443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1515"/>
        <v>1.54</v>
      </c>
      <c r="O3581" s="13">
        <v>45</v>
      </c>
      <c r="P3581" s="13" t="s">
        <v>30</v>
      </c>
      <c r="Q3581" s="13">
        <v>0</v>
      </c>
      <c r="R3581" s="72">
        <f>(L3581*O3581)-Q3581</f>
        <v>415.8</v>
      </c>
      <c r="S3581" s="72">
        <v>0</v>
      </c>
      <c r="T3581" s="72">
        <f t="shared" ref="T3581" si="1586">+L3581*S3581</f>
        <v>0</v>
      </c>
      <c r="U3581" s="72">
        <f t="shared" ref="U3581" si="1587">+R3581-T3581</f>
        <v>415.8</v>
      </c>
      <c r="V3581" s="72">
        <f>+U3581*0</f>
        <v>0</v>
      </c>
      <c r="W3581" s="72">
        <f t="shared" ref="W3581" si="1588">+U3581-V3581</f>
        <v>415.8</v>
      </c>
      <c r="X3581" s="72">
        <v>0</v>
      </c>
      <c r="Y3581" s="14">
        <f t="shared" si="1582"/>
        <v>0</v>
      </c>
      <c r="Z3581" s="11" t="s">
        <v>26</v>
      </c>
      <c r="AA3581" s="12" t="s">
        <v>31</v>
      </c>
    </row>
    <row r="3582" spans="1:27" x14ac:dyDescent="0.25">
      <c r="A3582" s="10">
        <v>45712</v>
      </c>
      <c r="B3582" s="11" t="s">
        <v>314</v>
      </c>
      <c r="C3582" s="11" t="s">
        <v>6444</v>
      </c>
      <c r="D3582" s="11">
        <v>18136</v>
      </c>
      <c r="E3582" s="11" t="s">
        <v>322</v>
      </c>
      <c r="F3582" s="11" t="s">
        <v>26</v>
      </c>
      <c r="G3582" s="11">
        <v>112913</v>
      </c>
      <c r="H3582" s="12" t="s">
        <v>4463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1515"/>
        <v>1.4487999999999999</v>
      </c>
      <c r="O3582" s="13">
        <v>44</v>
      </c>
      <c r="P3582" s="13" t="s">
        <v>30</v>
      </c>
      <c r="Q3582" s="13">
        <v>0</v>
      </c>
      <c r="R3582" s="72">
        <f t="shared" ref="R3582" si="1589">+L3582*O3582</f>
        <v>1593.6799999999998</v>
      </c>
      <c r="S3582" s="72">
        <v>0</v>
      </c>
      <c r="T3582" s="72">
        <f>+L3582*S3582</f>
        <v>0</v>
      </c>
      <c r="U3582" s="72">
        <f>+R3582-T3582</f>
        <v>1593.6799999999998</v>
      </c>
      <c r="V3582" s="72">
        <f>+U3582*1</f>
        <v>1593.6799999999998</v>
      </c>
      <c r="W3582" s="72">
        <f>+U3582-V3582</f>
        <v>0</v>
      </c>
      <c r="X3582" s="72">
        <v>0</v>
      </c>
      <c r="Y3582" s="14">
        <f t="shared" si="1582"/>
        <v>0</v>
      </c>
      <c r="Z3582" s="11" t="s">
        <v>26</v>
      </c>
      <c r="AA3582" s="12" t="s">
        <v>31</v>
      </c>
    </row>
    <row r="3583" spans="1:27" x14ac:dyDescent="0.25">
      <c r="A3583" s="10">
        <v>45712</v>
      </c>
      <c r="B3583" s="11" t="s">
        <v>6445</v>
      </c>
      <c r="C3583" s="11" t="s">
        <v>6446</v>
      </c>
      <c r="D3583" s="11">
        <v>18137</v>
      </c>
      <c r="E3583" s="11" t="s">
        <v>605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1515"/>
        <v>1.6652173913043478</v>
      </c>
      <c r="O3583" s="13">
        <v>29</v>
      </c>
      <c r="P3583" s="13" t="s">
        <v>30</v>
      </c>
      <c r="Q3583" s="13">
        <v>0</v>
      </c>
      <c r="R3583" s="72">
        <f>L3583*O3583</f>
        <v>1110.6999999999998</v>
      </c>
      <c r="S3583" s="72">
        <v>0</v>
      </c>
      <c r="T3583" s="72">
        <f>L3583*S3583</f>
        <v>0</v>
      </c>
      <c r="U3583" s="72">
        <f>R3583-T3583</f>
        <v>1110.6999999999998</v>
      </c>
      <c r="V3583" s="72">
        <f>U3583*0</f>
        <v>0</v>
      </c>
      <c r="W3583" s="72">
        <f>U3583-V3583</f>
        <v>1110.6999999999998</v>
      </c>
      <c r="X3583" s="72">
        <v>0</v>
      </c>
      <c r="Y3583" s="14">
        <f t="shared" si="1582"/>
        <v>0</v>
      </c>
      <c r="Z3583" s="11" t="s">
        <v>26</v>
      </c>
      <c r="AA3583" s="12" t="s">
        <v>31</v>
      </c>
    </row>
    <row r="3584" spans="1:27" x14ac:dyDescent="0.25">
      <c r="A3584" s="10">
        <v>45712</v>
      </c>
      <c r="B3584" s="11" t="s">
        <v>6447</v>
      </c>
      <c r="C3584" s="11" t="s">
        <v>6448</v>
      </c>
      <c r="D3584" s="11">
        <v>18138</v>
      </c>
      <c r="E3584" s="11" t="s">
        <v>461</v>
      </c>
      <c r="F3584" s="11" t="s">
        <v>26</v>
      </c>
      <c r="G3584" s="11">
        <v>57</v>
      </c>
      <c r="H3584" s="12" t="s">
        <v>4461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1515"/>
        <v>1.546</v>
      </c>
      <c r="O3584" s="13">
        <v>30</v>
      </c>
      <c r="P3584" s="13" t="s">
        <v>30</v>
      </c>
      <c r="Q3584" s="13">
        <v>0</v>
      </c>
      <c r="R3584" s="72">
        <f>L3584*O3584</f>
        <v>927.6</v>
      </c>
      <c r="S3584" s="72">
        <v>0</v>
      </c>
      <c r="T3584" s="72">
        <f>L3584*S3584</f>
        <v>0</v>
      </c>
      <c r="U3584" s="72">
        <f>R3584-T3584</f>
        <v>927.6</v>
      </c>
      <c r="V3584" s="72">
        <f>U3584*0</f>
        <v>0</v>
      </c>
      <c r="W3584" s="72">
        <f>U3584-V3584</f>
        <v>927.6</v>
      </c>
      <c r="X3584" s="72">
        <v>0</v>
      </c>
      <c r="Y3584" s="14">
        <f t="shared" si="1582"/>
        <v>0</v>
      </c>
      <c r="Z3584" s="11" t="s">
        <v>26</v>
      </c>
      <c r="AA3584" s="12" t="s">
        <v>31</v>
      </c>
    </row>
    <row r="3585" spans="1:27" x14ac:dyDescent="0.25">
      <c r="A3585" s="10">
        <v>45712</v>
      </c>
      <c r="B3585" s="11" t="s">
        <v>6449</v>
      </c>
      <c r="C3585" s="11" t="s">
        <v>6450</v>
      </c>
      <c r="D3585" s="11">
        <v>18139</v>
      </c>
      <c r="E3585" s="11" t="s">
        <v>240</v>
      </c>
      <c r="F3585" s="11" t="s">
        <v>26</v>
      </c>
      <c r="G3585" s="11" t="s">
        <v>26</v>
      </c>
      <c r="H3585" s="12" t="s">
        <v>4439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1515"/>
        <v>1.4419999999999999</v>
      </c>
      <c r="O3585" s="13">
        <v>87</v>
      </c>
      <c r="P3585" s="13" t="s">
        <v>30</v>
      </c>
      <c r="Q3585" s="13">
        <v>0</v>
      </c>
      <c r="R3585" s="72">
        <f t="shared" ref="R3585" si="1590">L3585*O3585</f>
        <v>3763.62</v>
      </c>
      <c r="S3585" s="72">
        <v>38</v>
      </c>
      <c r="T3585" s="72">
        <f t="shared" ref="T3585" si="1591">L3585*S3585</f>
        <v>1643.8799999999999</v>
      </c>
      <c r="U3585" s="72">
        <f t="shared" ref="U3585" si="1592">R3585-T3585</f>
        <v>2119.7399999999998</v>
      </c>
      <c r="V3585" s="72">
        <f>U3585*1</f>
        <v>2119.7399999999998</v>
      </c>
      <c r="W3585" s="72">
        <f t="shared" ref="W3585" si="1593">U3585-V3585</f>
        <v>0</v>
      </c>
      <c r="X3585" s="72">
        <f>L3585*37</f>
        <v>1600.62</v>
      </c>
      <c r="Y3585" s="73">
        <f>+T3585-X3585</f>
        <v>43.259999999999991</v>
      </c>
      <c r="Z3585" s="12" t="s">
        <v>41</v>
      </c>
      <c r="AA3585" s="12" t="s">
        <v>78</v>
      </c>
    </row>
    <row r="3586" spans="1:27" x14ac:dyDescent="0.25">
      <c r="A3586" s="10">
        <v>45712</v>
      </c>
      <c r="B3586" s="11" t="s">
        <v>6451</v>
      </c>
      <c r="C3586" s="11" t="s">
        <v>6452</v>
      </c>
      <c r="D3586" s="11">
        <v>18140</v>
      </c>
      <c r="E3586" s="11" t="s">
        <v>203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1515"/>
        <v>1.6174999999999999</v>
      </c>
      <c r="O3586" s="13">
        <v>20</v>
      </c>
      <c r="P3586" s="13" t="s">
        <v>30</v>
      </c>
      <c r="Q3586" s="13">
        <v>0</v>
      </c>
      <c r="R3586" s="72">
        <f>(L3586*O3586)-Q3586</f>
        <v>258.8</v>
      </c>
      <c r="S3586" s="72">
        <v>0</v>
      </c>
      <c r="T3586" s="72">
        <f t="shared" ref="T3586" si="1594">+L3586*S3586</f>
        <v>0</v>
      </c>
      <c r="U3586" s="72">
        <f t="shared" ref="U3586:U3587" si="1595">+R3586-T3586</f>
        <v>258.8</v>
      </c>
      <c r="V3586" s="72">
        <f t="shared" ref="V3586" si="1596">+U3586*0</f>
        <v>0</v>
      </c>
      <c r="W3586" s="72">
        <f t="shared" ref="W3586:W3587" si="1597">+U3586-V3586</f>
        <v>258.8</v>
      </c>
      <c r="X3586" s="72">
        <v>0</v>
      </c>
      <c r="Y3586" s="14">
        <f t="shared" ref="Y3586:Y3597" si="1598">T3586-X3586</f>
        <v>0</v>
      </c>
      <c r="Z3586" s="11" t="s">
        <v>26</v>
      </c>
      <c r="AA3586" s="12" t="s">
        <v>31</v>
      </c>
    </row>
    <row r="3587" spans="1:27" x14ac:dyDescent="0.25">
      <c r="A3587" s="10">
        <v>45712</v>
      </c>
      <c r="B3587" s="11" t="s">
        <v>6453</v>
      </c>
      <c r="C3587" s="11" t="s">
        <v>6454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4440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1515"/>
        <v>1.3719999999999999</v>
      </c>
      <c r="O3587" s="13">
        <v>45</v>
      </c>
      <c r="P3587" s="13" t="s">
        <v>30</v>
      </c>
      <c r="Q3587" s="13">
        <v>0</v>
      </c>
      <c r="R3587" s="72">
        <f>+L3587*O3587</f>
        <v>1543.4999999999998</v>
      </c>
      <c r="S3587" s="72">
        <v>0</v>
      </c>
      <c r="T3587" s="72">
        <f>+L3587*S3587</f>
        <v>0</v>
      </c>
      <c r="U3587" s="72">
        <f t="shared" si="1595"/>
        <v>1543.4999999999998</v>
      </c>
      <c r="V3587" s="72">
        <f>+U3587*1</f>
        <v>1543.4999999999998</v>
      </c>
      <c r="W3587" s="72">
        <f t="shared" si="1597"/>
        <v>0</v>
      </c>
      <c r="X3587" s="72">
        <v>0</v>
      </c>
      <c r="Y3587" s="14">
        <f t="shared" si="1598"/>
        <v>0</v>
      </c>
      <c r="Z3587" s="11" t="s">
        <v>26</v>
      </c>
      <c r="AA3587" s="12" t="s">
        <v>31</v>
      </c>
    </row>
    <row r="3588" spans="1:27" x14ac:dyDescent="0.25">
      <c r="A3588" s="10">
        <v>45712</v>
      </c>
      <c r="B3588" s="11" t="s">
        <v>419</v>
      </c>
      <c r="C3588" s="11" t="s">
        <v>6455</v>
      </c>
      <c r="D3588" s="11">
        <v>18142</v>
      </c>
      <c r="E3588" s="11" t="s">
        <v>244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1515"/>
        <v>1.7072727272727273</v>
      </c>
      <c r="O3588" s="13">
        <v>29</v>
      </c>
      <c r="P3588" s="13" t="s">
        <v>30</v>
      </c>
      <c r="Q3588" s="13">
        <v>0</v>
      </c>
      <c r="R3588" s="72">
        <f>L3588*O3588</f>
        <v>1089.24</v>
      </c>
      <c r="S3588" s="72">
        <v>0</v>
      </c>
      <c r="T3588" s="72">
        <f>L3588*S3588</f>
        <v>0</v>
      </c>
      <c r="U3588" s="72">
        <f>R3588-T3588</f>
        <v>1089.24</v>
      </c>
      <c r="V3588" s="72">
        <f>U3588*0</f>
        <v>0</v>
      </c>
      <c r="W3588" s="72">
        <f>U3588-V3588</f>
        <v>1089.24</v>
      </c>
      <c r="X3588" s="72">
        <v>0</v>
      </c>
      <c r="Y3588" s="14">
        <f t="shared" si="1598"/>
        <v>0</v>
      </c>
      <c r="Z3588" s="11" t="s">
        <v>26</v>
      </c>
      <c r="AA3588" s="12" t="s">
        <v>31</v>
      </c>
    </row>
    <row r="3589" spans="1:27" x14ac:dyDescent="0.25">
      <c r="A3589" s="10">
        <v>45712</v>
      </c>
      <c r="B3589" s="11" t="s">
        <v>696</v>
      </c>
      <c r="C3589" s="11" t="s">
        <v>6456</v>
      </c>
      <c r="D3589" s="11">
        <v>18143</v>
      </c>
      <c r="E3589" s="11" t="s">
        <v>574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1515"/>
        <v>1.6486956521739131</v>
      </c>
      <c r="O3589" s="13">
        <v>29</v>
      </c>
      <c r="P3589" s="13" t="s">
        <v>30</v>
      </c>
      <c r="Q3589" s="13">
        <v>0</v>
      </c>
      <c r="R3589" s="72">
        <f>L3589*O3589</f>
        <v>1099.68</v>
      </c>
      <c r="S3589" s="72">
        <v>0</v>
      </c>
      <c r="T3589" s="72">
        <f>L3589*S3589</f>
        <v>0</v>
      </c>
      <c r="U3589" s="72">
        <f>R3589-T3589</f>
        <v>1099.68</v>
      </c>
      <c r="V3589" s="72">
        <f>U3589*0</f>
        <v>0</v>
      </c>
      <c r="W3589" s="72">
        <f>U3589-V3589</f>
        <v>1099.68</v>
      </c>
      <c r="X3589" s="72">
        <v>0</v>
      </c>
      <c r="Y3589" s="14">
        <f t="shared" si="1598"/>
        <v>0</v>
      </c>
      <c r="Z3589" s="11" t="s">
        <v>26</v>
      </c>
      <c r="AA3589" s="12" t="s">
        <v>31</v>
      </c>
    </row>
    <row r="3590" spans="1:27" x14ac:dyDescent="0.25">
      <c r="A3590" s="10">
        <v>45712</v>
      </c>
      <c r="B3590" s="11" t="s">
        <v>6457</v>
      </c>
      <c r="C3590" s="11" t="s">
        <v>6458</v>
      </c>
      <c r="D3590" s="11">
        <v>18144</v>
      </c>
      <c r="E3590" s="11" t="s">
        <v>230</v>
      </c>
      <c r="F3590" s="11" t="s">
        <v>26</v>
      </c>
      <c r="G3590" s="11">
        <v>26216</v>
      </c>
      <c r="H3590" s="12" t="s">
        <v>565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1599">L3590/M3590</f>
        <v>1.4659259259259259</v>
      </c>
      <c r="O3590" s="13"/>
      <c r="P3590" s="13">
        <v>60</v>
      </c>
      <c r="Q3590" s="13">
        <v>0</v>
      </c>
      <c r="R3590" s="72">
        <f>M3590*P3590</f>
        <v>1620</v>
      </c>
      <c r="S3590" s="72">
        <v>0</v>
      </c>
      <c r="T3590" s="72">
        <f>M3590*S3590</f>
        <v>0</v>
      </c>
      <c r="U3590" s="72">
        <f>R3590-T3590</f>
        <v>1620</v>
      </c>
      <c r="V3590" s="72">
        <f>U3590*0</f>
        <v>0</v>
      </c>
      <c r="W3590" s="72">
        <f>+U3590-V3590</f>
        <v>1620</v>
      </c>
      <c r="X3590" s="72">
        <v>0</v>
      </c>
      <c r="Y3590" s="14">
        <f t="shared" si="1598"/>
        <v>0</v>
      </c>
      <c r="Z3590" s="11" t="s">
        <v>26</v>
      </c>
      <c r="AA3590" s="12" t="s">
        <v>31</v>
      </c>
    </row>
    <row r="3591" spans="1:27" x14ac:dyDescent="0.25">
      <c r="A3591" s="10">
        <v>45712</v>
      </c>
      <c r="B3591" s="11" t="s">
        <v>337</v>
      </c>
      <c r="C3591" s="11" t="s">
        <v>6459</v>
      </c>
      <c r="D3591" s="11">
        <v>18145</v>
      </c>
      <c r="E3591" s="11" t="s">
        <v>6071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1599"/>
        <v>1.7080000000000002</v>
      </c>
      <c r="O3591" s="13">
        <v>15</v>
      </c>
      <c r="P3591" s="13"/>
      <c r="Q3591" s="13">
        <v>0</v>
      </c>
      <c r="R3591" s="72">
        <f>+L3591*O3591</f>
        <v>640.5</v>
      </c>
      <c r="S3591" s="72">
        <v>0</v>
      </c>
      <c r="T3591" s="72">
        <f>+L3591*S3591</f>
        <v>0</v>
      </c>
      <c r="U3591" s="72">
        <f>+R3591-T3591</f>
        <v>640.5</v>
      </c>
      <c r="V3591" s="72">
        <f t="shared" ref="V3591:V3592" si="1600">+U3591*0</f>
        <v>0</v>
      </c>
      <c r="W3591" s="72">
        <f>+U3591-V3591</f>
        <v>640.5</v>
      </c>
      <c r="X3591" s="72">
        <v>0</v>
      </c>
      <c r="Y3591" s="14">
        <f t="shared" si="1598"/>
        <v>0</v>
      </c>
      <c r="Z3591" s="11" t="s">
        <v>26</v>
      </c>
      <c r="AA3591" s="12" t="s">
        <v>31</v>
      </c>
    </row>
    <row r="3592" spans="1:27" x14ac:dyDescent="0.25">
      <c r="A3592" s="10">
        <v>45712</v>
      </c>
      <c r="B3592" s="11" t="s">
        <v>669</v>
      </c>
      <c r="C3592" s="11" t="s">
        <v>6460</v>
      </c>
      <c r="D3592" s="11">
        <v>18146</v>
      </c>
      <c r="E3592" s="11" t="s">
        <v>570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1599"/>
        <v>1.4979310344827585</v>
      </c>
      <c r="O3592" s="13">
        <v>40</v>
      </c>
      <c r="P3592" s="13"/>
      <c r="Q3592" s="13">
        <v>0</v>
      </c>
      <c r="R3592" s="72">
        <f>+L3592*O3592</f>
        <v>1737.6</v>
      </c>
      <c r="S3592" s="72">
        <v>0</v>
      </c>
      <c r="T3592" s="72">
        <f>+L3592*S3592</f>
        <v>0</v>
      </c>
      <c r="U3592" s="72">
        <f>+R3592-T3592</f>
        <v>1737.6</v>
      </c>
      <c r="V3592" s="72">
        <f t="shared" si="1600"/>
        <v>0</v>
      </c>
      <c r="W3592" s="72">
        <f>+U3592-V3592</f>
        <v>1737.6</v>
      </c>
      <c r="X3592" s="72">
        <v>0</v>
      </c>
      <c r="Y3592" s="14">
        <f t="shared" si="1598"/>
        <v>0</v>
      </c>
      <c r="Z3592" s="11" t="s">
        <v>26</v>
      </c>
      <c r="AA3592" s="12" t="s">
        <v>31</v>
      </c>
    </row>
    <row r="3593" spans="1:27" x14ac:dyDescent="0.25">
      <c r="A3593" s="10">
        <v>45713</v>
      </c>
      <c r="B3593" s="11" t="s">
        <v>633</v>
      </c>
      <c r="C3593" s="11" t="s">
        <v>6461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72">
        <f>M3593*P3593</f>
        <v>1550</v>
      </c>
      <c r="S3593" s="72">
        <v>0</v>
      </c>
      <c r="T3593" s="72">
        <f>M3593*S3593</f>
        <v>0</v>
      </c>
      <c r="U3593" s="72">
        <f>R3593-T3593</f>
        <v>1550</v>
      </c>
      <c r="V3593" s="72">
        <f>U3593*0</f>
        <v>0</v>
      </c>
      <c r="W3593" s="72">
        <f>U3593-V3593</f>
        <v>1550</v>
      </c>
      <c r="X3593" s="72">
        <v>0</v>
      </c>
      <c r="Y3593" s="14">
        <f t="shared" si="1598"/>
        <v>0</v>
      </c>
      <c r="Z3593" s="11" t="s">
        <v>26</v>
      </c>
      <c r="AA3593" s="12" t="s">
        <v>31</v>
      </c>
    </row>
    <row r="3594" spans="1:27" x14ac:dyDescent="0.25">
      <c r="A3594" s="10">
        <v>45713</v>
      </c>
      <c r="B3594" s="11" t="s">
        <v>386</v>
      </c>
      <c r="C3594" s="11" t="s">
        <v>6462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163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1601">L3594/M3594</f>
        <v>1.5231999999999999</v>
      </c>
      <c r="O3594" s="13" t="s">
        <v>30</v>
      </c>
      <c r="P3594" s="13">
        <v>60</v>
      </c>
      <c r="Q3594" s="13">
        <v>0</v>
      </c>
      <c r="R3594" s="72">
        <f>M3594*P3594</f>
        <v>1500</v>
      </c>
      <c r="S3594" s="72">
        <v>0</v>
      </c>
      <c r="T3594" s="72">
        <f>M3594*S3594</f>
        <v>0</v>
      </c>
      <c r="U3594" s="72">
        <f>R3594-T3594</f>
        <v>1500</v>
      </c>
      <c r="V3594" s="72">
        <f>U3594*0</f>
        <v>0</v>
      </c>
      <c r="W3594" s="72">
        <f>U3594-V3594</f>
        <v>1500</v>
      </c>
      <c r="X3594" s="72">
        <v>0</v>
      </c>
      <c r="Y3594" s="14">
        <f t="shared" si="1598"/>
        <v>0</v>
      </c>
      <c r="Z3594" s="11" t="s">
        <v>26</v>
      </c>
      <c r="AA3594" s="12" t="s">
        <v>31</v>
      </c>
    </row>
    <row r="3595" spans="1:27" x14ac:dyDescent="0.25">
      <c r="A3595" s="10">
        <v>45713</v>
      </c>
      <c r="B3595" s="11" t="s">
        <v>1137</v>
      </c>
      <c r="C3595" s="11" t="s">
        <v>6463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4465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1601"/>
        <v>1.6919999999999999</v>
      </c>
      <c r="O3595" s="13">
        <v>42.5</v>
      </c>
      <c r="P3595" s="13"/>
      <c r="Q3595" s="13">
        <v>0</v>
      </c>
      <c r="R3595" s="72">
        <f>+L3595*O3595</f>
        <v>1797.7499999999998</v>
      </c>
      <c r="S3595" s="72">
        <v>0</v>
      </c>
      <c r="T3595" s="72">
        <f>+L3595*S3595</f>
        <v>0</v>
      </c>
      <c r="U3595" s="72">
        <f>+R3595-T3595</f>
        <v>1797.7499999999998</v>
      </c>
      <c r="V3595" s="72">
        <f>+U3595*0.75</f>
        <v>1348.3124999999998</v>
      </c>
      <c r="W3595" s="72">
        <f>+U3595-V3595</f>
        <v>449.4375</v>
      </c>
      <c r="X3595" s="72">
        <v>0</v>
      </c>
      <c r="Y3595" s="14">
        <f t="shared" si="1598"/>
        <v>0</v>
      </c>
      <c r="Z3595" s="11" t="s">
        <v>26</v>
      </c>
      <c r="AA3595" s="12" t="s">
        <v>31</v>
      </c>
    </row>
    <row r="3596" spans="1:27" x14ac:dyDescent="0.25">
      <c r="A3596" s="10">
        <v>45713</v>
      </c>
      <c r="B3596" s="11" t="s">
        <v>2657</v>
      </c>
      <c r="C3596" s="11" t="s">
        <v>6464</v>
      </c>
      <c r="D3596" s="11">
        <v>18150</v>
      </c>
      <c r="E3596" s="11" t="s">
        <v>552</v>
      </c>
      <c r="F3596" s="11" t="s">
        <v>26</v>
      </c>
      <c r="G3596" s="11">
        <v>44182</v>
      </c>
      <c r="H3596" s="12" t="s">
        <v>4440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1601"/>
        <v>1.3888</v>
      </c>
      <c r="O3596" s="13">
        <v>46</v>
      </c>
      <c r="P3596" s="13" t="s">
        <v>30</v>
      </c>
      <c r="Q3596" s="13">
        <v>0</v>
      </c>
      <c r="R3596" s="72">
        <f t="shared" ref="R3596" si="1602">+L3596*O3596</f>
        <v>1597.12</v>
      </c>
      <c r="S3596" s="72">
        <v>0</v>
      </c>
      <c r="T3596" s="72">
        <f t="shared" ref="T3596" si="1603">+L3596*S3596</f>
        <v>0</v>
      </c>
      <c r="U3596" s="72">
        <f t="shared" ref="U3596" si="1604">+R3596-T3596</f>
        <v>1597.12</v>
      </c>
      <c r="V3596" s="72">
        <f>+U3596*1</f>
        <v>1597.12</v>
      </c>
      <c r="W3596" s="72">
        <f t="shared" ref="W3596" si="1605">+U3596-V3596</f>
        <v>0</v>
      </c>
      <c r="X3596" s="72">
        <v>0</v>
      </c>
      <c r="Y3596" s="14">
        <f t="shared" si="1598"/>
        <v>0</v>
      </c>
      <c r="Z3596" s="11" t="s">
        <v>26</v>
      </c>
      <c r="AA3596" s="12" t="s">
        <v>31</v>
      </c>
    </row>
    <row r="3597" spans="1:27" x14ac:dyDescent="0.25">
      <c r="A3597" s="10">
        <v>45713</v>
      </c>
      <c r="B3597" s="11" t="s">
        <v>6465</v>
      </c>
      <c r="C3597" s="11" t="s">
        <v>6466</v>
      </c>
      <c r="D3597" s="11">
        <v>18151</v>
      </c>
      <c r="E3597" s="11" t="s">
        <v>184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1601"/>
        <v>1.5408000000000002</v>
      </c>
      <c r="O3597" s="13">
        <v>40</v>
      </c>
      <c r="P3597" s="13" t="s">
        <v>30</v>
      </c>
      <c r="Q3597" s="13">
        <v>0</v>
      </c>
      <c r="R3597" s="72">
        <f>L3597*O3597</f>
        <v>1540.8000000000002</v>
      </c>
      <c r="S3597" s="72">
        <v>0</v>
      </c>
      <c r="T3597" s="72">
        <f>L3597*S3597</f>
        <v>0</v>
      </c>
      <c r="U3597" s="72">
        <f>R3597-T3597</f>
        <v>1540.8000000000002</v>
      </c>
      <c r="V3597" s="72">
        <f>U3597*0</f>
        <v>0</v>
      </c>
      <c r="W3597" s="72">
        <f>U3597-V3597</f>
        <v>1540.8000000000002</v>
      </c>
      <c r="X3597" s="72">
        <v>0</v>
      </c>
      <c r="Y3597" s="14">
        <f t="shared" si="1598"/>
        <v>0</v>
      </c>
      <c r="Z3597" s="11" t="s">
        <v>26</v>
      </c>
      <c r="AA3597" s="12" t="s">
        <v>31</v>
      </c>
    </row>
    <row r="3598" spans="1:27" x14ac:dyDescent="0.25">
      <c r="A3598" s="10">
        <v>45713</v>
      </c>
      <c r="B3598" s="11" t="s">
        <v>6467</v>
      </c>
      <c r="C3598" s="11" t="s">
        <v>6468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4439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1601"/>
        <v>1.4600000000000002</v>
      </c>
      <c r="O3598" s="13">
        <v>87</v>
      </c>
      <c r="P3598" s="13" t="s">
        <v>30</v>
      </c>
      <c r="Q3598" s="13">
        <v>0</v>
      </c>
      <c r="R3598" s="72">
        <f t="shared" ref="R3598" si="1606">L3598*O3598</f>
        <v>3683.5800000000004</v>
      </c>
      <c r="S3598" s="72">
        <v>38</v>
      </c>
      <c r="T3598" s="72">
        <f t="shared" ref="T3598" si="1607">L3598*S3598</f>
        <v>1608.92</v>
      </c>
      <c r="U3598" s="72">
        <f t="shared" ref="U3598" si="1608">R3598-T3598</f>
        <v>2074.6600000000003</v>
      </c>
      <c r="V3598" s="72">
        <f>U3598*1</f>
        <v>2074.6600000000003</v>
      </c>
      <c r="W3598" s="72">
        <f t="shared" ref="W3598" si="1609">U3598-V3598</f>
        <v>0</v>
      </c>
      <c r="X3598" s="72">
        <f>L3598*36</f>
        <v>1524.2400000000002</v>
      </c>
      <c r="Y3598" s="73">
        <f>+T3598-X3598</f>
        <v>84.679999999999836</v>
      </c>
      <c r="Z3598" s="12" t="s">
        <v>141</v>
      </c>
      <c r="AA3598" s="12" t="s">
        <v>78</v>
      </c>
    </row>
    <row r="3599" spans="1:27" x14ac:dyDescent="0.25">
      <c r="A3599" s="10">
        <v>45713</v>
      </c>
      <c r="B3599" s="11" t="s">
        <v>6469</v>
      </c>
      <c r="C3599" s="11" t="s">
        <v>6470</v>
      </c>
      <c r="D3599" s="11">
        <v>18153</v>
      </c>
      <c r="E3599" s="11" t="s">
        <v>501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1601"/>
        <v>1.4453333333333334</v>
      </c>
      <c r="O3599" s="13">
        <v>40</v>
      </c>
      <c r="P3599" s="13" t="s">
        <v>30</v>
      </c>
      <c r="Q3599" s="13">
        <v>0</v>
      </c>
      <c r="R3599" s="72">
        <f>L3599*O3599</f>
        <v>1734.4</v>
      </c>
      <c r="S3599" s="72">
        <v>0</v>
      </c>
      <c r="T3599" s="72">
        <f>L3599*S3599</f>
        <v>0</v>
      </c>
      <c r="U3599" s="72">
        <f>R3599-T3599</f>
        <v>1734.4</v>
      </c>
      <c r="V3599" s="72">
        <f>U3599*0</f>
        <v>0</v>
      </c>
      <c r="W3599" s="72">
        <f>U3599-V3599</f>
        <v>1734.4</v>
      </c>
      <c r="X3599" s="72">
        <v>0</v>
      </c>
      <c r="Y3599" s="14">
        <f t="shared" ref="Y3599" si="1610">T3599-X3599</f>
        <v>0</v>
      </c>
      <c r="Z3599" s="11" t="s">
        <v>26</v>
      </c>
      <c r="AA3599" s="12" t="s">
        <v>31</v>
      </c>
    </row>
    <row r="3600" spans="1:27" x14ac:dyDescent="0.25">
      <c r="A3600" s="10">
        <v>45713</v>
      </c>
      <c r="B3600" s="11" t="s">
        <v>2724</v>
      </c>
      <c r="C3600" s="11" t="s">
        <v>6471</v>
      </c>
      <c r="D3600" s="11">
        <v>18154</v>
      </c>
      <c r="E3600" s="11" t="s">
        <v>570</v>
      </c>
      <c r="F3600" s="11" t="s">
        <v>26</v>
      </c>
      <c r="G3600" s="11" t="s">
        <v>26</v>
      </c>
      <c r="H3600" s="12" t="s">
        <v>4439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1601"/>
        <v>1.4993103448275862</v>
      </c>
      <c r="O3600" s="13">
        <v>87</v>
      </c>
      <c r="P3600" s="13" t="s">
        <v>30</v>
      </c>
      <c r="Q3600" s="13">
        <v>0</v>
      </c>
      <c r="R3600" s="72">
        <f t="shared" ref="R3600:R3601" si="1611">L3600*O3600</f>
        <v>3782.7599999999998</v>
      </c>
      <c r="S3600" s="72">
        <v>38</v>
      </c>
      <c r="T3600" s="72">
        <f t="shared" ref="T3600:T3601" si="1612">L3600*S3600</f>
        <v>1652.2399999999998</v>
      </c>
      <c r="U3600" s="72">
        <f t="shared" ref="U3600:U3601" si="1613">R3600-T3600</f>
        <v>2130.52</v>
      </c>
      <c r="V3600" s="72">
        <f>U3600*1</f>
        <v>2130.52</v>
      </c>
      <c r="W3600" s="72">
        <f t="shared" ref="W3600:W3602" si="1614">U3600-V3600</f>
        <v>0</v>
      </c>
      <c r="X3600" s="72">
        <f>L3600*36</f>
        <v>1565.28</v>
      </c>
      <c r="Y3600" s="73">
        <f>+T3600-X3600</f>
        <v>86.959999999999809</v>
      </c>
      <c r="Z3600" s="12" t="s">
        <v>140</v>
      </c>
      <c r="AA3600" s="12" t="s">
        <v>78</v>
      </c>
    </row>
    <row r="3601" spans="1:27" x14ac:dyDescent="0.25">
      <c r="A3601" s="10">
        <v>45713</v>
      </c>
      <c r="B3601" s="11" t="s">
        <v>5485</v>
      </c>
      <c r="C3601" s="11" t="s">
        <v>6472</v>
      </c>
      <c r="D3601" s="11">
        <v>18155</v>
      </c>
      <c r="E3601" s="11" t="s">
        <v>2126</v>
      </c>
      <c r="F3601" s="11" t="s">
        <v>26</v>
      </c>
      <c r="G3601" s="11" t="s">
        <v>26</v>
      </c>
      <c r="H3601" s="12" t="s">
        <v>4439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1601"/>
        <v>1.4724137931034484</v>
      </c>
      <c r="O3601" s="13">
        <v>85</v>
      </c>
      <c r="P3601" s="13" t="s">
        <v>30</v>
      </c>
      <c r="Q3601" s="13">
        <v>0</v>
      </c>
      <c r="R3601" s="72">
        <f t="shared" si="1611"/>
        <v>3629.5000000000005</v>
      </c>
      <c r="S3601" s="72">
        <v>38</v>
      </c>
      <c r="T3601" s="72">
        <f t="shared" si="1612"/>
        <v>1622.6000000000001</v>
      </c>
      <c r="U3601" s="72">
        <f t="shared" si="1613"/>
        <v>2006.9000000000003</v>
      </c>
      <c r="V3601" s="72">
        <f>U3601*1</f>
        <v>2006.9000000000003</v>
      </c>
      <c r="W3601" s="72">
        <f t="shared" si="1614"/>
        <v>0</v>
      </c>
      <c r="X3601" s="72">
        <f>L3601*36</f>
        <v>1537.2</v>
      </c>
      <c r="Y3601" s="73">
        <f>+T3601-X3601</f>
        <v>85.400000000000091</v>
      </c>
      <c r="Z3601" s="12" t="s">
        <v>140</v>
      </c>
      <c r="AA3601" s="12" t="s">
        <v>78</v>
      </c>
    </row>
    <row r="3602" spans="1:27" x14ac:dyDescent="0.25">
      <c r="A3602" s="10">
        <v>45713</v>
      </c>
      <c r="B3602" s="11" t="s">
        <v>297</v>
      </c>
      <c r="C3602" s="11" t="s">
        <v>6473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1601"/>
        <v>1.5528</v>
      </c>
      <c r="O3602" s="13" t="s">
        <v>30</v>
      </c>
      <c r="P3602" s="13">
        <v>58</v>
      </c>
      <c r="Q3602" s="13">
        <v>0</v>
      </c>
      <c r="R3602" s="72">
        <f>M3602*P3602</f>
        <v>1450</v>
      </c>
      <c r="S3602" s="72">
        <v>0</v>
      </c>
      <c r="T3602" s="72">
        <f>M3602*S3602</f>
        <v>0</v>
      </c>
      <c r="U3602" s="72">
        <f>R3602-T3602</f>
        <v>1450</v>
      </c>
      <c r="V3602" s="72">
        <f t="shared" ref="V3602" si="1615">U3602*0</f>
        <v>0</v>
      </c>
      <c r="W3602" s="72">
        <f t="shared" si="1614"/>
        <v>1450</v>
      </c>
      <c r="X3602" s="72">
        <v>0</v>
      </c>
      <c r="Y3602" s="14">
        <f t="shared" ref="Y3602" si="1616">T3602-X3602</f>
        <v>0</v>
      </c>
      <c r="Z3602" s="11" t="s">
        <v>26</v>
      </c>
      <c r="AA3602" s="12" t="s">
        <v>31</v>
      </c>
    </row>
    <row r="3603" spans="1:27" x14ac:dyDescent="0.25">
      <c r="A3603" s="10">
        <v>45713</v>
      </c>
      <c r="B3603" s="11" t="s">
        <v>6474</v>
      </c>
      <c r="C3603" s="11" t="s">
        <v>6475</v>
      </c>
      <c r="D3603" s="11">
        <v>18157</v>
      </c>
      <c r="E3603" s="11" t="s">
        <v>605</v>
      </c>
      <c r="F3603" s="11" t="s">
        <v>26</v>
      </c>
      <c r="G3603" s="11" t="s">
        <v>26</v>
      </c>
      <c r="H3603" s="12" t="s">
        <v>4439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1601"/>
        <v>1.7847999999999999</v>
      </c>
      <c r="O3603" s="13">
        <v>83</v>
      </c>
      <c r="P3603" s="13" t="s">
        <v>30</v>
      </c>
      <c r="Q3603" s="13">
        <v>0</v>
      </c>
      <c r="R3603" s="72">
        <f>L3603*O3603</f>
        <v>3703.4599999999996</v>
      </c>
      <c r="S3603" s="72">
        <v>38</v>
      </c>
      <c r="T3603" s="72">
        <f>L3603*S3603</f>
        <v>1695.56</v>
      </c>
      <c r="U3603" s="72">
        <f>R3603-T3603</f>
        <v>2007.8999999999996</v>
      </c>
      <c r="V3603" s="72">
        <f>U3603*1</f>
        <v>2007.8999999999996</v>
      </c>
      <c r="W3603" s="72">
        <f>U3603-V3603</f>
        <v>0</v>
      </c>
      <c r="X3603" s="72">
        <f>L3603*36</f>
        <v>1606.32</v>
      </c>
      <c r="Y3603" s="73">
        <f>+T3603-X3603</f>
        <v>89.240000000000009</v>
      </c>
      <c r="Z3603" s="12" t="s">
        <v>141</v>
      </c>
      <c r="AA3603" s="12" t="s">
        <v>78</v>
      </c>
    </row>
    <row r="3604" spans="1:27" x14ac:dyDescent="0.25">
      <c r="A3604" s="10">
        <v>45713</v>
      </c>
      <c r="B3604" s="11" t="s">
        <v>6476</v>
      </c>
      <c r="C3604" s="11" t="s">
        <v>6477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4439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1601"/>
        <v>1.6880000000000002</v>
      </c>
      <c r="O3604" s="13">
        <v>83</v>
      </c>
      <c r="P3604" s="13" t="s">
        <v>30</v>
      </c>
      <c r="Q3604" s="13">
        <v>0</v>
      </c>
      <c r="R3604" s="72">
        <f>L3604*O3604</f>
        <v>3502.6000000000004</v>
      </c>
      <c r="S3604" s="72">
        <v>38</v>
      </c>
      <c r="T3604" s="72">
        <f>L3604*S3604</f>
        <v>1603.6000000000001</v>
      </c>
      <c r="U3604" s="72">
        <f>R3604-T3604</f>
        <v>1899.0000000000002</v>
      </c>
      <c r="V3604" s="72">
        <f>U3604*1</f>
        <v>1899.0000000000002</v>
      </c>
      <c r="W3604" s="72">
        <f>U3604-V3604</f>
        <v>0</v>
      </c>
      <c r="X3604" s="72">
        <f>L3604*36</f>
        <v>1519.2</v>
      </c>
      <c r="Y3604" s="73">
        <f>+T3604-X3604</f>
        <v>84.400000000000091</v>
      </c>
      <c r="Z3604" s="12" t="s">
        <v>140</v>
      </c>
      <c r="AA3604" s="12" t="s">
        <v>78</v>
      </c>
    </row>
    <row r="3605" spans="1:27" x14ac:dyDescent="0.25">
      <c r="A3605" s="10">
        <v>45713</v>
      </c>
      <c r="B3605" s="11" t="s">
        <v>5602</v>
      </c>
      <c r="C3605" s="11" t="s">
        <v>6478</v>
      </c>
      <c r="D3605" s="11">
        <v>18159</v>
      </c>
      <c r="E3605" s="11" t="s">
        <v>446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1601"/>
        <v>1.5790909090909091</v>
      </c>
      <c r="O3605" s="13">
        <v>20</v>
      </c>
      <c r="P3605" s="13" t="s">
        <v>30</v>
      </c>
      <c r="Q3605" s="13">
        <v>0</v>
      </c>
      <c r="R3605" s="72">
        <f>(L3605*O3605)-Q3605</f>
        <v>694.80000000000007</v>
      </c>
      <c r="S3605" s="72">
        <v>0</v>
      </c>
      <c r="T3605" s="72">
        <f t="shared" ref="T3605" si="1617">+L3605*S3605</f>
        <v>0</v>
      </c>
      <c r="U3605" s="72">
        <f t="shared" ref="U3605" si="1618">+R3605-T3605</f>
        <v>694.80000000000007</v>
      </c>
      <c r="V3605" s="72">
        <f t="shared" ref="V3605" si="1619">+U3605*0</f>
        <v>0</v>
      </c>
      <c r="W3605" s="72">
        <f t="shared" ref="W3605" si="1620">+U3605-V3605</f>
        <v>694.80000000000007</v>
      </c>
      <c r="X3605" s="72">
        <v>0</v>
      </c>
      <c r="Y3605" s="14">
        <f t="shared" ref="Y3605:Y3607" si="1621">T3605-X3605</f>
        <v>0</v>
      </c>
      <c r="Z3605" s="11" t="s">
        <v>26</v>
      </c>
      <c r="AA3605" s="12" t="s">
        <v>31</v>
      </c>
    </row>
    <row r="3606" spans="1:27" x14ac:dyDescent="0.25">
      <c r="A3606" s="10">
        <v>45713</v>
      </c>
      <c r="B3606" s="11" t="s">
        <v>249</v>
      </c>
      <c r="C3606" s="11" t="s">
        <v>6479</v>
      </c>
      <c r="D3606" s="11">
        <v>18160</v>
      </c>
      <c r="E3606" s="11" t="s">
        <v>461</v>
      </c>
      <c r="F3606" s="11" t="s">
        <v>26</v>
      </c>
      <c r="G3606" s="11">
        <v>58</v>
      </c>
      <c r="H3606" s="12" t="s">
        <v>4461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1601"/>
        <v>1.5630000000000002</v>
      </c>
      <c r="O3606" s="13">
        <v>30</v>
      </c>
      <c r="P3606" s="13" t="s">
        <v>30</v>
      </c>
      <c r="Q3606" s="13">
        <v>0</v>
      </c>
      <c r="R3606" s="72">
        <f>L3606*O3606</f>
        <v>937.80000000000007</v>
      </c>
      <c r="S3606" s="72">
        <v>0</v>
      </c>
      <c r="T3606" s="72">
        <f>L3606*S3606</f>
        <v>0</v>
      </c>
      <c r="U3606" s="72">
        <f>R3606-T3606</f>
        <v>937.80000000000007</v>
      </c>
      <c r="V3606" s="72">
        <f>U3606*0</f>
        <v>0</v>
      </c>
      <c r="W3606" s="72">
        <f>U3606-V3606</f>
        <v>937.80000000000007</v>
      </c>
      <c r="X3606" s="72">
        <v>0</v>
      </c>
      <c r="Y3606" s="14">
        <f t="shared" si="1621"/>
        <v>0</v>
      </c>
      <c r="Z3606" s="11" t="s">
        <v>26</v>
      </c>
      <c r="AA3606" s="12" t="s">
        <v>31</v>
      </c>
    </row>
    <row r="3607" spans="1:27" x14ac:dyDescent="0.25">
      <c r="A3607" s="10">
        <v>45713</v>
      </c>
      <c r="B3607" s="11" t="s">
        <v>1512</v>
      </c>
      <c r="C3607" s="11" t="s">
        <v>6480</v>
      </c>
      <c r="D3607" s="11">
        <v>18161</v>
      </c>
      <c r="E3607" s="11" t="s">
        <v>589</v>
      </c>
      <c r="F3607" s="11" t="s">
        <v>26</v>
      </c>
      <c r="G3607" s="11">
        <v>56939</v>
      </c>
      <c r="H3607" s="12" t="s">
        <v>4440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1601"/>
        <v>1.3944000000000001</v>
      </c>
      <c r="O3607" s="13">
        <v>45</v>
      </c>
      <c r="P3607" s="13" t="s">
        <v>30</v>
      </c>
      <c r="Q3607" s="13">
        <v>0</v>
      </c>
      <c r="R3607" s="72">
        <f>+L3607*O3607</f>
        <v>1568.7</v>
      </c>
      <c r="S3607" s="72">
        <v>0</v>
      </c>
      <c r="T3607" s="72">
        <f>+L3607*S3607</f>
        <v>0</v>
      </c>
      <c r="U3607" s="72">
        <f t="shared" ref="U3607" si="1622">+R3607-T3607</f>
        <v>1568.7</v>
      </c>
      <c r="V3607" s="72">
        <f>+U3607*1</f>
        <v>1568.7</v>
      </c>
      <c r="W3607" s="72">
        <f t="shared" ref="W3607" si="1623">+U3607-V3607</f>
        <v>0</v>
      </c>
      <c r="X3607" s="72">
        <v>0</v>
      </c>
      <c r="Y3607" s="14">
        <f t="shared" si="1621"/>
        <v>0</v>
      </c>
      <c r="Z3607" s="11" t="s">
        <v>26</v>
      </c>
      <c r="AA3607" s="12" t="s">
        <v>31</v>
      </c>
    </row>
    <row r="3608" spans="1:27" x14ac:dyDescent="0.25">
      <c r="A3608" s="10">
        <v>45713</v>
      </c>
      <c r="B3608" s="11" t="s">
        <v>6481</v>
      </c>
      <c r="C3608" s="11" t="s">
        <v>6482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4439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1601"/>
        <v>1.6816</v>
      </c>
      <c r="O3608" s="13">
        <v>83</v>
      </c>
      <c r="P3608" s="13" t="s">
        <v>30</v>
      </c>
      <c r="Q3608" s="13">
        <v>0</v>
      </c>
      <c r="R3608" s="72">
        <f>L3608*O3608</f>
        <v>3489.3199999999997</v>
      </c>
      <c r="S3608" s="72">
        <v>38</v>
      </c>
      <c r="T3608" s="72">
        <f>L3608*S3608</f>
        <v>1597.52</v>
      </c>
      <c r="U3608" s="72">
        <f>R3608-T3608</f>
        <v>1891.7999999999997</v>
      </c>
      <c r="V3608" s="72">
        <f>U3608*1</f>
        <v>1891.7999999999997</v>
      </c>
      <c r="W3608" s="72">
        <f>U3608-V3608</f>
        <v>0</v>
      </c>
      <c r="X3608" s="72">
        <f>L3608*36</f>
        <v>1513.44</v>
      </c>
      <c r="Y3608" s="73">
        <f>+T3608-X3608</f>
        <v>84.079999999999927</v>
      </c>
      <c r="Z3608" s="12" t="s">
        <v>140</v>
      </c>
      <c r="AA3608" s="12" t="s">
        <v>78</v>
      </c>
    </row>
    <row r="3609" spans="1:27" x14ac:dyDescent="0.25">
      <c r="A3609" s="10">
        <v>45713</v>
      </c>
      <c r="B3609" s="11" t="s">
        <v>5356</v>
      </c>
      <c r="C3609" s="11" t="s">
        <v>6483</v>
      </c>
      <c r="D3609" s="11">
        <v>18163</v>
      </c>
      <c r="E3609" s="11" t="s">
        <v>240</v>
      </c>
      <c r="F3609" s="11" t="s">
        <v>26</v>
      </c>
      <c r="G3609" s="11" t="s">
        <v>26</v>
      </c>
      <c r="H3609" s="12" t="s">
        <v>4439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1601"/>
        <v>1.4707142857142856</v>
      </c>
      <c r="O3609" s="13">
        <v>85</v>
      </c>
      <c r="P3609" s="13" t="s">
        <v>30</v>
      </c>
      <c r="Q3609" s="13">
        <v>0</v>
      </c>
      <c r="R3609" s="72">
        <f t="shared" ref="R3609" si="1624">L3609*O3609</f>
        <v>3500.3</v>
      </c>
      <c r="S3609" s="72">
        <v>38</v>
      </c>
      <c r="T3609" s="72">
        <f t="shared" ref="T3609" si="1625">L3609*S3609</f>
        <v>1564.84</v>
      </c>
      <c r="U3609" s="72">
        <f t="shared" ref="U3609" si="1626">R3609-T3609</f>
        <v>1935.4600000000003</v>
      </c>
      <c r="V3609" s="72">
        <f>U3609*1</f>
        <v>1935.4600000000003</v>
      </c>
      <c r="W3609" s="72">
        <f t="shared" ref="W3609" si="1627">U3609-V3609</f>
        <v>0</v>
      </c>
      <c r="X3609" s="72">
        <f>L3609*37</f>
        <v>1523.66</v>
      </c>
      <c r="Y3609" s="73">
        <f>+T3609-X3609</f>
        <v>41.179999999999836</v>
      </c>
      <c r="Z3609" s="12" t="s">
        <v>41</v>
      </c>
      <c r="AA3609" s="12" t="s">
        <v>78</v>
      </c>
    </row>
    <row r="3610" spans="1:27" x14ac:dyDescent="0.25">
      <c r="A3610" s="10">
        <v>45713</v>
      </c>
      <c r="B3610" s="11" t="s">
        <v>750</v>
      </c>
      <c r="C3610" s="11" t="s">
        <v>6484</v>
      </c>
      <c r="D3610" s="11">
        <v>18164</v>
      </c>
      <c r="E3610" s="11" t="s">
        <v>435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1601"/>
        <v>1.7008000000000001</v>
      </c>
      <c r="O3610" s="13" t="s">
        <v>30</v>
      </c>
      <c r="P3610" s="13">
        <v>24</v>
      </c>
      <c r="Q3610" s="13">
        <v>0</v>
      </c>
      <c r="R3610" s="72">
        <f>+M3610*P3610</f>
        <v>600</v>
      </c>
      <c r="S3610" s="72">
        <v>0</v>
      </c>
      <c r="T3610" s="72">
        <f>+M3610*S3610</f>
        <v>0</v>
      </c>
      <c r="U3610" s="72">
        <f t="shared" ref="U3610" si="1628">+R3610-T3610</f>
        <v>600</v>
      </c>
      <c r="V3610" s="72">
        <f>+U3610*0</f>
        <v>0</v>
      </c>
      <c r="W3610" s="72">
        <f t="shared" ref="W3610" si="1629">+U3610-V3610</f>
        <v>600</v>
      </c>
      <c r="X3610" s="72">
        <v>0</v>
      </c>
      <c r="Y3610" s="14">
        <f t="shared" ref="Y3610:Y3630" si="1630">T3610-X3610</f>
        <v>0</v>
      </c>
      <c r="Z3610" s="11" t="s">
        <v>26</v>
      </c>
      <c r="AA3610" s="12" t="s">
        <v>31</v>
      </c>
    </row>
    <row r="3611" spans="1:27" x14ac:dyDescent="0.25">
      <c r="A3611" s="10">
        <v>45713</v>
      </c>
      <c r="B3611" s="11" t="s">
        <v>6485</v>
      </c>
      <c r="C3611" s="11" t="s">
        <v>6486</v>
      </c>
      <c r="D3611" s="11">
        <v>18165</v>
      </c>
      <c r="E3611" s="11" t="s">
        <v>461</v>
      </c>
      <c r="F3611" s="11" t="s">
        <v>26</v>
      </c>
      <c r="G3611" s="11">
        <v>59</v>
      </c>
      <c r="H3611" s="12" t="s">
        <v>4461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1601"/>
        <v>1.5790476190476188</v>
      </c>
      <c r="O3611" s="13">
        <v>30</v>
      </c>
      <c r="P3611" s="13" t="s">
        <v>30</v>
      </c>
      <c r="Q3611" s="13">
        <v>0</v>
      </c>
      <c r="R3611" s="72">
        <f>L3611*O3611</f>
        <v>994.8</v>
      </c>
      <c r="S3611" s="72">
        <v>0</v>
      </c>
      <c r="T3611" s="72">
        <f>L3611*S3611</f>
        <v>0</v>
      </c>
      <c r="U3611" s="72">
        <f>R3611-T3611</f>
        <v>994.8</v>
      </c>
      <c r="V3611" s="72">
        <f>U3611*0</f>
        <v>0</v>
      </c>
      <c r="W3611" s="72">
        <f>U3611-V3611</f>
        <v>994.8</v>
      </c>
      <c r="X3611" s="72">
        <v>0</v>
      </c>
      <c r="Y3611" s="14">
        <f t="shared" si="1630"/>
        <v>0</v>
      </c>
      <c r="Z3611" s="11" t="s">
        <v>26</v>
      </c>
      <c r="AA3611" s="12" t="s">
        <v>31</v>
      </c>
    </row>
    <row r="3612" spans="1:27" x14ac:dyDescent="0.25">
      <c r="A3612" s="10">
        <v>45713</v>
      </c>
      <c r="B3612" s="11" t="s">
        <v>299</v>
      </c>
      <c r="C3612" s="11" t="s">
        <v>6487</v>
      </c>
      <c r="D3612" s="11">
        <v>18166</v>
      </c>
      <c r="E3612" s="11" t="s">
        <v>520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1601"/>
        <v>1.4668965517241379</v>
      </c>
      <c r="O3612" s="13">
        <v>40</v>
      </c>
      <c r="P3612" s="13"/>
      <c r="Q3612" s="13">
        <v>0</v>
      </c>
      <c r="R3612" s="72">
        <f>+L3612*O3612</f>
        <v>1701.6</v>
      </c>
      <c r="S3612" s="72">
        <v>0</v>
      </c>
      <c r="T3612" s="72">
        <f>+L3612*S3612</f>
        <v>0</v>
      </c>
      <c r="U3612" s="72">
        <f>+R3612-T3612</f>
        <v>1701.6</v>
      </c>
      <c r="V3612" s="72">
        <f t="shared" ref="V3612" si="1631">+U3612*0</f>
        <v>0</v>
      </c>
      <c r="W3612" s="72">
        <f>+U3612-V3612</f>
        <v>1701.6</v>
      </c>
      <c r="X3612" s="72">
        <v>0</v>
      </c>
      <c r="Y3612" s="14">
        <f t="shared" si="1630"/>
        <v>0</v>
      </c>
      <c r="Z3612" s="11" t="s">
        <v>26</v>
      </c>
      <c r="AA3612" s="12" t="s">
        <v>31</v>
      </c>
    </row>
    <row r="3613" spans="1:27" x14ac:dyDescent="0.25">
      <c r="A3613" s="10">
        <v>45713</v>
      </c>
      <c r="B3613" s="11" t="s">
        <v>1934</v>
      </c>
      <c r="C3613" s="11" t="s">
        <v>6488</v>
      </c>
      <c r="D3613" s="11">
        <v>18167</v>
      </c>
      <c r="E3613" s="11" t="s">
        <v>593</v>
      </c>
      <c r="F3613" s="11" t="s">
        <v>26</v>
      </c>
      <c r="G3613" s="11">
        <v>44350</v>
      </c>
      <c r="H3613" s="12" t="s">
        <v>4440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1601"/>
        <v>1.4463999999999999</v>
      </c>
      <c r="O3613" s="13">
        <v>46</v>
      </c>
      <c r="P3613" s="13" t="s">
        <v>30</v>
      </c>
      <c r="Q3613" s="13">
        <v>0</v>
      </c>
      <c r="R3613" s="72">
        <f t="shared" ref="R3613" si="1632">+L3613*O3613</f>
        <v>1663.36</v>
      </c>
      <c r="S3613" s="72">
        <v>0</v>
      </c>
      <c r="T3613" s="72">
        <f t="shared" ref="T3613" si="1633">+L3613*S3613</f>
        <v>0</v>
      </c>
      <c r="U3613" s="72">
        <f t="shared" ref="U3613" si="1634">+R3613-T3613</f>
        <v>1663.36</v>
      </c>
      <c r="V3613" s="72">
        <f>+U3613*1</f>
        <v>1663.36</v>
      </c>
      <c r="W3613" s="72">
        <f t="shared" ref="W3613" si="1635">+U3613-V3613</f>
        <v>0</v>
      </c>
      <c r="X3613" s="72">
        <v>0</v>
      </c>
      <c r="Y3613" s="14">
        <f t="shared" si="1630"/>
        <v>0</v>
      </c>
      <c r="Z3613" s="11" t="s">
        <v>26</v>
      </c>
      <c r="AA3613" s="12" t="s">
        <v>31</v>
      </c>
    </row>
    <row r="3614" spans="1:27" x14ac:dyDescent="0.25">
      <c r="A3614" s="10">
        <v>45713</v>
      </c>
      <c r="B3614" s="11" t="s">
        <v>3351</v>
      </c>
      <c r="C3614" s="11" t="s">
        <v>6489</v>
      </c>
      <c r="D3614" s="11">
        <v>18168</v>
      </c>
      <c r="E3614" s="11" t="s">
        <v>230</v>
      </c>
      <c r="F3614" s="11" t="s">
        <v>26</v>
      </c>
      <c r="G3614" s="11">
        <v>26217</v>
      </c>
      <c r="H3614" s="12" t="s">
        <v>565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1601"/>
        <v>1.4492857142857143</v>
      </c>
      <c r="O3614" s="13"/>
      <c r="P3614" s="13">
        <v>60</v>
      </c>
      <c r="Q3614" s="13">
        <v>0</v>
      </c>
      <c r="R3614" s="72">
        <f>M3614*P3614</f>
        <v>1680</v>
      </c>
      <c r="S3614" s="72">
        <v>0</v>
      </c>
      <c r="T3614" s="72">
        <f>M3614*S3614</f>
        <v>0</v>
      </c>
      <c r="U3614" s="72">
        <f>R3614-T3614</f>
        <v>1680</v>
      </c>
      <c r="V3614" s="72">
        <f>U3614*0</f>
        <v>0</v>
      </c>
      <c r="W3614" s="72">
        <f>+U3614-V3614</f>
        <v>1680</v>
      </c>
      <c r="X3614" s="72">
        <v>0</v>
      </c>
      <c r="Y3614" s="14">
        <f t="shared" si="1630"/>
        <v>0</v>
      </c>
      <c r="Z3614" s="11" t="s">
        <v>26</v>
      </c>
      <c r="AA3614" s="12" t="s">
        <v>31</v>
      </c>
    </row>
    <row r="3615" spans="1:27" x14ac:dyDescent="0.25">
      <c r="A3615" s="10">
        <v>45713</v>
      </c>
      <c r="B3615" s="11" t="s">
        <v>1434</v>
      </c>
      <c r="C3615" s="11" t="s">
        <v>6490</v>
      </c>
      <c r="D3615" s="11">
        <v>18169</v>
      </c>
      <c r="E3615" s="11" t="s">
        <v>2143</v>
      </c>
      <c r="F3615" s="11" t="s">
        <v>26</v>
      </c>
      <c r="G3615" s="11">
        <v>112452</v>
      </c>
      <c r="H3615" s="12" t="s">
        <v>4463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1601"/>
        <v>1.4119999999999999</v>
      </c>
      <c r="O3615" s="13">
        <v>44</v>
      </c>
      <c r="P3615" s="13" t="s">
        <v>30</v>
      </c>
      <c r="Q3615" s="13">
        <v>0</v>
      </c>
      <c r="R3615" s="72">
        <f t="shared" ref="R3615" si="1636">+L3615*O3615</f>
        <v>1553.1999999999998</v>
      </c>
      <c r="S3615" s="72">
        <v>0</v>
      </c>
      <c r="T3615" s="72">
        <f>+L3615*S3615</f>
        <v>0</v>
      </c>
      <c r="U3615" s="72">
        <f>+R3615-T3615</f>
        <v>1553.1999999999998</v>
      </c>
      <c r="V3615" s="72">
        <f>+U3615*1</f>
        <v>1553.1999999999998</v>
      </c>
      <c r="W3615" s="72">
        <f>+U3615-V3615</f>
        <v>0</v>
      </c>
      <c r="X3615" s="72">
        <v>0</v>
      </c>
      <c r="Y3615" s="14">
        <f t="shared" si="1630"/>
        <v>0</v>
      </c>
      <c r="Z3615" s="11" t="s">
        <v>26</v>
      </c>
      <c r="AA3615" s="12" t="s">
        <v>31</v>
      </c>
    </row>
    <row r="3616" spans="1:27" x14ac:dyDescent="0.25">
      <c r="A3616" s="10">
        <v>45713</v>
      </c>
      <c r="B3616" s="11" t="s">
        <v>732</v>
      </c>
      <c r="C3616" s="11" t="s">
        <v>6491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1926</v>
      </c>
      <c r="K3616" s="12" t="s">
        <v>82</v>
      </c>
      <c r="L3616" s="13">
        <v>39.659999999999997</v>
      </c>
      <c r="M3616" s="13">
        <v>25</v>
      </c>
      <c r="N3616" s="13">
        <f t="shared" si="1601"/>
        <v>1.5863999999999998</v>
      </c>
      <c r="O3616" s="13" t="s">
        <v>30</v>
      </c>
      <c r="P3616" s="13">
        <v>54</v>
      </c>
      <c r="Q3616" s="13">
        <v>0</v>
      </c>
      <c r="R3616" s="72">
        <f>M3616*P3616</f>
        <v>1350</v>
      </c>
      <c r="S3616" s="72">
        <v>0</v>
      </c>
      <c r="T3616" s="72">
        <f>M3616*S3616</f>
        <v>0</v>
      </c>
      <c r="U3616" s="72">
        <f t="shared" ref="U3616" si="1637">R3616-T3616</f>
        <v>1350</v>
      </c>
      <c r="V3616" s="72">
        <f>U3616*1</f>
        <v>1350</v>
      </c>
      <c r="W3616" s="72">
        <f>U3616-V3616</f>
        <v>0</v>
      </c>
      <c r="X3616" s="72">
        <v>0</v>
      </c>
      <c r="Y3616" s="14">
        <f t="shared" si="1630"/>
        <v>0</v>
      </c>
      <c r="Z3616" s="11" t="s">
        <v>26</v>
      </c>
      <c r="AA3616" s="12" t="s">
        <v>31</v>
      </c>
    </row>
    <row r="3617" spans="1:27" x14ac:dyDescent="0.25">
      <c r="A3617" s="10">
        <v>45713</v>
      </c>
      <c r="B3617" s="11" t="s">
        <v>623</v>
      </c>
      <c r="C3617" s="11" t="s">
        <v>6492</v>
      </c>
      <c r="D3617" s="11">
        <v>18171</v>
      </c>
      <c r="E3617" s="11" t="s">
        <v>604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1601"/>
        <v>1.5424</v>
      </c>
      <c r="O3617" s="13">
        <v>29</v>
      </c>
      <c r="P3617" s="13" t="s">
        <v>30</v>
      </c>
      <c r="Q3617" s="13">
        <v>0</v>
      </c>
      <c r="R3617" s="72">
        <f>L3617*O3617</f>
        <v>1118.24</v>
      </c>
      <c r="S3617" s="72">
        <v>0</v>
      </c>
      <c r="T3617" s="72">
        <f>L3617*S3617</f>
        <v>0</v>
      </c>
      <c r="U3617" s="72">
        <f>R3617-T3617</f>
        <v>1118.24</v>
      </c>
      <c r="V3617" s="72">
        <f>U3617*0</f>
        <v>0</v>
      </c>
      <c r="W3617" s="72">
        <f>U3617-V3617</f>
        <v>1118.24</v>
      </c>
      <c r="X3617" s="72">
        <v>0</v>
      </c>
      <c r="Y3617" s="14">
        <f t="shared" si="1630"/>
        <v>0</v>
      </c>
      <c r="Z3617" s="11" t="s">
        <v>26</v>
      </c>
      <c r="AA3617" s="12" t="s">
        <v>31</v>
      </c>
    </row>
    <row r="3618" spans="1:27" x14ac:dyDescent="0.25">
      <c r="A3618" s="10">
        <v>45713</v>
      </c>
      <c r="B3618" s="11" t="s">
        <v>375</v>
      </c>
      <c r="C3618" s="11" t="s">
        <v>6493</v>
      </c>
      <c r="D3618" s="11">
        <v>18172</v>
      </c>
      <c r="E3618" s="11" t="s">
        <v>461</v>
      </c>
      <c r="F3618" s="11" t="s">
        <v>26</v>
      </c>
      <c r="G3618" s="11">
        <v>60</v>
      </c>
      <c r="H3618" s="12" t="s">
        <v>4461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1601"/>
        <v>1.5630000000000002</v>
      </c>
      <c r="O3618" s="13">
        <v>30</v>
      </c>
      <c r="P3618" s="13" t="s">
        <v>30</v>
      </c>
      <c r="Q3618" s="13">
        <v>0</v>
      </c>
      <c r="R3618" s="72">
        <f>L3618*O3618</f>
        <v>937.80000000000007</v>
      </c>
      <c r="S3618" s="72">
        <v>0</v>
      </c>
      <c r="T3618" s="72">
        <f>L3618*S3618</f>
        <v>0</v>
      </c>
      <c r="U3618" s="72">
        <f>R3618-T3618</f>
        <v>937.80000000000007</v>
      </c>
      <c r="V3618" s="72">
        <f>U3618*0</f>
        <v>0</v>
      </c>
      <c r="W3618" s="72">
        <f>U3618-V3618</f>
        <v>937.80000000000007</v>
      </c>
      <c r="X3618" s="72">
        <v>0</v>
      </c>
      <c r="Y3618" s="14">
        <f t="shared" si="1630"/>
        <v>0</v>
      </c>
      <c r="Z3618" s="11" t="s">
        <v>26</v>
      </c>
      <c r="AA3618" s="12" t="s">
        <v>31</v>
      </c>
    </row>
    <row r="3619" spans="1:27" x14ac:dyDescent="0.25">
      <c r="A3619" s="10">
        <v>45713</v>
      </c>
      <c r="B3619" s="11" t="s">
        <v>6494</v>
      </c>
      <c r="C3619" s="11" t="s">
        <v>6495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1926</v>
      </c>
      <c r="K3619" s="12" t="s">
        <v>82</v>
      </c>
      <c r="L3619" s="13">
        <v>39.92</v>
      </c>
      <c r="M3619" s="13">
        <v>25</v>
      </c>
      <c r="N3619" s="13">
        <f t="shared" si="1601"/>
        <v>1.5968</v>
      </c>
      <c r="O3619" s="13" t="s">
        <v>30</v>
      </c>
      <c r="P3619" s="13">
        <v>54</v>
      </c>
      <c r="Q3619" s="13">
        <v>0</v>
      </c>
      <c r="R3619" s="72">
        <f>M3619*P3619</f>
        <v>1350</v>
      </c>
      <c r="S3619" s="72">
        <v>0</v>
      </c>
      <c r="T3619" s="72">
        <f>M3619*S3619</f>
        <v>0</v>
      </c>
      <c r="U3619" s="72">
        <f t="shared" ref="U3619" si="1638">R3619-T3619</f>
        <v>1350</v>
      </c>
      <c r="V3619" s="72">
        <f>U3619*1</f>
        <v>1350</v>
      </c>
      <c r="W3619" s="72">
        <f>U3619-V3619</f>
        <v>0</v>
      </c>
      <c r="X3619" s="72">
        <v>0</v>
      </c>
      <c r="Y3619" s="14">
        <f t="shared" si="1630"/>
        <v>0</v>
      </c>
      <c r="Z3619" s="11" t="s">
        <v>26</v>
      </c>
      <c r="AA3619" s="12" t="s">
        <v>31</v>
      </c>
    </row>
    <row r="3620" spans="1:27" x14ac:dyDescent="0.25">
      <c r="A3620" s="10">
        <v>45713</v>
      </c>
      <c r="B3620" s="11" t="s">
        <v>282</v>
      </c>
      <c r="C3620" s="11" t="s">
        <v>6496</v>
      </c>
      <c r="D3620" s="11">
        <v>18174</v>
      </c>
      <c r="E3620" s="11" t="s">
        <v>552</v>
      </c>
      <c r="F3620" s="11" t="s">
        <v>26</v>
      </c>
      <c r="G3620" s="11">
        <v>44183</v>
      </c>
      <c r="H3620" s="12" t="s">
        <v>4440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1601"/>
        <v>1.3104</v>
      </c>
      <c r="O3620" s="13">
        <v>46</v>
      </c>
      <c r="P3620" s="13" t="s">
        <v>30</v>
      </c>
      <c r="Q3620" s="13">
        <v>0</v>
      </c>
      <c r="R3620" s="72">
        <f t="shared" ref="R3620" si="1639">+L3620*O3620</f>
        <v>1506.9599999999998</v>
      </c>
      <c r="S3620" s="72">
        <v>0</v>
      </c>
      <c r="T3620" s="72">
        <f t="shared" ref="T3620" si="1640">+L3620*S3620</f>
        <v>0</v>
      </c>
      <c r="U3620" s="72">
        <f t="shared" ref="U3620" si="1641">+R3620-T3620</f>
        <v>1506.9599999999998</v>
      </c>
      <c r="V3620" s="72">
        <f>+U3620*1</f>
        <v>1506.9599999999998</v>
      </c>
      <c r="W3620" s="72">
        <f t="shared" ref="W3620" si="1642">+U3620-V3620</f>
        <v>0</v>
      </c>
      <c r="X3620" s="72">
        <v>0</v>
      </c>
      <c r="Y3620" s="14">
        <f t="shared" si="1630"/>
        <v>0</v>
      </c>
      <c r="Z3620" s="11" t="s">
        <v>26</v>
      </c>
      <c r="AA3620" s="12" t="s">
        <v>31</v>
      </c>
    </row>
    <row r="3621" spans="1:27" x14ac:dyDescent="0.25">
      <c r="A3621" s="10">
        <v>45713</v>
      </c>
      <c r="B3621" s="11" t="s">
        <v>5904</v>
      </c>
      <c r="C3621" s="11" t="s">
        <v>6497</v>
      </c>
      <c r="D3621" s="11">
        <v>18175</v>
      </c>
      <c r="E3621" s="11" t="s">
        <v>461</v>
      </c>
      <c r="F3621" s="11" t="s">
        <v>26</v>
      </c>
      <c r="G3621" s="11">
        <v>124</v>
      </c>
      <c r="H3621" s="12" t="s">
        <v>4461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1601"/>
        <v>1.5580000000000001</v>
      </c>
      <c r="O3621" s="13">
        <v>30</v>
      </c>
      <c r="P3621" s="13" t="s">
        <v>30</v>
      </c>
      <c r="Q3621" s="13">
        <v>0</v>
      </c>
      <c r="R3621" s="72">
        <f>L3621*O3621</f>
        <v>934.8</v>
      </c>
      <c r="S3621" s="72">
        <v>0</v>
      </c>
      <c r="T3621" s="72">
        <f>L3621*S3621</f>
        <v>0</v>
      </c>
      <c r="U3621" s="72">
        <f>R3621-T3621</f>
        <v>934.8</v>
      </c>
      <c r="V3621" s="72">
        <f>U3621*0</f>
        <v>0</v>
      </c>
      <c r="W3621" s="72">
        <f>U3621-V3621</f>
        <v>934.8</v>
      </c>
      <c r="X3621" s="72">
        <v>0</v>
      </c>
      <c r="Y3621" s="14">
        <f t="shared" si="1630"/>
        <v>0</v>
      </c>
      <c r="Z3621" s="11" t="s">
        <v>26</v>
      </c>
      <c r="AA3621" s="12" t="s">
        <v>31</v>
      </c>
    </row>
    <row r="3622" spans="1:27" x14ac:dyDescent="0.25">
      <c r="A3622" s="10">
        <v>45713</v>
      </c>
      <c r="B3622" s="11" t="s">
        <v>6043</v>
      </c>
      <c r="C3622" s="11" t="s">
        <v>6498</v>
      </c>
      <c r="D3622" s="11">
        <v>18176</v>
      </c>
      <c r="E3622" s="11" t="s">
        <v>605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1601"/>
        <v>1.6292857142857142</v>
      </c>
      <c r="O3622" s="13">
        <v>40</v>
      </c>
      <c r="P3622" s="13" t="s">
        <v>30</v>
      </c>
      <c r="Q3622" s="13">
        <v>0</v>
      </c>
      <c r="R3622" s="72">
        <f>L3622*O3622</f>
        <v>1824.8</v>
      </c>
      <c r="S3622" s="72">
        <v>0</v>
      </c>
      <c r="T3622" s="72">
        <f>L3622*S3622</f>
        <v>0</v>
      </c>
      <c r="U3622" s="72">
        <f>R3622-T3622</f>
        <v>1824.8</v>
      </c>
      <c r="V3622" s="72">
        <f>U3622*0</f>
        <v>0</v>
      </c>
      <c r="W3622" s="72">
        <f>U3622-V3622</f>
        <v>1824.8</v>
      </c>
      <c r="X3622" s="72">
        <v>0</v>
      </c>
      <c r="Y3622" s="14">
        <f t="shared" si="1630"/>
        <v>0</v>
      </c>
      <c r="Z3622" s="11" t="s">
        <v>26</v>
      </c>
      <c r="AA3622" s="12" t="s">
        <v>31</v>
      </c>
    </row>
    <row r="3623" spans="1:27" x14ac:dyDescent="0.25">
      <c r="A3623" s="10">
        <v>45713</v>
      </c>
      <c r="B3623" s="11" t="s">
        <v>1906</v>
      </c>
      <c r="C3623" s="11" t="s">
        <v>6499</v>
      </c>
      <c r="D3623" s="11">
        <v>18177</v>
      </c>
      <c r="E3623" s="11" t="s">
        <v>184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1601"/>
        <v>1.5247999999999999</v>
      </c>
      <c r="O3623" s="13">
        <v>40</v>
      </c>
      <c r="P3623" s="13" t="s">
        <v>30</v>
      </c>
      <c r="Q3623" s="13">
        <v>0</v>
      </c>
      <c r="R3623" s="72">
        <f>L3623*O3623</f>
        <v>1524.8</v>
      </c>
      <c r="S3623" s="72">
        <v>0</v>
      </c>
      <c r="T3623" s="72">
        <f>L3623*S3623</f>
        <v>0</v>
      </c>
      <c r="U3623" s="72">
        <f>R3623-T3623</f>
        <v>1524.8</v>
      </c>
      <c r="V3623" s="72">
        <f>U3623*0</f>
        <v>0</v>
      </c>
      <c r="W3623" s="72">
        <f>U3623-V3623</f>
        <v>1524.8</v>
      </c>
      <c r="X3623" s="72">
        <v>0</v>
      </c>
      <c r="Y3623" s="14">
        <f t="shared" si="1630"/>
        <v>0</v>
      </c>
      <c r="Z3623" s="11" t="s">
        <v>26</v>
      </c>
      <c r="AA3623" s="12" t="s">
        <v>31</v>
      </c>
    </row>
    <row r="3624" spans="1:27" x14ac:dyDescent="0.25">
      <c r="A3624" s="10">
        <v>45713</v>
      </c>
      <c r="B3624" s="11" t="s">
        <v>4411</v>
      </c>
      <c r="C3624" s="11" t="s">
        <v>6500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163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1601"/>
        <v>1.6543999999999999</v>
      </c>
      <c r="O3624" s="13" t="s">
        <v>30</v>
      </c>
      <c r="P3624" s="13">
        <v>64</v>
      </c>
      <c r="Q3624" s="13">
        <v>0</v>
      </c>
      <c r="R3624" s="72">
        <f>M3624*P3624</f>
        <v>1600</v>
      </c>
      <c r="S3624" s="72">
        <v>0</v>
      </c>
      <c r="T3624" s="72">
        <f>M3624*S3624</f>
        <v>0</v>
      </c>
      <c r="U3624" s="72">
        <f>R3624-T3624</f>
        <v>1600</v>
      </c>
      <c r="V3624" s="72">
        <f t="shared" ref="V3624" si="1643">U3624*0</f>
        <v>0</v>
      </c>
      <c r="W3624" s="72">
        <f t="shared" ref="W3624" si="1644">U3624-V3624</f>
        <v>1600</v>
      </c>
      <c r="X3624" s="72">
        <v>0</v>
      </c>
      <c r="Y3624" s="14">
        <f t="shared" si="1630"/>
        <v>0</v>
      </c>
      <c r="Z3624" s="11" t="s">
        <v>26</v>
      </c>
      <c r="AA3624" s="12" t="s">
        <v>31</v>
      </c>
    </row>
    <row r="3625" spans="1:27" x14ac:dyDescent="0.25">
      <c r="A3625" s="10">
        <v>45713</v>
      </c>
      <c r="B3625" s="11" t="s">
        <v>382</v>
      </c>
      <c r="C3625" s="11" t="s">
        <v>6501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1601"/>
        <v>1.4533333333333334</v>
      </c>
      <c r="O3625" s="13">
        <v>32</v>
      </c>
      <c r="P3625" s="13" t="s">
        <v>30</v>
      </c>
      <c r="Q3625" s="13">
        <v>0</v>
      </c>
      <c r="R3625" s="72">
        <f>(L3625*O3625)-Q3625</f>
        <v>139.52000000000001</v>
      </c>
      <c r="S3625" s="72">
        <v>0</v>
      </c>
      <c r="T3625" s="72">
        <f t="shared" ref="T3625" si="1645">+L3625*S3625</f>
        <v>0</v>
      </c>
      <c r="U3625" s="72">
        <f t="shared" ref="U3625" si="1646">+R3625-T3625</f>
        <v>139.52000000000001</v>
      </c>
      <c r="V3625" s="72">
        <f>+U3625*0</f>
        <v>0</v>
      </c>
      <c r="W3625" s="72">
        <f t="shared" ref="W3625" si="1647">+U3625-V3625</f>
        <v>139.52000000000001</v>
      </c>
      <c r="X3625" s="72">
        <v>0</v>
      </c>
      <c r="Y3625" s="14">
        <f t="shared" si="1630"/>
        <v>0</v>
      </c>
      <c r="Z3625" s="11" t="s">
        <v>26</v>
      </c>
      <c r="AA3625" s="12" t="s">
        <v>31</v>
      </c>
    </row>
    <row r="3626" spans="1:27" x14ac:dyDescent="0.25">
      <c r="A3626" s="10">
        <v>45713</v>
      </c>
      <c r="B3626" s="11" t="s">
        <v>6502</v>
      </c>
      <c r="C3626" s="11" t="s">
        <v>6503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1601"/>
        <v>1.4971428571428571</v>
      </c>
      <c r="O3626" s="13">
        <v>40</v>
      </c>
      <c r="P3626" s="13" t="s">
        <v>30</v>
      </c>
      <c r="Q3626" s="13">
        <v>0</v>
      </c>
      <c r="R3626" s="72">
        <f>L3626*O3626</f>
        <v>1676.8000000000002</v>
      </c>
      <c r="S3626" s="72">
        <v>0</v>
      </c>
      <c r="T3626" s="72">
        <f>L3626*S3626</f>
        <v>0</v>
      </c>
      <c r="U3626" s="72">
        <f>R3626-T3626</f>
        <v>1676.8000000000002</v>
      </c>
      <c r="V3626" s="72">
        <f>U3626*0</f>
        <v>0</v>
      </c>
      <c r="W3626" s="72">
        <f>U3626-V3626</f>
        <v>1676.8000000000002</v>
      </c>
      <c r="X3626" s="72">
        <v>0</v>
      </c>
      <c r="Y3626" s="14">
        <f t="shared" si="1630"/>
        <v>0</v>
      </c>
      <c r="Z3626" s="11" t="s">
        <v>26</v>
      </c>
      <c r="AA3626" s="12" t="s">
        <v>31</v>
      </c>
    </row>
    <row r="3627" spans="1:27" x14ac:dyDescent="0.25">
      <c r="A3627" s="10">
        <v>45713</v>
      </c>
      <c r="B3627" s="11" t="s">
        <v>6504</v>
      </c>
      <c r="C3627" s="11" t="s">
        <v>6505</v>
      </c>
      <c r="D3627" s="11">
        <v>18181</v>
      </c>
      <c r="E3627" s="11" t="s">
        <v>461</v>
      </c>
      <c r="F3627" s="11" t="s">
        <v>26</v>
      </c>
      <c r="G3627" s="11">
        <v>126</v>
      </c>
      <c r="H3627" s="12" t="s">
        <v>4461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1601"/>
        <v>1.6960000000000002</v>
      </c>
      <c r="O3627" s="13">
        <v>30</v>
      </c>
      <c r="P3627" s="13" t="s">
        <v>30</v>
      </c>
      <c r="Q3627" s="13">
        <v>0</v>
      </c>
      <c r="R3627" s="72">
        <f>L3627*O3627</f>
        <v>1017.6</v>
      </c>
      <c r="S3627" s="72">
        <v>0</v>
      </c>
      <c r="T3627" s="72">
        <f>L3627*S3627</f>
        <v>0</v>
      </c>
      <c r="U3627" s="72">
        <f>R3627-T3627</f>
        <v>1017.6</v>
      </c>
      <c r="V3627" s="72">
        <f>U3627*0</f>
        <v>0</v>
      </c>
      <c r="W3627" s="72">
        <f>U3627-V3627</f>
        <v>1017.6</v>
      </c>
      <c r="X3627" s="72">
        <v>0</v>
      </c>
      <c r="Y3627" s="14">
        <f t="shared" si="1630"/>
        <v>0</v>
      </c>
      <c r="Z3627" s="11" t="s">
        <v>26</v>
      </c>
      <c r="AA3627" s="12" t="s">
        <v>31</v>
      </c>
    </row>
    <row r="3628" spans="1:27" x14ac:dyDescent="0.25">
      <c r="A3628" s="10">
        <v>45713</v>
      </c>
      <c r="B3628" s="11" t="s">
        <v>703</v>
      </c>
      <c r="C3628" s="11" t="s">
        <v>6506</v>
      </c>
      <c r="D3628" s="11">
        <v>18182</v>
      </c>
      <c r="E3628" s="11" t="s">
        <v>435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1601"/>
        <v>1.6344000000000001</v>
      </c>
      <c r="O3628" s="13" t="s">
        <v>30</v>
      </c>
      <c r="P3628" s="13">
        <v>24</v>
      </c>
      <c r="Q3628" s="13">
        <v>0</v>
      </c>
      <c r="R3628" s="72">
        <f>+M3628*P3628</f>
        <v>600</v>
      </c>
      <c r="S3628" s="72">
        <v>0</v>
      </c>
      <c r="T3628" s="72">
        <f>+M3628*S3628</f>
        <v>0</v>
      </c>
      <c r="U3628" s="72">
        <f t="shared" ref="U3628" si="1648">+R3628-T3628</f>
        <v>600</v>
      </c>
      <c r="V3628" s="72">
        <f>+U3628*0</f>
        <v>0</v>
      </c>
      <c r="W3628" s="72">
        <f t="shared" ref="W3628" si="1649">+U3628-V3628</f>
        <v>600</v>
      </c>
      <c r="X3628" s="72">
        <v>0</v>
      </c>
      <c r="Y3628" s="14">
        <f t="shared" si="1630"/>
        <v>0</v>
      </c>
      <c r="Z3628" s="11" t="s">
        <v>26</v>
      </c>
      <c r="AA3628" s="12" t="s">
        <v>31</v>
      </c>
    </row>
    <row r="3629" spans="1:27" x14ac:dyDescent="0.25">
      <c r="A3629" s="10">
        <v>45713</v>
      </c>
      <c r="B3629" s="11" t="s">
        <v>6507</v>
      </c>
      <c r="C3629" s="11" t="s">
        <v>6508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4463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1601"/>
        <v>1.4128000000000001</v>
      </c>
      <c r="O3629" s="13">
        <v>44</v>
      </c>
      <c r="P3629" s="13" t="s">
        <v>30</v>
      </c>
      <c r="Q3629" s="13">
        <v>0</v>
      </c>
      <c r="R3629" s="72">
        <f t="shared" ref="R3629" si="1650">+L3629*O3629</f>
        <v>1554.08</v>
      </c>
      <c r="S3629" s="72">
        <v>0</v>
      </c>
      <c r="T3629" s="72">
        <f>+L3629*S3629</f>
        <v>0</v>
      </c>
      <c r="U3629" s="72">
        <f>+R3629-T3629</f>
        <v>1554.08</v>
      </c>
      <c r="V3629" s="72">
        <f>+U3629*1</f>
        <v>1554.08</v>
      </c>
      <c r="W3629" s="72">
        <f>+U3629-V3629</f>
        <v>0</v>
      </c>
      <c r="X3629" s="72">
        <v>0</v>
      </c>
      <c r="Y3629" s="14">
        <f t="shared" si="1630"/>
        <v>0</v>
      </c>
      <c r="Z3629" s="11" t="s">
        <v>26</v>
      </c>
      <c r="AA3629" s="12" t="s">
        <v>31</v>
      </c>
    </row>
    <row r="3630" spans="1:27" x14ac:dyDescent="0.25">
      <c r="A3630" s="10">
        <v>45713</v>
      </c>
      <c r="B3630" s="11" t="s">
        <v>6509</v>
      </c>
      <c r="C3630" s="11" t="s">
        <v>6510</v>
      </c>
      <c r="D3630" s="11">
        <v>18184</v>
      </c>
      <c r="E3630" s="11" t="s">
        <v>570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1601"/>
        <v>1.4606896551724138</v>
      </c>
      <c r="O3630" s="13">
        <v>40</v>
      </c>
      <c r="P3630" s="13"/>
      <c r="Q3630" s="13">
        <v>0</v>
      </c>
      <c r="R3630" s="72">
        <f>+L3630*O3630</f>
        <v>1694.4</v>
      </c>
      <c r="S3630" s="72">
        <v>0</v>
      </c>
      <c r="T3630" s="72">
        <f>+L3630*S3630</f>
        <v>0</v>
      </c>
      <c r="U3630" s="72">
        <f>+R3630-T3630</f>
        <v>1694.4</v>
      </c>
      <c r="V3630" s="72">
        <f t="shared" ref="V3630" si="1651">+U3630*0</f>
        <v>0</v>
      </c>
      <c r="W3630" s="72">
        <f>+U3630-V3630</f>
        <v>1694.4</v>
      </c>
      <c r="X3630" s="72">
        <v>0</v>
      </c>
      <c r="Y3630" s="14">
        <f t="shared" si="1630"/>
        <v>0</v>
      </c>
      <c r="Z3630" s="11" t="s">
        <v>26</v>
      </c>
      <c r="AA3630" s="12" t="s">
        <v>31</v>
      </c>
    </row>
    <row r="3631" spans="1:27" x14ac:dyDescent="0.25">
      <c r="A3631" s="10">
        <v>45713</v>
      </c>
      <c r="B3631" s="11" t="s">
        <v>6511</v>
      </c>
      <c r="C3631" s="11" t="s">
        <v>6512</v>
      </c>
      <c r="D3631" s="11">
        <v>18185</v>
      </c>
      <c r="E3631" s="11" t="s">
        <v>240</v>
      </c>
      <c r="F3631" s="11" t="s">
        <v>26</v>
      </c>
      <c r="G3631" s="11" t="s">
        <v>26</v>
      </c>
      <c r="H3631" s="12" t="s">
        <v>146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1601"/>
        <v>1.4758620689655171</v>
      </c>
      <c r="O3631" s="13">
        <v>91</v>
      </c>
      <c r="P3631" s="13" t="s">
        <v>30</v>
      </c>
      <c r="Q3631" s="13">
        <v>0</v>
      </c>
      <c r="R3631" s="72">
        <f>+L3631*O3631</f>
        <v>3894.7999999999997</v>
      </c>
      <c r="S3631" s="72">
        <v>40</v>
      </c>
      <c r="T3631" s="72">
        <f>L3631*S3631</f>
        <v>1712</v>
      </c>
      <c r="U3631" s="72">
        <f t="shared" ref="U3631" si="1652">R3631-T3631</f>
        <v>2182.7999999999997</v>
      </c>
      <c r="V3631" s="72">
        <f>U3631*1</f>
        <v>2182.7999999999997</v>
      </c>
      <c r="W3631" s="72">
        <f t="shared" ref="W3631" si="1653">U3631-V3631</f>
        <v>0</v>
      </c>
      <c r="X3631" s="72">
        <f>L3631*37</f>
        <v>1583.6</v>
      </c>
      <c r="Y3631" s="73">
        <f>+T3631-X3631</f>
        <v>128.40000000000009</v>
      </c>
      <c r="Z3631" s="12" t="s">
        <v>41</v>
      </c>
      <c r="AA3631" s="12" t="s">
        <v>79</v>
      </c>
    </row>
    <row r="3632" spans="1:27" x14ac:dyDescent="0.25">
      <c r="A3632" s="10">
        <v>45713</v>
      </c>
      <c r="B3632" s="11" t="s">
        <v>6513</v>
      </c>
      <c r="C3632" s="11" t="s">
        <v>6514</v>
      </c>
      <c r="D3632" s="11">
        <v>18186</v>
      </c>
      <c r="E3632" s="11" t="s">
        <v>589</v>
      </c>
      <c r="F3632" s="11" t="s">
        <v>26</v>
      </c>
      <c r="G3632" s="11">
        <v>56940</v>
      </c>
      <c r="H3632" s="12" t="s">
        <v>4440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1601"/>
        <v>1.3184</v>
      </c>
      <c r="O3632" s="13">
        <v>46</v>
      </c>
      <c r="P3632" s="13" t="s">
        <v>30</v>
      </c>
      <c r="Q3632" s="13">
        <v>0</v>
      </c>
      <c r="R3632" s="72">
        <f t="shared" ref="R3632" si="1654">+L3632*O3632</f>
        <v>1516.16</v>
      </c>
      <c r="S3632" s="72">
        <v>0</v>
      </c>
      <c r="T3632" s="72">
        <f t="shared" ref="T3632" si="1655">+L3632*S3632</f>
        <v>0</v>
      </c>
      <c r="U3632" s="72">
        <f t="shared" ref="U3632" si="1656">+R3632-T3632</f>
        <v>1516.16</v>
      </c>
      <c r="V3632" s="72">
        <f>+U3632*1</f>
        <v>1516.16</v>
      </c>
      <c r="W3632" s="72">
        <f t="shared" ref="W3632" si="1657">+U3632-V3632</f>
        <v>0</v>
      </c>
      <c r="X3632" s="72">
        <v>0</v>
      </c>
      <c r="Y3632" s="14">
        <f t="shared" ref="Y3632:Y3653" si="1658">T3632-X3632</f>
        <v>0</v>
      </c>
      <c r="Z3632" s="11" t="s">
        <v>26</v>
      </c>
      <c r="AA3632" s="12" t="s">
        <v>31</v>
      </c>
    </row>
    <row r="3633" spans="1:27" x14ac:dyDescent="0.25">
      <c r="A3633" s="10">
        <v>45713</v>
      </c>
      <c r="B3633" s="11" t="s">
        <v>6515</v>
      </c>
      <c r="C3633" s="11" t="s">
        <v>6516</v>
      </c>
      <c r="D3633" s="11">
        <v>18187</v>
      </c>
      <c r="E3633" s="11" t="s">
        <v>501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1601"/>
        <v>1.7519999999999998</v>
      </c>
      <c r="O3633" s="13">
        <v>40</v>
      </c>
      <c r="P3633" s="13" t="s">
        <v>30</v>
      </c>
      <c r="Q3633" s="13">
        <v>0</v>
      </c>
      <c r="R3633" s="72">
        <f>L3633*O3633</f>
        <v>1752</v>
      </c>
      <c r="S3633" s="72">
        <v>0</v>
      </c>
      <c r="T3633" s="72">
        <f>L3633*S3633</f>
        <v>0</v>
      </c>
      <c r="U3633" s="72">
        <f>R3633-T3633</f>
        <v>1752</v>
      </c>
      <c r="V3633" s="72">
        <f>U3633*0</f>
        <v>0</v>
      </c>
      <c r="W3633" s="72">
        <f>U3633-V3633</f>
        <v>1752</v>
      </c>
      <c r="X3633" s="72">
        <v>0</v>
      </c>
      <c r="Y3633" s="14">
        <f t="shared" si="1658"/>
        <v>0</v>
      </c>
      <c r="Z3633" s="11" t="s">
        <v>26</v>
      </c>
      <c r="AA3633" s="12" t="s">
        <v>31</v>
      </c>
    </row>
    <row r="3634" spans="1:27" x14ac:dyDescent="0.25">
      <c r="A3634" s="10">
        <v>45713</v>
      </c>
      <c r="B3634" s="11" t="s">
        <v>6517</v>
      </c>
      <c r="C3634" s="11" t="s">
        <v>6518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1601"/>
        <v>1.6168</v>
      </c>
      <c r="O3634" s="13" t="s">
        <v>30</v>
      </c>
      <c r="P3634" s="13">
        <v>24</v>
      </c>
      <c r="Q3634" s="13">
        <v>0</v>
      </c>
      <c r="R3634" s="72">
        <f>+M3634*P3634</f>
        <v>600</v>
      </c>
      <c r="S3634" s="72">
        <v>0</v>
      </c>
      <c r="T3634" s="72">
        <f>+M3634*S3634</f>
        <v>0</v>
      </c>
      <c r="U3634" s="72">
        <f t="shared" ref="U3634:U3636" si="1659">+R3634-T3634</f>
        <v>600</v>
      </c>
      <c r="V3634" s="72">
        <f>+U3634*0</f>
        <v>0</v>
      </c>
      <c r="W3634" s="72">
        <f t="shared" ref="W3634:W3636" si="1660">+U3634-V3634</f>
        <v>600</v>
      </c>
      <c r="X3634" s="72">
        <v>0</v>
      </c>
      <c r="Y3634" s="14">
        <f t="shared" si="1658"/>
        <v>0</v>
      </c>
      <c r="Z3634" s="11" t="s">
        <v>26</v>
      </c>
      <c r="AA3634" s="12" t="s">
        <v>31</v>
      </c>
    </row>
    <row r="3635" spans="1:27" x14ac:dyDescent="0.25">
      <c r="A3635" s="10">
        <v>45713</v>
      </c>
      <c r="B3635" s="11" t="s">
        <v>6519</v>
      </c>
      <c r="C3635" s="11" t="s">
        <v>6520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1601"/>
        <v>1.4991999999999999</v>
      </c>
      <c r="O3635" s="13" t="s">
        <v>30</v>
      </c>
      <c r="P3635" s="13">
        <v>60</v>
      </c>
      <c r="Q3635" s="13">
        <v>0</v>
      </c>
      <c r="R3635" s="72">
        <f>+M3635*P3635</f>
        <v>1500</v>
      </c>
      <c r="S3635" s="72">
        <v>0</v>
      </c>
      <c r="T3635" s="72">
        <f>+M3635*S3635</f>
        <v>0</v>
      </c>
      <c r="U3635" s="72">
        <f t="shared" si="1659"/>
        <v>1500</v>
      </c>
      <c r="V3635" s="72">
        <f>+U3635*0</f>
        <v>0</v>
      </c>
      <c r="W3635" s="72">
        <f t="shared" si="1660"/>
        <v>1500</v>
      </c>
      <c r="X3635" s="72">
        <v>0</v>
      </c>
      <c r="Y3635" s="14">
        <f t="shared" si="1658"/>
        <v>0</v>
      </c>
      <c r="Z3635" s="11" t="s">
        <v>26</v>
      </c>
      <c r="AA3635" s="12" t="s">
        <v>31</v>
      </c>
    </row>
    <row r="3636" spans="1:27" x14ac:dyDescent="0.25">
      <c r="A3636" s="10">
        <v>45713</v>
      </c>
      <c r="B3636" s="11" t="s">
        <v>6521</v>
      </c>
      <c r="C3636" s="11" t="s">
        <v>6522</v>
      </c>
      <c r="D3636" s="11">
        <v>18191</v>
      </c>
      <c r="E3636" s="11" t="s">
        <v>539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1601"/>
        <v>1.6328</v>
      </c>
      <c r="O3636" s="13" t="s">
        <v>30</v>
      </c>
      <c r="P3636" s="13">
        <v>24</v>
      </c>
      <c r="Q3636" s="13">
        <v>0</v>
      </c>
      <c r="R3636" s="72">
        <f>+M3636*P3636</f>
        <v>600</v>
      </c>
      <c r="S3636" s="72">
        <v>0</v>
      </c>
      <c r="T3636" s="72">
        <f>+M3636*S3636</f>
        <v>0</v>
      </c>
      <c r="U3636" s="72">
        <f t="shared" si="1659"/>
        <v>600</v>
      </c>
      <c r="V3636" s="72">
        <f>+U3636*0</f>
        <v>0</v>
      </c>
      <c r="W3636" s="72">
        <f t="shared" si="1660"/>
        <v>600</v>
      </c>
      <c r="X3636" s="72">
        <v>0</v>
      </c>
      <c r="Y3636" s="14">
        <f t="shared" si="1658"/>
        <v>0</v>
      </c>
      <c r="Z3636" s="11" t="s">
        <v>26</v>
      </c>
      <c r="AA3636" s="12" t="s">
        <v>31</v>
      </c>
    </row>
    <row r="3637" spans="1:27" x14ac:dyDescent="0.25">
      <c r="A3637" s="10">
        <v>45713</v>
      </c>
      <c r="B3637" s="11" t="s">
        <v>357</v>
      </c>
      <c r="C3637" s="11" t="s">
        <v>6523</v>
      </c>
      <c r="D3637" s="11">
        <v>18192</v>
      </c>
      <c r="E3637" s="11" t="s">
        <v>461</v>
      </c>
      <c r="F3637" s="11" t="s">
        <v>26</v>
      </c>
      <c r="G3637" s="11">
        <v>127</v>
      </c>
      <c r="H3637" s="12" t="s">
        <v>4461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1601"/>
        <v>1.585</v>
      </c>
      <c r="O3637" s="13">
        <v>30</v>
      </c>
      <c r="P3637" s="13" t="s">
        <v>30</v>
      </c>
      <c r="Q3637" s="13">
        <v>0</v>
      </c>
      <c r="R3637" s="72">
        <f>L3637*O3637</f>
        <v>951</v>
      </c>
      <c r="S3637" s="72">
        <v>0</v>
      </c>
      <c r="T3637" s="72">
        <f>L3637*S3637</f>
        <v>0</v>
      </c>
      <c r="U3637" s="72">
        <f>R3637-T3637</f>
        <v>951</v>
      </c>
      <c r="V3637" s="72">
        <f>U3637*0</f>
        <v>0</v>
      </c>
      <c r="W3637" s="72">
        <f>U3637-V3637</f>
        <v>951</v>
      </c>
      <c r="X3637" s="72">
        <v>0</v>
      </c>
      <c r="Y3637" s="14">
        <f t="shared" si="1658"/>
        <v>0</v>
      </c>
      <c r="Z3637" s="11" t="s">
        <v>26</v>
      </c>
      <c r="AA3637" s="12" t="s">
        <v>31</v>
      </c>
    </row>
    <row r="3638" spans="1:27" x14ac:dyDescent="0.25">
      <c r="A3638" s="10">
        <v>45713</v>
      </c>
      <c r="B3638" s="11" t="s">
        <v>4063</v>
      </c>
      <c r="C3638" s="11" t="s">
        <v>6524</v>
      </c>
      <c r="D3638" s="11">
        <v>18193</v>
      </c>
      <c r="E3638" s="11" t="s">
        <v>246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566</v>
      </c>
      <c r="K3638" s="12" t="s">
        <v>550</v>
      </c>
      <c r="L3638" s="13">
        <v>39.86</v>
      </c>
      <c r="M3638" s="13">
        <v>24</v>
      </c>
      <c r="N3638" s="13">
        <f t="shared" si="1601"/>
        <v>1.6608333333333334</v>
      </c>
      <c r="O3638" s="13">
        <v>25</v>
      </c>
      <c r="P3638" s="13"/>
      <c r="Q3638" s="13">
        <v>0</v>
      </c>
      <c r="R3638" s="72">
        <f>L3638*O3638</f>
        <v>996.5</v>
      </c>
      <c r="S3638" s="72">
        <v>0</v>
      </c>
      <c r="T3638" s="72">
        <f t="shared" ref="T3638" si="1661">L3638*S3638</f>
        <v>0</v>
      </c>
      <c r="U3638" s="72">
        <f>R3638-T3638</f>
        <v>996.5</v>
      </c>
      <c r="V3638" s="72">
        <f>U3638*0</f>
        <v>0</v>
      </c>
      <c r="W3638" s="72">
        <f>U3638-V3638</f>
        <v>996.5</v>
      </c>
      <c r="X3638" s="72">
        <v>0</v>
      </c>
      <c r="Y3638" s="14">
        <f t="shared" si="1658"/>
        <v>0</v>
      </c>
      <c r="Z3638" s="11" t="s">
        <v>26</v>
      </c>
      <c r="AA3638" s="12" t="s">
        <v>31</v>
      </c>
    </row>
    <row r="3639" spans="1:27" x14ac:dyDescent="0.25">
      <c r="A3639" s="10">
        <v>45713</v>
      </c>
      <c r="B3639" s="11" t="s">
        <v>6525</v>
      </c>
      <c r="C3639" s="11" t="s">
        <v>6526</v>
      </c>
      <c r="D3639" s="11">
        <v>18194</v>
      </c>
      <c r="E3639" s="11" t="s">
        <v>230</v>
      </c>
      <c r="F3639" s="11" t="s">
        <v>26</v>
      </c>
      <c r="G3639" s="11">
        <v>26218</v>
      </c>
      <c r="H3639" s="12" t="s">
        <v>565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1601"/>
        <v>1.6712</v>
      </c>
      <c r="O3639" s="13"/>
      <c r="P3639" s="13">
        <v>64</v>
      </c>
      <c r="Q3639" s="13">
        <v>0</v>
      </c>
      <c r="R3639" s="72">
        <f>M3639*P3639</f>
        <v>1600</v>
      </c>
      <c r="S3639" s="72">
        <v>0</v>
      </c>
      <c r="T3639" s="72">
        <f>M3639*S3639</f>
        <v>0</v>
      </c>
      <c r="U3639" s="72">
        <f>R3639-T3639</f>
        <v>1600</v>
      </c>
      <c r="V3639" s="72">
        <f>U3639*0</f>
        <v>0</v>
      </c>
      <c r="W3639" s="72">
        <f>+U3639-V3639</f>
        <v>1600</v>
      </c>
      <c r="X3639" s="72">
        <v>0</v>
      </c>
      <c r="Y3639" s="14">
        <f t="shared" si="1658"/>
        <v>0</v>
      </c>
      <c r="Z3639" s="11" t="s">
        <v>26</v>
      </c>
      <c r="AA3639" s="12" t="s">
        <v>31</v>
      </c>
    </row>
    <row r="3640" spans="1:27" x14ac:dyDescent="0.25">
      <c r="A3640" s="10">
        <v>45713</v>
      </c>
      <c r="B3640" s="11" t="s">
        <v>2573</v>
      </c>
      <c r="C3640" s="11" t="s">
        <v>6527</v>
      </c>
      <c r="D3640" s="11">
        <v>18195</v>
      </c>
      <c r="E3640" s="11" t="s">
        <v>593</v>
      </c>
      <c r="F3640" s="11" t="s">
        <v>26</v>
      </c>
      <c r="G3640" s="11">
        <v>56551</v>
      </c>
      <c r="H3640" s="12" t="s">
        <v>4440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1601"/>
        <v>1.4080000000000001</v>
      </c>
      <c r="O3640" s="13">
        <v>45</v>
      </c>
      <c r="P3640" s="13" t="s">
        <v>30</v>
      </c>
      <c r="Q3640" s="13">
        <v>0</v>
      </c>
      <c r="R3640" s="72">
        <f>+L3640*O3640</f>
        <v>1584.0000000000002</v>
      </c>
      <c r="S3640" s="72">
        <v>0</v>
      </c>
      <c r="T3640" s="72">
        <f>+L3640*S3640</f>
        <v>0</v>
      </c>
      <c r="U3640" s="72">
        <f t="shared" ref="U3640" si="1662">+R3640-T3640</f>
        <v>1584.0000000000002</v>
      </c>
      <c r="V3640" s="72">
        <f>+U3640*1</f>
        <v>1584.0000000000002</v>
      </c>
      <c r="W3640" s="72">
        <f t="shared" ref="W3640" si="1663">+U3640-V3640</f>
        <v>0</v>
      </c>
      <c r="X3640" s="72">
        <v>0</v>
      </c>
      <c r="Y3640" s="14">
        <f t="shared" si="1658"/>
        <v>0</v>
      </c>
      <c r="Z3640" s="11" t="s">
        <v>26</v>
      </c>
      <c r="AA3640" s="12" t="s">
        <v>31</v>
      </c>
    </row>
    <row r="3641" spans="1:27" x14ac:dyDescent="0.25">
      <c r="A3641" s="10">
        <v>45713</v>
      </c>
      <c r="B3641" s="11" t="s">
        <v>6528</v>
      </c>
      <c r="C3641" s="11" t="s">
        <v>6529</v>
      </c>
      <c r="D3641" s="11">
        <v>18196</v>
      </c>
      <c r="E3641" s="11" t="s">
        <v>604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1601"/>
        <v>1.4481481481481482</v>
      </c>
      <c r="O3641" s="13">
        <v>40</v>
      </c>
      <c r="P3641" s="13" t="s">
        <v>30</v>
      </c>
      <c r="Q3641" s="13">
        <v>0</v>
      </c>
      <c r="R3641" s="72">
        <f>L3641*O3641</f>
        <v>1564</v>
      </c>
      <c r="S3641" s="72">
        <v>0</v>
      </c>
      <c r="T3641" s="72">
        <f>L3641*S3641</f>
        <v>0</v>
      </c>
      <c r="U3641" s="72">
        <f>R3641-T3641</f>
        <v>1564</v>
      </c>
      <c r="V3641" s="72">
        <f>U3641*0</f>
        <v>0</v>
      </c>
      <c r="W3641" s="72">
        <f>U3641-V3641</f>
        <v>1564</v>
      </c>
      <c r="X3641" s="72">
        <v>0</v>
      </c>
      <c r="Y3641" s="14">
        <f t="shared" si="1658"/>
        <v>0</v>
      </c>
      <c r="Z3641" s="11" t="s">
        <v>26</v>
      </c>
      <c r="AA3641" s="12" t="s">
        <v>31</v>
      </c>
    </row>
    <row r="3642" spans="1:27" x14ac:dyDescent="0.25">
      <c r="A3642" s="10">
        <v>45713</v>
      </c>
      <c r="B3642" s="11" t="s">
        <v>6379</v>
      </c>
      <c r="C3642" s="11" t="s">
        <v>6530</v>
      </c>
      <c r="D3642" s="11">
        <v>18197</v>
      </c>
      <c r="E3642" s="11" t="s">
        <v>461</v>
      </c>
      <c r="F3642" s="11" t="s">
        <v>26</v>
      </c>
      <c r="G3642" s="11">
        <v>129</v>
      </c>
      <c r="H3642" s="12" t="s">
        <v>4461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1601"/>
        <v>1.5779999999999998</v>
      </c>
      <c r="O3642" s="13">
        <v>30</v>
      </c>
      <c r="P3642" s="13" t="s">
        <v>30</v>
      </c>
      <c r="Q3642" s="13">
        <v>0</v>
      </c>
      <c r="R3642" s="72">
        <f>L3642*O3642</f>
        <v>946.8</v>
      </c>
      <c r="S3642" s="72">
        <v>0</v>
      </c>
      <c r="T3642" s="72">
        <f>L3642*S3642</f>
        <v>0</v>
      </c>
      <c r="U3642" s="72">
        <f>R3642-T3642</f>
        <v>946.8</v>
      </c>
      <c r="V3642" s="72">
        <f>U3642*0</f>
        <v>0</v>
      </c>
      <c r="W3642" s="72">
        <f>U3642-V3642</f>
        <v>946.8</v>
      </c>
      <c r="X3642" s="72">
        <v>0</v>
      </c>
      <c r="Y3642" s="14">
        <f t="shared" si="1658"/>
        <v>0</v>
      </c>
      <c r="Z3642" s="11" t="s">
        <v>26</v>
      </c>
      <c r="AA3642" s="12" t="s">
        <v>31</v>
      </c>
    </row>
    <row r="3643" spans="1:27" x14ac:dyDescent="0.25">
      <c r="A3643" s="10">
        <v>45713</v>
      </c>
      <c r="B3643" s="11" t="s">
        <v>6531</v>
      </c>
      <c r="C3643" s="11" t="s">
        <v>6532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1601"/>
        <v>1.5456000000000001</v>
      </c>
      <c r="O3643" s="13" t="s">
        <v>30</v>
      </c>
      <c r="P3643" s="13">
        <v>60</v>
      </c>
      <c r="Q3643" s="13">
        <v>0</v>
      </c>
      <c r="R3643" s="72">
        <f>+M3643*P3643</f>
        <v>1500</v>
      </c>
      <c r="S3643" s="72">
        <v>0</v>
      </c>
      <c r="T3643" s="72">
        <f>+M3643*S3643</f>
        <v>0</v>
      </c>
      <c r="U3643" s="72">
        <f t="shared" ref="U3643" si="1664">+R3643-T3643</f>
        <v>1500</v>
      </c>
      <c r="V3643" s="72">
        <f>+U3643*0</f>
        <v>0</v>
      </c>
      <c r="W3643" s="72">
        <f t="shared" ref="W3643" si="1665">+U3643-V3643</f>
        <v>1500</v>
      </c>
      <c r="X3643" s="72">
        <v>0</v>
      </c>
      <c r="Y3643" s="14">
        <f t="shared" si="1658"/>
        <v>0</v>
      </c>
      <c r="Z3643" s="11" t="s">
        <v>26</v>
      </c>
      <c r="AA3643" s="12" t="s">
        <v>31</v>
      </c>
    </row>
    <row r="3644" spans="1:27" x14ac:dyDescent="0.25">
      <c r="A3644" s="10">
        <v>45713</v>
      </c>
      <c r="B3644" s="11" t="s">
        <v>6533</v>
      </c>
      <c r="C3644" s="11" t="s">
        <v>6534</v>
      </c>
      <c r="D3644" s="11">
        <v>18200</v>
      </c>
      <c r="E3644" s="11" t="s">
        <v>184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1601"/>
        <v>1.5119999999999998</v>
      </c>
      <c r="O3644" s="13">
        <v>40</v>
      </c>
      <c r="P3644" s="13" t="s">
        <v>30</v>
      </c>
      <c r="Q3644" s="13">
        <v>0</v>
      </c>
      <c r="R3644" s="72">
        <f>L3644*O3644</f>
        <v>1512</v>
      </c>
      <c r="S3644" s="72">
        <v>0</v>
      </c>
      <c r="T3644" s="72">
        <f>L3644*S3644</f>
        <v>0</v>
      </c>
      <c r="U3644" s="72">
        <f>R3644-T3644</f>
        <v>1512</v>
      </c>
      <c r="V3644" s="72">
        <f>U3644*0</f>
        <v>0</v>
      </c>
      <c r="W3644" s="72">
        <f>U3644-V3644</f>
        <v>1512</v>
      </c>
      <c r="X3644" s="72">
        <v>0</v>
      </c>
      <c r="Y3644" s="14">
        <f t="shared" si="1658"/>
        <v>0</v>
      </c>
      <c r="Z3644" s="11" t="s">
        <v>26</v>
      </c>
      <c r="AA3644" s="12" t="s">
        <v>31</v>
      </c>
    </row>
    <row r="3645" spans="1:27" x14ac:dyDescent="0.25">
      <c r="A3645" s="10">
        <v>45713</v>
      </c>
      <c r="B3645" s="11" t="s">
        <v>6535</v>
      </c>
      <c r="C3645" s="11" t="s">
        <v>6536</v>
      </c>
      <c r="D3645" s="11">
        <v>18201</v>
      </c>
      <c r="E3645" s="11" t="s">
        <v>552</v>
      </c>
      <c r="F3645" s="11" t="s">
        <v>26</v>
      </c>
      <c r="G3645" s="11">
        <v>44184</v>
      </c>
      <c r="H3645" s="12" t="s">
        <v>4440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1601"/>
        <v>1.3784000000000001</v>
      </c>
      <c r="O3645" s="13">
        <v>46</v>
      </c>
      <c r="P3645" s="13" t="s">
        <v>30</v>
      </c>
      <c r="Q3645" s="13">
        <v>0</v>
      </c>
      <c r="R3645" s="72">
        <f t="shared" ref="R3645" si="1666">+L3645*O3645</f>
        <v>1585.16</v>
      </c>
      <c r="S3645" s="72">
        <v>0</v>
      </c>
      <c r="T3645" s="72">
        <f t="shared" ref="T3645" si="1667">+L3645*S3645</f>
        <v>0</v>
      </c>
      <c r="U3645" s="72">
        <f t="shared" ref="U3645:U3647" si="1668">+R3645-T3645</f>
        <v>1585.16</v>
      </c>
      <c r="V3645" s="72">
        <f>+U3645*1</f>
        <v>1585.16</v>
      </c>
      <c r="W3645" s="72">
        <f t="shared" ref="W3645:W3647" si="1669">+U3645-V3645</f>
        <v>0</v>
      </c>
      <c r="X3645" s="72">
        <v>0</v>
      </c>
      <c r="Y3645" s="14">
        <f t="shared" si="1658"/>
        <v>0</v>
      </c>
      <c r="Z3645" s="11" t="s">
        <v>26</v>
      </c>
      <c r="AA3645" s="12" t="s">
        <v>31</v>
      </c>
    </row>
    <row r="3646" spans="1:27" x14ac:dyDescent="0.25">
      <c r="A3646" s="10">
        <v>45713</v>
      </c>
      <c r="B3646" s="11" t="s">
        <v>5832</v>
      </c>
      <c r="C3646" s="11" t="s">
        <v>6537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1601"/>
        <v>1.6765217391304348</v>
      </c>
      <c r="O3646" s="13" t="s">
        <v>30</v>
      </c>
      <c r="P3646" s="13">
        <v>24</v>
      </c>
      <c r="Q3646" s="13">
        <v>0</v>
      </c>
      <c r="R3646" s="72">
        <f>+M3646*P3646</f>
        <v>552</v>
      </c>
      <c r="S3646" s="72">
        <v>0</v>
      </c>
      <c r="T3646" s="72">
        <f>+M3646*S3646</f>
        <v>0</v>
      </c>
      <c r="U3646" s="72">
        <f t="shared" si="1668"/>
        <v>552</v>
      </c>
      <c r="V3646" s="72">
        <f>+U3646*0</f>
        <v>0</v>
      </c>
      <c r="W3646" s="72">
        <f t="shared" si="1669"/>
        <v>552</v>
      </c>
      <c r="X3646" s="72">
        <v>0</v>
      </c>
      <c r="Y3646" s="14">
        <f t="shared" si="1658"/>
        <v>0</v>
      </c>
      <c r="Z3646" s="11" t="s">
        <v>26</v>
      </c>
      <c r="AA3646" s="12" t="s">
        <v>31</v>
      </c>
    </row>
    <row r="3647" spans="1:27" x14ac:dyDescent="0.25">
      <c r="A3647" s="10">
        <v>45713</v>
      </c>
      <c r="B3647" s="11" t="s">
        <v>6538</v>
      </c>
      <c r="C3647" s="11" t="s">
        <v>6539</v>
      </c>
      <c r="D3647" s="11">
        <v>18203</v>
      </c>
      <c r="E3647" s="11" t="s">
        <v>483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1601"/>
        <v>1.7243478260869565</v>
      </c>
      <c r="O3647" s="13" t="s">
        <v>30</v>
      </c>
      <c r="P3647" s="13">
        <v>24</v>
      </c>
      <c r="Q3647" s="13">
        <v>0</v>
      </c>
      <c r="R3647" s="72">
        <f>+M3647*P3647</f>
        <v>552</v>
      </c>
      <c r="S3647" s="72">
        <v>0</v>
      </c>
      <c r="T3647" s="72">
        <f>+M3647*S3647</f>
        <v>0</v>
      </c>
      <c r="U3647" s="72">
        <f t="shared" si="1668"/>
        <v>552</v>
      </c>
      <c r="V3647" s="72">
        <f>+U3647*0</f>
        <v>0</v>
      </c>
      <c r="W3647" s="72">
        <f t="shared" si="1669"/>
        <v>552</v>
      </c>
      <c r="X3647" s="72">
        <v>0</v>
      </c>
      <c r="Y3647" s="14">
        <f t="shared" si="1658"/>
        <v>0</v>
      </c>
      <c r="Z3647" s="11" t="s">
        <v>26</v>
      </c>
      <c r="AA3647" s="12" t="s">
        <v>31</v>
      </c>
    </row>
    <row r="3648" spans="1:27" x14ac:dyDescent="0.25">
      <c r="A3648" s="10">
        <v>45713</v>
      </c>
      <c r="B3648" s="11" t="s">
        <v>6540</v>
      </c>
      <c r="C3648" s="11" t="s">
        <v>6541</v>
      </c>
      <c r="D3648" s="11">
        <v>18204</v>
      </c>
      <c r="E3648" s="11" t="s">
        <v>461</v>
      </c>
      <c r="F3648" s="11" t="s">
        <v>26</v>
      </c>
      <c r="G3648" s="11">
        <v>125</v>
      </c>
      <c r="H3648" s="12" t="s">
        <v>4461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1601"/>
        <v>1.5539999999999998</v>
      </c>
      <c r="O3648" s="13">
        <v>30</v>
      </c>
      <c r="P3648" s="13" t="s">
        <v>30</v>
      </c>
      <c r="Q3648" s="13">
        <v>0</v>
      </c>
      <c r="R3648" s="72">
        <f>L3648*O3648</f>
        <v>932.4</v>
      </c>
      <c r="S3648" s="72">
        <v>0</v>
      </c>
      <c r="T3648" s="72">
        <f>L3648*S3648</f>
        <v>0</v>
      </c>
      <c r="U3648" s="72">
        <f>R3648-T3648</f>
        <v>932.4</v>
      </c>
      <c r="V3648" s="72">
        <f>U3648*0</f>
        <v>0</v>
      </c>
      <c r="W3648" s="72">
        <f>U3648-V3648</f>
        <v>932.4</v>
      </c>
      <c r="X3648" s="72">
        <v>0</v>
      </c>
      <c r="Y3648" s="14">
        <f t="shared" si="1658"/>
        <v>0</v>
      </c>
      <c r="Z3648" s="11" t="s">
        <v>26</v>
      </c>
      <c r="AA3648" s="12" t="s">
        <v>31</v>
      </c>
    </row>
    <row r="3649" spans="1:27" x14ac:dyDescent="0.25">
      <c r="A3649" s="10">
        <v>45713</v>
      </c>
      <c r="B3649" s="11" t="s">
        <v>6245</v>
      </c>
      <c r="C3649" s="11" t="s">
        <v>6542</v>
      </c>
      <c r="D3649" s="11">
        <v>18205</v>
      </c>
      <c r="E3649" s="11" t="s">
        <v>486</v>
      </c>
      <c r="F3649" s="11" t="s">
        <v>26</v>
      </c>
      <c r="G3649" s="11">
        <v>78451</v>
      </c>
      <c r="H3649" s="12" t="s">
        <v>4465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1601"/>
        <v>1.7464</v>
      </c>
      <c r="O3649" s="13">
        <v>42.5</v>
      </c>
      <c r="P3649" s="13"/>
      <c r="Q3649" s="13">
        <v>0</v>
      </c>
      <c r="R3649" s="72">
        <f>+L3649*O3649</f>
        <v>1855.55</v>
      </c>
      <c r="S3649" s="72">
        <v>0</v>
      </c>
      <c r="T3649" s="72">
        <f>+L3649*S3649</f>
        <v>0</v>
      </c>
      <c r="U3649" s="72">
        <f>+R3649-T3649</f>
        <v>1855.55</v>
      </c>
      <c r="V3649" s="72">
        <f>+U3649*0.75</f>
        <v>1391.6624999999999</v>
      </c>
      <c r="W3649" s="72">
        <f>+U3649-V3649</f>
        <v>463.88750000000005</v>
      </c>
      <c r="X3649" s="72">
        <v>0</v>
      </c>
      <c r="Y3649" s="14">
        <f t="shared" si="1658"/>
        <v>0</v>
      </c>
      <c r="Z3649" s="11" t="s">
        <v>26</v>
      </c>
      <c r="AA3649" s="12" t="s">
        <v>31</v>
      </c>
    </row>
    <row r="3650" spans="1:27" x14ac:dyDescent="0.25">
      <c r="A3650" s="10">
        <v>45713</v>
      </c>
      <c r="B3650" s="11" t="s">
        <v>704</v>
      </c>
      <c r="C3650" s="11" t="s">
        <v>6543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1601"/>
        <v>1.5127999999999999</v>
      </c>
      <c r="O3650" s="13" t="s">
        <v>30</v>
      </c>
      <c r="P3650" s="13">
        <v>60</v>
      </c>
      <c r="Q3650" s="13">
        <v>0</v>
      </c>
      <c r="R3650" s="72">
        <f>+M3650*P3650</f>
        <v>1500</v>
      </c>
      <c r="S3650" s="72">
        <v>0</v>
      </c>
      <c r="T3650" s="72">
        <f>+M3650*S3650</f>
        <v>0</v>
      </c>
      <c r="U3650" s="72">
        <f t="shared" ref="U3650" si="1670">+R3650-T3650</f>
        <v>1500</v>
      </c>
      <c r="V3650" s="72">
        <f>+U3650*0</f>
        <v>0</v>
      </c>
      <c r="W3650" s="72">
        <f t="shared" ref="W3650" si="1671">+U3650-V3650</f>
        <v>1500</v>
      </c>
      <c r="X3650" s="72">
        <v>0</v>
      </c>
      <c r="Y3650" s="14">
        <f t="shared" si="1658"/>
        <v>0</v>
      </c>
      <c r="Z3650" s="11" t="s">
        <v>26</v>
      </c>
      <c r="AA3650" s="12" t="s">
        <v>31</v>
      </c>
    </row>
    <row r="3651" spans="1:27" x14ac:dyDescent="0.25">
      <c r="A3651" s="10">
        <v>45713</v>
      </c>
      <c r="B3651" s="11" t="s">
        <v>6544</v>
      </c>
      <c r="C3651" s="11" t="s">
        <v>6545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1601"/>
        <v>1.4620689655172414</v>
      </c>
      <c r="O3651" s="13">
        <v>40</v>
      </c>
      <c r="P3651" s="13" t="s">
        <v>30</v>
      </c>
      <c r="Q3651" s="13">
        <v>0</v>
      </c>
      <c r="R3651" s="72">
        <f>L3651*O3651</f>
        <v>1696</v>
      </c>
      <c r="S3651" s="72">
        <v>0</v>
      </c>
      <c r="T3651" s="72">
        <f>L3651*S3651</f>
        <v>0</v>
      </c>
      <c r="U3651" s="72">
        <f>R3651-T3651</f>
        <v>1696</v>
      </c>
      <c r="V3651" s="72">
        <f>U3651*0</f>
        <v>0</v>
      </c>
      <c r="W3651" s="72">
        <f>U3651-V3651</f>
        <v>1696</v>
      </c>
      <c r="X3651" s="72">
        <v>0</v>
      </c>
      <c r="Y3651" s="14">
        <f t="shared" si="1658"/>
        <v>0</v>
      </c>
      <c r="Z3651" s="11" t="s">
        <v>26</v>
      </c>
      <c r="AA3651" s="12" t="s">
        <v>31</v>
      </c>
    </row>
    <row r="3652" spans="1:27" x14ac:dyDescent="0.25">
      <c r="A3652" s="10">
        <v>45713</v>
      </c>
      <c r="B3652" s="11" t="s">
        <v>6546</v>
      </c>
      <c r="C3652" s="11" t="s">
        <v>6547</v>
      </c>
      <c r="D3652" s="11">
        <v>18208</v>
      </c>
      <c r="E3652" s="11" t="s">
        <v>461</v>
      </c>
      <c r="F3652" s="11" t="s">
        <v>26</v>
      </c>
      <c r="G3652" s="11">
        <v>134</v>
      </c>
      <c r="H3652" s="12" t="s">
        <v>4461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1601"/>
        <v>1.5740000000000001</v>
      </c>
      <c r="O3652" s="13">
        <v>30</v>
      </c>
      <c r="P3652" s="13" t="s">
        <v>30</v>
      </c>
      <c r="Q3652" s="13">
        <v>0</v>
      </c>
      <c r="R3652" s="72">
        <f>L3652*O3652</f>
        <v>944.4</v>
      </c>
      <c r="S3652" s="72">
        <v>0</v>
      </c>
      <c r="T3652" s="72">
        <f>L3652*S3652</f>
        <v>0</v>
      </c>
      <c r="U3652" s="72">
        <f>R3652-T3652</f>
        <v>944.4</v>
      </c>
      <c r="V3652" s="72">
        <f>U3652*0</f>
        <v>0</v>
      </c>
      <c r="W3652" s="72">
        <f>U3652-V3652</f>
        <v>944.4</v>
      </c>
      <c r="X3652" s="72">
        <v>0</v>
      </c>
      <c r="Y3652" s="14">
        <f t="shared" si="1658"/>
        <v>0</v>
      </c>
      <c r="Z3652" s="11" t="s">
        <v>26</v>
      </c>
      <c r="AA3652" s="12" t="s">
        <v>31</v>
      </c>
    </row>
    <row r="3653" spans="1:27" x14ac:dyDescent="0.25">
      <c r="A3653" s="10">
        <v>45713</v>
      </c>
      <c r="B3653" s="11" t="s">
        <v>469</v>
      </c>
      <c r="C3653" s="11" t="s">
        <v>6548</v>
      </c>
      <c r="D3653" s="11">
        <v>18209</v>
      </c>
      <c r="E3653" s="11" t="s">
        <v>4576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1601"/>
        <v>1.456</v>
      </c>
      <c r="O3653" s="13">
        <v>50</v>
      </c>
      <c r="P3653" s="13" t="s">
        <v>30</v>
      </c>
      <c r="Q3653" s="13">
        <v>0</v>
      </c>
      <c r="R3653" s="72">
        <f>(L3653*O3653)-Q3653</f>
        <v>728</v>
      </c>
      <c r="S3653" s="72">
        <v>0</v>
      </c>
      <c r="T3653" s="72">
        <f t="shared" ref="T3653" si="1672">+L3653*S3653</f>
        <v>0</v>
      </c>
      <c r="U3653" s="72">
        <f t="shared" ref="U3653" si="1673">+R3653-T3653</f>
        <v>728</v>
      </c>
      <c r="V3653" s="72">
        <f t="shared" ref="V3653" si="1674">+U3653*0</f>
        <v>0</v>
      </c>
      <c r="W3653" s="72">
        <f t="shared" ref="W3653" si="1675">+U3653-V3653</f>
        <v>728</v>
      </c>
      <c r="X3653" s="72">
        <v>0</v>
      </c>
      <c r="Y3653" s="14">
        <f t="shared" si="1658"/>
        <v>0</v>
      </c>
      <c r="Z3653" s="11" t="s">
        <v>26</v>
      </c>
      <c r="AA3653" s="12" t="s">
        <v>31</v>
      </c>
    </row>
    <row r="3654" spans="1:27" x14ac:dyDescent="0.25">
      <c r="A3654" s="10">
        <v>45713</v>
      </c>
      <c r="B3654" s="11" t="s">
        <v>247</v>
      </c>
      <c r="C3654" s="11" t="s">
        <v>6549</v>
      </c>
      <c r="D3654" s="11">
        <v>18210</v>
      </c>
      <c r="E3654" s="11" t="s">
        <v>240</v>
      </c>
      <c r="F3654" s="11" t="s">
        <v>26</v>
      </c>
      <c r="G3654" s="11" t="s">
        <v>26</v>
      </c>
      <c r="H3654" s="12" t="s">
        <v>4439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1601"/>
        <v>1.724</v>
      </c>
      <c r="O3654" s="13">
        <v>83</v>
      </c>
      <c r="P3654" s="13" t="s">
        <v>30</v>
      </c>
      <c r="Q3654" s="13">
        <v>0</v>
      </c>
      <c r="R3654" s="72">
        <f>L3654*O3654</f>
        <v>3577.3</v>
      </c>
      <c r="S3654" s="72">
        <v>38</v>
      </c>
      <c r="T3654" s="72">
        <f>L3654*S3654</f>
        <v>1637.8</v>
      </c>
      <c r="U3654" s="72">
        <f>R3654-T3654</f>
        <v>1939.5000000000002</v>
      </c>
      <c r="V3654" s="72">
        <f>U3654*1</f>
        <v>1939.5000000000002</v>
      </c>
      <c r="W3654" s="72">
        <f>U3654-V3654</f>
        <v>0</v>
      </c>
      <c r="X3654" s="72">
        <f>L3654*37</f>
        <v>1594.7</v>
      </c>
      <c r="Y3654" s="73">
        <f>+T3654-X3654</f>
        <v>43.099999999999909</v>
      </c>
      <c r="Z3654" s="14" t="s">
        <v>41</v>
      </c>
      <c r="AA3654" s="12" t="s">
        <v>78</v>
      </c>
    </row>
    <row r="3655" spans="1:27" x14ac:dyDescent="0.25">
      <c r="A3655" s="10">
        <v>45713</v>
      </c>
      <c r="B3655" s="11" t="s">
        <v>4152</v>
      </c>
      <c r="C3655" s="11" t="s">
        <v>6550</v>
      </c>
      <c r="D3655" s="11">
        <v>18211</v>
      </c>
      <c r="E3655" s="11" t="s">
        <v>435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1601"/>
        <v>1.6280000000000001</v>
      </c>
      <c r="O3655" s="13" t="s">
        <v>30</v>
      </c>
      <c r="P3655" s="13">
        <v>24</v>
      </c>
      <c r="Q3655" s="13">
        <v>0</v>
      </c>
      <c r="R3655" s="72">
        <f>+M3655*P3655</f>
        <v>600</v>
      </c>
      <c r="S3655" s="72">
        <v>0</v>
      </c>
      <c r="T3655" s="72">
        <f>+M3655*S3655</f>
        <v>0</v>
      </c>
      <c r="U3655" s="72">
        <f t="shared" ref="U3655" si="1676">+R3655-T3655</f>
        <v>600</v>
      </c>
      <c r="V3655" s="72">
        <f>+U3655*0</f>
        <v>0</v>
      </c>
      <c r="W3655" s="72">
        <f t="shared" ref="W3655" si="1677">+U3655-V3655</f>
        <v>600</v>
      </c>
      <c r="X3655" s="72">
        <v>0</v>
      </c>
      <c r="Y3655" s="14">
        <f t="shared" ref="Y3655:Y3668" si="1678">T3655-X3655</f>
        <v>0</v>
      </c>
      <c r="Z3655" s="11" t="s">
        <v>26</v>
      </c>
      <c r="AA3655" s="12" t="s">
        <v>31</v>
      </c>
    </row>
    <row r="3656" spans="1:27" x14ac:dyDescent="0.25">
      <c r="A3656" s="10">
        <v>45713</v>
      </c>
      <c r="B3656" s="11" t="s">
        <v>291</v>
      </c>
      <c r="C3656" s="11" t="s">
        <v>6551</v>
      </c>
      <c r="D3656" s="11">
        <v>18212</v>
      </c>
      <c r="E3656" s="11" t="s">
        <v>3803</v>
      </c>
      <c r="F3656" s="11" t="s">
        <v>26</v>
      </c>
      <c r="G3656" s="11">
        <v>24347</v>
      </c>
      <c r="H3656" s="12" t="s">
        <v>4465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1601"/>
        <v>1.7</v>
      </c>
      <c r="O3656" s="13">
        <v>42.5</v>
      </c>
      <c r="P3656" s="13"/>
      <c r="Q3656" s="13">
        <v>0</v>
      </c>
      <c r="R3656" s="72">
        <f>+L3656*O3656</f>
        <v>1806.25</v>
      </c>
      <c r="S3656" s="72">
        <v>0</v>
      </c>
      <c r="T3656" s="72">
        <f>+L3656*S3656</f>
        <v>0</v>
      </c>
      <c r="U3656" s="72">
        <f>+R3656-T3656</f>
        <v>1806.25</v>
      </c>
      <c r="V3656" s="72">
        <f>+U3656*0.75</f>
        <v>1354.6875</v>
      </c>
      <c r="W3656" s="72">
        <f>+U3656-V3656</f>
        <v>451.5625</v>
      </c>
      <c r="X3656" s="72">
        <v>0</v>
      </c>
      <c r="Y3656" s="14">
        <f t="shared" si="1678"/>
        <v>0</v>
      </c>
      <c r="Z3656" s="11" t="s">
        <v>26</v>
      </c>
      <c r="AA3656" s="12" t="s">
        <v>31</v>
      </c>
    </row>
    <row r="3657" spans="1:27" x14ac:dyDescent="0.25">
      <c r="A3657" s="10">
        <v>45713</v>
      </c>
      <c r="B3657" s="11" t="s">
        <v>1354</v>
      </c>
      <c r="C3657" s="11" t="s">
        <v>6552</v>
      </c>
      <c r="D3657" s="11">
        <v>18213</v>
      </c>
      <c r="E3657" s="11" t="s">
        <v>539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1601"/>
        <v>1.6184000000000001</v>
      </c>
      <c r="O3657" s="13" t="s">
        <v>30</v>
      </c>
      <c r="P3657" s="13">
        <v>24</v>
      </c>
      <c r="Q3657" s="13">
        <v>0</v>
      </c>
      <c r="R3657" s="72">
        <f>+M3657*P3657</f>
        <v>600</v>
      </c>
      <c r="S3657" s="72">
        <v>0</v>
      </c>
      <c r="T3657" s="72">
        <f>+M3657*S3657</f>
        <v>0</v>
      </c>
      <c r="U3657" s="72">
        <f t="shared" ref="U3657" si="1679">+R3657-T3657</f>
        <v>600</v>
      </c>
      <c r="V3657" s="72">
        <f>+U3657*0</f>
        <v>0</v>
      </c>
      <c r="W3657" s="72">
        <f t="shared" ref="W3657" si="1680">+U3657-V3657</f>
        <v>600</v>
      </c>
      <c r="X3657" s="72">
        <v>0</v>
      </c>
      <c r="Y3657" s="14">
        <f t="shared" si="1678"/>
        <v>0</v>
      </c>
      <c r="Z3657" s="11" t="s">
        <v>26</v>
      </c>
      <c r="AA3657" s="12" t="s">
        <v>31</v>
      </c>
    </row>
    <row r="3658" spans="1:27" x14ac:dyDescent="0.25">
      <c r="A3658" s="10">
        <v>45713</v>
      </c>
      <c r="B3658" s="11" t="s">
        <v>6553</v>
      </c>
      <c r="C3658" s="11" t="s">
        <v>6554</v>
      </c>
      <c r="D3658" s="11">
        <v>18214</v>
      </c>
      <c r="E3658" s="11" t="s">
        <v>1217</v>
      </c>
      <c r="F3658" s="11" t="s">
        <v>26</v>
      </c>
      <c r="G3658" s="11">
        <v>2992</v>
      </c>
      <c r="H3658" s="12" t="s">
        <v>163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1681">L3658/M3658</f>
        <v>1.5072000000000001</v>
      </c>
      <c r="O3658" s="13" t="s">
        <v>30</v>
      </c>
      <c r="P3658" s="13">
        <v>60</v>
      </c>
      <c r="Q3658" s="13">
        <v>0</v>
      </c>
      <c r="R3658" s="72">
        <f>M3658*P3658</f>
        <v>1500</v>
      </c>
      <c r="S3658" s="72">
        <v>0</v>
      </c>
      <c r="T3658" s="72">
        <f>M3658*S3658</f>
        <v>0</v>
      </c>
      <c r="U3658" s="72">
        <f>R3658-T3658</f>
        <v>1500</v>
      </c>
      <c r="V3658" s="72">
        <f>U3658*0</f>
        <v>0</v>
      </c>
      <c r="W3658" s="72">
        <f>U3658-V3658</f>
        <v>1500</v>
      </c>
      <c r="X3658" s="72">
        <v>0</v>
      </c>
      <c r="Y3658" s="14">
        <f t="shared" si="1678"/>
        <v>0</v>
      </c>
      <c r="Z3658" s="11" t="s">
        <v>26</v>
      </c>
      <c r="AA3658" s="12" t="s">
        <v>31</v>
      </c>
    </row>
    <row r="3659" spans="1:27" x14ac:dyDescent="0.25">
      <c r="A3659" s="10">
        <v>45713</v>
      </c>
      <c r="B3659" s="11" t="s">
        <v>290</v>
      </c>
      <c r="C3659" s="11" t="s">
        <v>6555</v>
      </c>
      <c r="D3659" s="11">
        <v>18215</v>
      </c>
      <c r="E3659" s="11" t="s">
        <v>6071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1681"/>
        <v>1.68</v>
      </c>
      <c r="O3659" s="13">
        <v>15</v>
      </c>
      <c r="P3659" s="13"/>
      <c r="Q3659" s="13">
        <v>0</v>
      </c>
      <c r="R3659" s="72">
        <f>+L3659*O3659</f>
        <v>630</v>
      </c>
      <c r="S3659" s="72">
        <v>0</v>
      </c>
      <c r="T3659" s="72">
        <f>+L3659*S3659</f>
        <v>0</v>
      </c>
      <c r="U3659" s="72">
        <f>+R3659-T3659</f>
        <v>630</v>
      </c>
      <c r="V3659" s="72">
        <f t="shared" ref="V3659" si="1682">+U3659*0</f>
        <v>0</v>
      </c>
      <c r="W3659" s="72">
        <f>+U3659-V3659</f>
        <v>630</v>
      </c>
      <c r="X3659" s="72">
        <v>0</v>
      </c>
      <c r="Y3659" s="14">
        <f t="shared" si="1678"/>
        <v>0</v>
      </c>
      <c r="Z3659" s="11" t="s">
        <v>26</v>
      </c>
      <c r="AA3659" s="12" t="s">
        <v>31</v>
      </c>
    </row>
    <row r="3660" spans="1:27" x14ac:dyDescent="0.25">
      <c r="A3660" s="10">
        <v>45713</v>
      </c>
      <c r="B3660" s="11" t="s">
        <v>3914</v>
      </c>
      <c r="C3660" s="11" t="s">
        <v>6556</v>
      </c>
      <c r="D3660" s="11">
        <v>18216</v>
      </c>
      <c r="E3660" s="11" t="s">
        <v>544</v>
      </c>
      <c r="F3660" s="11" t="s">
        <v>26</v>
      </c>
      <c r="G3660" s="11">
        <v>78508</v>
      </c>
      <c r="H3660" s="12" t="s">
        <v>4465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1681"/>
        <v>1.7775999999999998</v>
      </c>
      <c r="O3660" s="13">
        <v>42.5</v>
      </c>
      <c r="P3660" s="13"/>
      <c r="Q3660" s="13">
        <v>0</v>
      </c>
      <c r="R3660" s="72">
        <f>+L3660*O3660</f>
        <v>1888.6999999999998</v>
      </c>
      <c r="S3660" s="72">
        <v>0</v>
      </c>
      <c r="T3660" s="72">
        <f>+L3660*S3660</f>
        <v>0</v>
      </c>
      <c r="U3660" s="72">
        <f>+R3660-T3660</f>
        <v>1888.6999999999998</v>
      </c>
      <c r="V3660" s="72">
        <f>+U3660*0.75</f>
        <v>1416.5249999999999</v>
      </c>
      <c r="W3660" s="72">
        <f>+U3660-V3660</f>
        <v>472.17499999999995</v>
      </c>
      <c r="X3660" s="72">
        <v>0</v>
      </c>
      <c r="Y3660" s="14">
        <f t="shared" si="1678"/>
        <v>0</v>
      </c>
      <c r="Z3660" s="11" t="s">
        <v>26</v>
      </c>
      <c r="AA3660" s="12" t="s">
        <v>31</v>
      </c>
    </row>
    <row r="3661" spans="1:27" x14ac:dyDescent="0.25">
      <c r="A3661" s="10">
        <v>45713</v>
      </c>
      <c r="B3661" s="11" t="s">
        <v>3693</v>
      </c>
      <c r="C3661" s="11" t="s">
        <v>6557</v>
      </c>
      <c r="D3661" s="11">
        <v>18217</v>
      </c>
      <c r="E3661" s="11" t="s">
        <v>230</v>
      </c>
      <c r="F3661" s="11" t="s">
        <v>26</v>
      </c>
      <c r="G3661" s="11">
        <v>26219</v>
      </c>
      <c r="H3661" s="12" t="s">
        <v>565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1681"/>
        <v>1.4264285714285714</v>
      </c>
      <c r="O3661" s="13"/>
      <c r="P3661" s="13">
        <v>60</v>
      </c>
      <c r="Q3661" s="13">
        <v>0</v>
      </c>
      <c r="R3661" s="72">
        <f>M3661*P3661</f>
        <v>1680</v>
      </c>
      <c r="S3661" s="72">
        <v>0</v>
      </c>
      <c r="T3661" s="72">
        <f>M3661*S3661</f>
        <v>0</v>
      </c>
      <c r="U3661" s="72">
        <f>R3661-T3661</f>
        <v>1680</v>
      </c>
      <c r="V3661" s="72">
        <f>U3661*0</f>
        <v>0</v>
      </c>
      <c r="W3661" s="72">
        <f>+U3661-V3661</f>
        <v>1680</v>
      </c>
      <c r="X3661" s="72">
        <v>0</v>
      </c>
      <c r="Y3661" s="14">
        <f t="shared" si="1678"/>
        <v>0</v>
      </c>
      <c r="Z3661" s="11" t="s">
        <v>26</v>
      </c>
      <c r="AA3661" s="12" t="s">
        <v>31</v>
      </c>
    </row>
    <row r="3662" spans="1:27" x14ac:dyDescent="0.25">
      <c r="A3662" s="10">
        <v>45713</v>
      </c>
      <c r="B3662" s="11" t="s">
        <v>1792</v>
      </c>
      <c r="C3662" s="11" t="s">
        <v>6558</v>
      </c>
      <c r="D3662" s="11">
        <v>18218</v>
      </c>
      <c r="E3662" s="11" t="s">
        <v>604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1681"/>
        <v>1.4562962962962962</v>
      </c>
      <c r="O3662" s="13">
        <v>40</v>
      </c>
      <c r="P3662" s="13" t="s">
        <v>30</v>
      </c>
      <c r="Q3662" s="13">
        <v>0</v>
      </c>
      <c r="R3662" s="72">
        <f>L3662*O3662</f>
        <v>1572.8</v>
      </c>
      <c r="S3662" s="72">
        <v>0</v>
      </c>
      <c r="T3662" s="72">
        <f>L3662*S3662</f>
        <v>0</v>
      </c>
      <c r="U3662" s="72">
        <f>R3662-T3662</f>
        <v>1572.8</v>
      </c>
      <c r="V3662" s="72">
        <f>U3662*0</f>
        <v>0</v>
      </c>
      <c r="W3662" s="72">
        <f>U3662-V3662</f>
        <v>1572.8</v>
      </c>
      <c r="X3662" s="72">
        <v>0</v>
      </c>
      <c r="Y3662" s="14">
        <f t="shared" si="1678"/>
        <v>0</v>
      </c>
      <c r="Z3662" s="11" t="s">
        <v>26</v>
      </c>
      <c r="AA3662" s="12" t="s">
        <v>31</v>
      </c>
    </row>
    <row r="3663" spans="1:27" x14ac:dyDescent="0.25">
      <c r="A3663" s="10">
        <v>45713</v>
      </c>
      <c r="B3663" s="11" t="s">
        <v>6559</v>
      </c>
      <c r="C3663" s="11" t="s">
        <v>6560</v>
      </c>
      <c r="D3663" s="11">
        <v>18219</v>
      </c>
      <c r="E3663" s="11" t="s">
        <v>246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566</v>
      </c>
      <c r="K3663" s="12" t="s">
        <v>550</v>
      </c>
      <c r="L3663" s="13">
        <v>40.18</v>
      </c>
      <c r="M3663" s="13">
        <v>25</v>
      </c>
      <c r="N3663" s="13">
        <f t="shared" si="1681"/>
        <v>1.6072</v>
      </c>
      <c r="O3663" s="13">
        <v>25</v>
      </c>
      <c r="P3663" s="13"/>
      <c r="Q3663" s="13">
        <v>0</v>
      </c>
      <c r="R3663" s="72">
        <f>L3663*O3663</f>
        <v>1004.5</v>
      </c>
      <c r="S3663" s="72">
        <v>0</v>
      </c>
      <c r="T3663" s="72">
        <f t="shared" ref="T3663" si="1683">L3663*S3663</f>
        <v>0</v>
      </c>
      <c r="U3663" s="72">
        <f>R3663-T3663</f>
        <v>1004.5</v>
      </c>
      <c r="V3663" s="72">
        <f>U3663*0</f>
        <v>0</v>
      </c>
      <c r="W3663" s="72">
        <f>U3663-V3663</f>
        <v>1004.5</v>
      </c>
      <c r="X3663" s="72">
        <v>0</v>
      </c>
      <c r="Y3663" s="14">
        <f t="shared" si="1678"/>
        <v>0</v>
      </c>
      <c r="Z3663" s="11" t="s">
        <v>26</v>
      </c>
      <c r="AA3663" s="12" t="s">
        <v>31</v>
      </c>
    </row>
    <row r="3664" spans="1:27" x14ac:dyDescent="0.25">
      <c r="A3664" s="10">
        <v>45713</v>
      </c>
      <c r="B3664" s="11" t="s">
        <v>6561</v>
      </c>
      <c r="C3664" s="11" t="s">
        <v>6562</v>
      </c>
      <c r="D3664" s="11">
        <v>18220</v>
      </c>
      <c r="E3664" s="11" t="s">
        <v>593</v>
      </c>
      <c r="F3664" s="11" t="s">
        <v>26</v>
      </c>
      <c r="G3664" s="11">
        <v>56552</v>
      </c>
      <c r="H3664" s="12" t="s">
        <v>4440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1681"/>
        <v>1.4063999999999999</v>
      </c>
      <c r="O3664" s="13">
        <v>45</v>
      </c>
      <c r="P3664" s="13" t="s">
        <v>30</v>
      </c>
      <c r="Q3664" s="13">
        <v>0</v>
      </c>
      <c r="R3664" s="72">
        <f>+L3664*O3664</f>
        <v>1582.1999999999998</v>
      </c>
      <c r="S3664" s="72">
        <v>0</v>
      </c>
      <c r="T3664" s="72">
        <f>+L3664*S3664</f>
        <v>0</v>
      </c>
      <c r="U3664" s="72">
        <f t="shared" ref="U3664" si="1684">+R3664-T3664</f>
        <v>1582.1999999999998</v>
      </c>
      <c r="V3664" s="72">
        <f>+U3664*1</f>
        <v>1582.1999999999998</v>
      </c>
      <c r="W3664" s="72">
        <f t="shared" ref="W3664" si="1685">+U3664-V3664</f>
        <v>0</v>
      </c>
      <c r="X3664" s="72">
        <v>0</v>
      </c>
      <c r="Y3664" s="14">
        <f t="shared" si="1678"/>
        <v>0</v>
      </c>
      <c r="Z3664" s="11" t="s">
        <v>26</v>
      </c>
      <c r="AA3664" s="12" t="s">
        <v>31</v>
      </c>
    </row>
    <row r="3665" spans="1:27" x14ac:dyDescent="0.25">
      <c r="A3665" s="10">
        <v>45713</v>
      </c>
      <c r="B3665" s="11" t="s">
        <v>378</v>
      </c>
      <c r="C3665" s="11" t="s">
        <v>6563</v>
      </c>
      <c r="D3665" s="11">
        <v>18221</v>
      </c>
      <c r="E3665" s="11" t="s">
        <v>505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1681"/>
        <v>1.4550000000000001</v>
      </c>
      <c r="O3665" s="13">
        <v>40</v>
      </c>
      <c r="P3665" s="13" t="s">
        <v>30</v>
      </c>
      <c r="Q3665" s="13">
        <v>0</v>
      </c>
      <c r="R3665" s="72">
        <f>L3665*O3665</f>
        <v>1629.6000000000001</v>
      </c>
      <c r="S3665" s="72">
        <v>0</v>
      </c>
      <c r="T3665" s="72">
        <f>L3665*S3665</f>
        <v>0</v>
      </c>
      <c r="U3665" s="72">
        <f>R3665-T3665</f>
        <v>1629.6000000000001</v>
      </c>
      <c r="V3665" s="72">
        <f>U3665*0</f>
        <v>0</v>
      </c>
      <c r="W3665" s="72">
        <f>U3665-V3665</f>
        <v>1629.6000000000001</v>
      </c>
      <c r="X3665" s="72">
        <v>0</v>
      </c>
      <c r="Y3665" s="14">
        <f t="shared" si="1678"/>
        <v>0</v>
      </c>
      <c r="Z3665" s="11" t="s">
        <v>26</v>
      </c>
      <c r="AA3665" s="12" t="s">
        <v>31</v>
      </c>
    </row>
    <row r="3666" spans="1:27" x14ac:dyDescent="0.25">
      <c r="A3666" s="10">
        <v>45713</v>
      </c>
      <c r="B3666" s="11" t="s">
        <v>6564</v>
      </c>
      <c r="C3666" s="11" t="s">
        <v>6565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1681"/>
        <v>1.6568000000000001</v>
      </c>
      <c r="O3666" s="13" t="s">
        <v>30</v>
      </c>
      <c r="P3666" s="13">
        <v>24</v>
      </c>
      <c r="Q3666" s="13">
        <v>0</v>
      </c>
      <c r="R3666" s="72">
        <f>+M3666*P3666</f>
        <v>600</v>
      </c>
      <c r="S3666" s="72">
        <v>0</v>
      </c>
      <c r="T3666" s="72">
        <f>+M3666*S3666</f>
        <v>0</v>
      </c>
      <c r="U3666" s="72">
        <f t="shared" ref="U3666:U3667" si="1686">+R3666-T3666</f>
        <v>600</v>
      </c>
      <c r="V3666" s="72">
        <f>+U3666*0</f>
        <v>0</v>
      </c>
      <c r="W3666" s="72">
        <f t="shared" ref="W3666:W3667" si="1687">+U3666-V3666</f>
        <v>600</v>
      </c>
      <c r="X3666" s="72">
        <v>0</v>
      </c>
      <c r="Y3666" s="14">
        <f t="shared" si="1678"/>
        <v>0</v>
      </c>
      <c r="Z3666" s="11" t="s">
        <v>26</v>
      </c>
      <c r="AA3666" s="12" t="s">
        <v>31</v>
      </c>
    </row>
    <row r="3667" spans="1:27" x14ac:dyDescent="0.25">
      <c r="A3667" s="10">
        <v>45713</v>
      </c>
      <c r="B3667" s="11" t="s">
        <v>6438</v>
      </c>
      <c r="C3667" s="11" t="s">
        <v>6566</v>
      </c>
      <c r="D3667" s="11">
        <v>18223</v>
      </c>
      <c r="E3667" s="11" t="s">
        <v>3654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1681"/>
        <v>1.417142857142857</v>
      </c>
      <c r="O3667" s="13">
        <v>45</v>
      </c>
      <c r="P3667" s="13" t="s">
        <v>30</v>
      </c>
      <c r="Q3667" s="13">
        <v>0</v>
      </c>
      <c r="R3667" s="72">
        <f>(L3667*O3667)-Q3667</f>
        <v>446.4</v>
      </c>
      <c r="S3667" s="72">
        <v>0</v>
      </c>
      <c r="T3667" s="72">
        <f t="shared" ref="T3667" si="1688">+L3667*S3667</f>
        <v>0</v>
      </c>
      <c r="U3667" s="72">
        <f t="shared" si="1686"/>
        <v>446.4</v>
      </c>
      <c r="V3667" s="72">
        <f>+U3667*0</f>
        <v>0</v>
      </c>
      <c r="W3667" s="72">
        <f t="shared" si="1687"/>
        <v>446.4</v>
      </c>
      <c r="X3667" s="72">
        <v>0</v>
      </c>
      <c r="Y3667" s="14">
        <f t="shared" si="1678"/>
        <v>0</v>
      </c>
      <c r="Z3667" s="11" t="s">
        <v>26</v>
      </c>
      <c r="AA3667" s="12" t="s">
        <v>31</v>
      </c>
    </row>
    <row r="3668" spans="1:27" x14ac:dyDescent="0.25">
      <c r="A3668" s="10">
        <v>45713</v>
      </c>
      <c r="B3668" s="11" t="s">
        <v>1213</v>
      </c>
      <c r="C3668" s="11" t="s">
        <v>6567</v>
      </c>
      <c r="D3668" s="11">
        <v>18224</v>
      </c>
      <c r="E3668" s="11" t="s">
        <v>2143</v>
      </c>
      <c r="F3668" s="11" t="s">
        <v>26</v>
      </c>
      <c r="G3668" s="11">
        <v>112478</v>
      </c>
      <c r="H3668" s="12" t="s">
        <v>4463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1681"/>
        <v>1.4916666666666665</v>
      </c>
      <c r="O3668" s="13">
        <v>44</v>
      </c>
      <c r="P3668" s="13" t="s">
        <v>30</v>
      </c>
      <c r="Q3668" s="13">
        <v>0</v>
      </c>
      <c r="R3668" s="72">
        <f t="shared" ref="R3668" si="1689">+L3668*O3668</f>
        <v>1575.1999999999998</v>
      </c>
      <c r="S3668" s="72">
        <v>0</v>
      </c>
      <c r="T3668" s="72">
        <f>+L3668*S3668</f>
        <v>0</v>
      </c>
      <c r="U3668" s="72">
        <f>+R3668-T3668</f>
        <v>1575.1999999999998</v>
      </c>
      <c r="V3668" s="72">
        <f>+U3668*1</f>
        <v>1575.1999999999998</v>
      </c>
      <c r="W3668" s="72">
        <f>+U3668-V3668</f>
        <v>0</v>
      </c>
      <c r="X3668" s="72">
        <v>0</v>
      </c>
      <c r="Y3668" s="14">
        <f t="shared" si="1678"/>
        <v>0</v>
      </c>
      <c r="Z3668" s="11" t="s">
        <v>26</v>
      </c>
      <c r="AA3668" s="12" t="s">
        <v>31</v>
      </c>
    </row>
    <row r="3669" spans="1:27" x14ac:dyDescent="0.25">
      <c r="A3669" s="10">
        <v>45714</v>
      </c>
      <c r="B3669" s="11" t="s">
        <v>5450</v>
      </c>
      <c r="C3669" s="11" t="s">
        <v>6568</v>
      </c>
      <c r="D3669" s="11">
        <v>18225</v>
      </c>
      <c r="E3669" s="11" t="s">
        <v>501</v>
      </c>
      <c r="F3669" s="11" t="s">
        <v>26</v>
      </c>
      <c r="G3669" s="11" t="s">
        <v>26</v>
      </c>
      <c r="H3669" s="12" t="s">
        <v>4439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72">
        <f t="shared" ref="R3669" si="1690">L3669*O3669</f>
        <v>3551.3</v>
      </c>
      <c r="S3669" s="72">
        <v>38</v>
      </c>
      <c r="T3669" s="72">
        <f t="shared" ref="T3669" si="1691">L3669*S3669</f>
        <v>1587.64</v>
      </c>
      <c r="U3669" s="72">
        <f t="shared" ref="U3669" si="1692">R3669-T3669</f>
        <v>1963.66</v>
      </c>
      <c r="V3669" s="72">
        <f>U3669*1</f>
        <v>1963.66</v>
      </c>
      <c r="W3669" s="72">
        <f t="shared" ref="W3669" si="1693">U3669-V3669</f>
        <v>0</v>
      </c>
      <c r="X3669" s="72">
        <f>L3669*36</f>
        <v>1504.08</v>
      </c>
      <c r="Y3669" s="73">
        <f>+T3669-X3669</f>
        <v>83.560000000000173</v>
      </c>
      <c r="Z3669" s="12" t="s">
        <v>141</v>
      </c>
      <c r="AA3669" s="12" t="s">
        <v>78</v>
      </c>
    </row>
    <row r="3670" spans="1:27" x14ac:dyDescent="0.25">
      <c r="A3670" s="10">
        <v>45714</v>
      </c>
      <c r="B3670" s="11" t="s">
        <v>6569</v>
      </c>
      <c r="C3670" s="11" t="s">
        <v>6570</v>
      </c>
      <c r="D3670" s="11">
        <v>18226</v>
      </c>
      <c r="E3670" s="11" t="s">
        <v>552</v>
      </c>
      <c r="F3670" s="11" t="s">
        <v>26</v>
      </c>
      <c r="G3670" s="11">
        <v>44185</v>
      </c>
      <c r="H3670" s="12" t="s">
        <v>4440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1694">L3670/M3670</f>
        <v>1.4487999999999999</v>
      </c>
      <c r="O3670" s="13">
        <v>46</v>
      </c>
      <c r="P3670" s="13" t="s">
        <v>30</v>
      </c>
      <c r="Q3670" s="13">
        <v>0</v>
      </c>
      <c r="R3670" s="72">
        <f t="shared" ref="R3670" si="1695">+L3670*O3670</f>
        <v>1666.12</v>
      </c>
      <c r="S3670" s="72">
        <v>0</v>
      </c>
      <c r="T3670" s="72">
        <f t="shared" ref="T3670" si="1696">+L3670*S3670</f>
        <v>0</v>
      </c>
      <c r="U3670" s="72">
        <f t="shared" ref="U3670" si="1697">+R3670-T3670</f>
        <v>1666.12</v>
      </c>
      <c r="V3670" s="72">
        <f>+U3670*1</f>
        <v>1666.12</v>
      </c>
      <c r="W3670" s="72">
        <f t="shared" ref="W3670" si="1698">+U3670-V3670</f>
        <v>0</v>
      </c>
      <c r="X3670" s="72">
        <v>0</v>
      </c>
      <c r="Y3670" s="14">
        <f t="shared" ref="Y3670:Y3671" si="1699">T3670-X3670</f>
        <v>0</v>
      </c>
      <c r="Z3670" s="11" t="s">
        <v>26</v>
      </c>
      <c r="AA3670" s="12" t="s">
        <v>31</v>
      </c>
    </row>
    <row r="3671" spans="1:27" x14ac:dyDescent="0.25">
      <c r="A3671" s="10">
        <v>45714</v>
      </c>
      <c r="B3671" s="11" t="s">
        <v>1505</v>
      </c>
      <c r="C3671" s="11" t="s">
        <v>6571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1694"/>
        <v>1.7168000000000001</v>
      </c>
      <c r="O3671" s="13" t="s">
        <v>30</v>
      </c>
      <c r="P3671" s="13">
        <v>62</v>
      </c>
      <c r="Q3671" s="13">
        <v>0</v>
      </c>
      <c r="R3671" s="72">
        <f>M3671*P3671</f>
        <v>1550</v>
      </c>
      <c r="S3671" s="72">
        <v>0</v>
      </c>
      <c r="T3671" s="72">
        <f>M3671*S3671</f>
        <v>0</v>
      </c>
      <c r="U3671" s="72">
        <f>R3671-T3671</f>
        <v>1550</v>
      </c>
      <c r="V3671" s="72">
        <f>U3671*0</f>
        <v>0</v>
      </c>
      <c r="W3671" s="72">
        <f>U3671-V3671</f>
        <v>1550</v>
      </c>
      <c r="X3671" s="72">
        <v>0</v>
      </c>
      <c r="Y3671" s="14">
        <f t="shared" si="1699"/>
        <v>0</v>
      </c>
      <c r="Z3671" s="11" t="s">
        <v>26</v>
      </c>
      <c r="AA3671" s="12" t="s">
        <v>31</v>
      </c>
    </row>
    <row r="3672" spans="1:27" x14ac:dyDescent="0.25">
      <c r="A3672" s="10">
        <v>45714</v>
      </c>
      <c r="B3672" s="11" t="s">
        <v>6572</v>
      </c>
      <c r="C3672" s="11" t="s">
        <v>6573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4439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1694"/>
        <v>1.6391999999999998</v>
      </c>
      <c r="O3672" s="13">
        <v>83</v>
      </c>
      <c r="P3672" s="13" t="s">
        <v>30</v>
      </c>
      <c r="Q3672" s="13">
        <v>0</v>
      </c>
      <c r="R3672" s="72">
        <f>L3672*O3672</f>
        <v>3401.3399999999997</v>
      </c>
      <c r="S3672" s="72">
        <v>38</v>
      </c>
      <c r="T3672" s="72">
        <f>L3672*S3672</f>
        <v>1557.2399999999998</v>
      </c>
      <c r="U3672" s="72">
        <f>R3672-T3672</f>
        <v>1844.1</v>
      </c>
      <c r="V3672" s="72">
        <f>U3672*1</f>
        <v>1844.1</v>
      </c>
      <c r="W3672" s="72">
        <f>U3672-V3672</f>
        <v>0</v>
      </c>
      <c r="X3672" s="72">
        <f>L3672*36</f>
        <v>1475.28</v>
      </c>
      <c r="Y3672" s="73">
        <f>+T3672-X3672</f>
        <v>81.959999999999809</v>
      </c>
      <c r="Z3672" s="12" t="s">
        <v>140</v>
      </c>
      <c r="AA3672" s="12" t="s">
        <v>78</v>
      </c>
    </row>
    <row r="3673" spans="1:27" x14ac:dyDescent="0.25">
      <c r="A3673" s="10">
        <v>45714</v>
      </c>
      <c r="B3673" s="11" t="s">
        <v>1070</v>
      </c>
      <c r="C3673" s="11" t="s">
        <v>6574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1694"/>
        <v>1.6984000000000001</v>
      </c>
      <c r="O3673" s="13" t="s">
        <v>30</v>
      </c>
      <c r="P3673" s="13">
        <v>62</v>
      </c>
      <c r="Q3673" s="13">
        <v>0</v>
      </c>
      <c r="R3673" s="72">
        <f>M3673*P3673</f>
        <v>1550</v>
      </c>
      <c r="S3673" s="72">
        <v>0</v>
      </c>
      <c r="T3673" s="72">
        <f>M3673*S3673</f>
        <v>0</v>
      </c>
      <c r="U3673" s="72">
        <f>R3673-T3673</f>
        <v>1550</v>
      </c>
      <c r="V3673" s="72">
        <f>U3673*0</f>
        <v>0</v>
      </c>
      <c r="W3673" s="72">
        <f>U3673-V3673</f>
        <v>1550</v>
      </c>
      <c r="X3673" s="72">
        <v>0</v>
      </c>
      <c r="Y3673" s="14">
        <f t="shared" ref="Y3673:Y3674" si="1700">T3673-X3673</f>
        <v>0</v>
      </c>
      <c r="Z3673" s="11" t="s">
        <v>26</v>
      </c>
      <c r="AA3673" s="12" t="s">
        <v>31</v>
      </c>
    </row>
    <row r="3674" spans="1:27" x14ac:dyDescent="0.25">
      <c r="A3674" s="10">
        <v>45714</v>
      </c>
      <c r="B3674" s="11" t="s">
        <v>6575</v>
      </c>
      <c r="C3674" s="11" t="s">
        <v>6576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163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1694"/>
        <v>1.4256</v>
      </c>
      <c r="O3674" s="13" t="s">
        <v>30</v>
      </c>
      <c r="P3674" s="13">
        <v>60</v>
      </c>
      <c r="Q3674" s="13">
        <v>0</v>
      </c>
      <c r="R3674" s="72">
        <f>M3674*P3674</f>
        <v>1500</v>
      </c>
      <c r="S3674" s="72">
        <v>0</v>
      </c>
      <c r="T3674" s="72">
        <f>M3674*S3674</f>
        <v>0</v>
      </c>
      <c r="U3674" s="72">
        <f>R3674-T3674</f>
        <v>1500</v>
      </c>
      <c r="V3674" s="72">
        <f>U3674*0</f>
        <v>0</v>
      </c>
      <c r="W3674" s="72">
        <f>U3674-V3674</f>
        <v>1500</v>
      </c>
      <c r="X3674" s="72">
        <v>0</v>
      </c>
      <c r="Y3674" s="14">
        <f t="shared" si="1700"/>
        <v>0</v>
      </c>
      <c r="Z3674" s="11" t="s">
        <v>26</v>
      </c>
      <c r="AA3674" s="12" t="s">
        <v>31</v>
      </c>
    </row>
    <row r="3675" spans="1:27" x14ac:dyDescent="0.25">
      <c r="A3675" s="10">
        <v>45714</v>
      </c>
      <c r="B3675" s="11" t="s">
        <v>6577</v>
      </c>
      <c r="C3675" s="11" t="s">
        <v>6578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4439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1694"/>
        <v>1.4785714285714284</v>
      </c>
      <c r="O3675" s="13">
        <v>85</v>
      </c>
      <c r="P3675" s="13" t="s">
        <v>30</v>
      </c>
      <c r="Q3675" s="13">
        <v>0</v>
      </c>
      <c r="R3675" s="72">
        <f t="shared" ref="R3675" si="1701">L3675*O3675</f>
        <v>3519</v>
      </c>
      <c r="S3675" s="72">
        <v>38</v>
      </c>
      <c r="T3675" s="72">
        <f t="shared" ref="T3675" si="1702">L3675*S3675</f>
        <v>1573.2</v>
      </c>
      <c r="U3675" s="72">
        <f t="shared" ref="U3675" si="1703">R3675-T3675</f>
        <v>1945.8</v>
      </c>
      <c r="V3675" s="72">
        <f>U3675*1</f>
        <v>1945.8</v>
      </c>
      <c r="W3675" s="72">
        <f t="shared" ref="W3675" si="1704">U3675-V3675</f>
        <v>0</v>
      </c>
      <c r="X3675" s="72">
        <f>L3675*36</f>
        <v>1490.3999999999999</v>
      </c>
      <c r="Y3675" s="73">
        <f>+T3675-X3675</f>
        <v>82.800000000000182</v>
      </c>
      <c r="Z3675" s="12" t="s">
        <v>141</v>
      </c>
      <c r="AA3675" s="12" t="s">
        <v>78</v>
      </c>
    </row>
    <row r="3676" spans="1:27" x14ac:dyDescent="0.25">
      <c r="A3676" s="10">
        <v>45714</v>
      </c>
      <c r="B3676" s="11" t="s">
        <v>6065</v>
      </c>
      <c r="C3676" s="11" t="s">
        <v>6579</v>
      </c>
      <c r="D3676" s="11">
        <v>18232</v>
      </c>
      <c r="E3676" s="11" t="s">
        <v>246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1694"/>
        <v>1.731304347826087</v>
      </c>
      <c r="O3676" s="13" t="s">
        <v>30</v>
      </c>
      <c r="P3676" s="13">
        <v>24</v>
      </c>
      <c r="Q3676" s="13">
        <v>0</v>
      </c>
      <c r="R3676" s="72">
        <f>+M3676*P3676</f>
        <v>552</v>
      </c>
      <c r="S3676" s="72">
        <v>0</v>
      </c>
      <c r="T3676" s="72">
        <f>+M3676*S3676</f>
        <v>0</v>
      </c>
      <c r="U3676" s="72">
        <f t="shared" ref="U3676" si="1705">+R3676-T3676</f>
        <v>552</v>
      </c>
      <c r="V3676" s="72">
        <f>+U3676*0</f>
        <v>0</v>
      </c>
      <c r="W3676" s="72">
        <f t="shared" ref="W3676" si="1706">+U3676-V3676</f>
        <v>552</v>
      </c>
      <c r="X3676" s="72">
        <v>0</v>
      </c>
      <c r="Y3676" s="14">
        <f t="shared" ref="Y3676:Y3692" si="1707">T3676-X3676</f>
        <v>0</v>
      </c>
      <c r="Z3676" s="11" t="s">
        <v>26</v>
      </c>
      <c r="AA3676" s="12" t="s">
        <v>31</v>
      </c>
    </row>
    <row r="3677" spans="1:27" x14ac:dyDescent="0.25">
      <c r="A3677" s="10">
        <v>45714</v>
      </c>
      <c r="B3677" s="11" t="s">
        <v>6580</v>
      </c>
      <c r="C3677" s="11" t="s">
        <v>6581</v>
      </c>
      <c r="D3677" s="11">
        <v>18233</v>
      </c>
      <c r="E3677" s="11" t="s">
        <v>605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1694"/>
        <v>1.6887999999999999</v>
      </c>
      <c r="O3677" s="13">
        <v>40</v>
      </c>
      <c r="P3677" s="13" t="s">
        <v>30</v>
      </c>
      <c r="Q3677" s="13">
        <v>0</v>
      </c>
      <c r="R3677" s="72">
        <f>L3677*O3677</f>
        <v>1688.8</v>
      </c>
      <c r="S3677" s="72">
        <v>0</v>
      </c>
      <c r="T3677" s="72">
        <f>L3677*S3677</f>
        <v>0</v>
      </c>
      <c r="U3677" s="72">
        <f>R3677-T3677</f>
        <v>1688.8</v>
      </c>
      <c r="V3677" s="72">
        <f>U3677*0</f>
        <v>0</v>
      </c>
      <c r="W3677" s="72">
        <f>U3677-V3677</f>
        <v>1688.8</v>
      </c>
      <c r="X3677" s="72">
        <v>0</v>
      </c>
      <c r="Y3677" s="14">
        <f t="shared" si="1707"/>
        <v>0</v>
      </c>
      <c r="Z3677" s="11" t="s">
        <v>26</v>
      </c>
      <c r="AA3677" s="12" t="s">
        <v>31</v>
      </c>
    </row>
    <row r="3678" spans="1:27" x14ac:dyDescent="0.25">
      <c r="A3678" s="10">
        <v>45714</v>
      </c>
      <c r="B3678" s="11" t="s">
        <v>6582</v>
      </c>
      <c r="C3678" s="11" t="s">
        <v>6583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566</v>
      </c>
      <c r="K3678" s="12" t="s">
        <v>550</v>
      </c>
      <c r="L3678" s="13">
        <v>40.700000000000003</v>
      </c>
      <c r="M3678" s="13">
        <v>25</v>
      </c>
      <c r="N3678" s="13">
        <f t="shared" si="1694"/>
        <v>1.6280000000000001</v>
      </c>
      <c r="O3678" s="13">
        <v>25</v>
      </c>
      <c r="P3678" s="13"/>
      <c r="Q3678" s="13">
        <v>0</v>
      </c>
      <c r="R3678" s="72">
        <f>L3678*O3678</f>
        <v>1017.5000000000001</v>
      </c>
      <c r="S3678" s="72">
        <v>0</v>
      </c>
      <c r="T3678" s="72">
        <f t="shared" ref="T3678" si="1708">L3678*S3678</f>
        <v>0</v>
      </c>
      <c r="U3678" s="72">
        <f>R3678-T3678</f>
        <v>1017.5000000000001</v>
      </c>
      <c r="V3678" s="72">
        <f>U3678*0</f>
        <v>0</v>
      </c>
      <c r="W3678" s="72">
        <f>U3678-V3678</f>
        <v>1017.5000000000001</v>
      </c>
      <c r="X3678" s="72">
        <v>0</v>
      </c>
      <c r="Y3678" s="14">
        <f t="shared" si="1707"/>
        <v>0</v>
      </c>
      <c r="Z3678" s="11" t="s">
        <v>26</v>
      </c>
      <c r="AA3678" s="12" t="s">
        <v>31</v>
      </c>
    </row>
    <row r="3679" spans="1:27" x14ac:dyDescent="0.25">
      <c r="A3679" s="10">
        <v>45714</v>
      </c>
      <c r="B3679" s="11" t="s">
        <v>3385</v>
      </c>
      <c r="C3679" s="11" t="s">
        <v>6584</v>
      </c>
      <c r="D3679" s="11">
        <v>18235</v>
      </c>
      <c r="E3679" s="11" t="s">
        <v>461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1694"/>
        <v>1.5699999999999998</v>
      </c>
      <c r="O3679" s="13">
        <v>20</v>
      </c>
      <c r="P3679" s="13" t="s">
        <v>30</v>
      </c>
      <c r="Q3679" s="13">
        <v>0</v>
      </c>
      <c r="R3679" s="72">
        <f>(L3679*O3679)-Q3679</f>
        <v>628</v>
      </c>
      <c r="S3679" s="72">
        <v>0</v>
      </c>
      <c r="T3679" s="72">
        <f t="shared" ref="T3679" si="1709">+L3679*S3679</f>
        <v>0</v>
      </c>
      <c r="U3679" s="72">
        <f t="shared" ref="U3679:U3680" si="1710">+R3679-T3679</f>
        <v>628</v>
      </c>
      <c r="V3679" s="72">
        <f t="shared" ref="V3679" si="1711">+U3679*0</f>
        <v>0</v>
      </c>
      <c r="W3679" s="72">
        <f t="shared" ref="W3679:W3680" si="1712">+U3679-V3679</f>
        <v>628</v>
      </c>
      <c r="X3679" s="72">
        <v>0</v>
      </c>
      <c r="Y3679" s="14">
        <f t="shared" si="1707"/>
        <v>0</v>
      </c>
      <c r="Z3679" s="11" t="s">
        <v>26</v>
      </c>
      <c r="AA3679" s="12" t="s">
        <v>31</v>
      </c>
    </row>
    <row r="3680" spans="1:27" x14ac:dyDescent="0.25">
      <c r="A3680" s="10">
        <v>45714</v>
      </c>
      <c r="B3680" s="11" t="s">
        <v>6585</v>
      </c>
      <c r="C3680" s="11" t="s">
        <v>6586</v>
      </c>
      <c r="D3680" s="11">
        <v>18236</v>
      </c>
      <c r="E3680" s="11" t="s">
        <v>539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1694"/>
        <v>1.536</v>
      </c>
      <c r="O3680" s="13" t="s">
        <v>30</v>
      </c>
      <c r="P3680" s="13">
        <v>60</v>
      </c>
      <c r="Q3680" s="13">
        <v>0</v>
      </c>
      <c r="R3680" s="72">
        <f>M3680*P3680</f>
        <v>1500</v>
      </c>
      <c r="S3680" s="72">
        <v>0</v>
      </c>
      <c r="T3680" s="72">
        <f>M3680*S3680</f>
        <v>0</v>
      </c>
      <c r="U3680" s="72">
        <f t="shared" si="1710"/>
        <v>1500</v>
      </c>
      <c r="V3680" s="72">
        <f>+U3680*0</f>
        <v>0</v>
      </c>
      <c r="W3680" s="72">
        <f t="shared" si="1712"/>
        <v>1500</v>
      </c>
      <c r="X3680" s="72">
        <v>0</v>
      </c>
      <c r="Y3680" s="14">
        <f t="shared" si="1707"/>
        <v>0</v>
      </c>
      <c r="Z3680" s="11" t="s">
        <v>26</v>
      </c>
      <c r="AA3680" s="12" t="s">
        <v>31</v>
      </c>
    </row>
    <row r="3681" spans="1:27" x14ac:dyDescent="0.25">
      <c r="A3681" s="10">
        <v>45714</v>
      </c>
      <c r="B3681" s="11" t="s">
        <v>394</v>
      </c>
      <c r="C3681" s="11" t="s">
        <v>6587</v>
      </c>
      <c r="D3681" s="11">
        <v>18237</v>
      </c>
      <c r="E3681" s="11" t="s">
        <v>479</v>
      </c>
      <c r="F3681" s="11" t="s">
        <v>26</v>
      </c>
      <c r="G3681" s="11">
        <v>78051</v>
      </c>
      <c r="H3681" s="12" t="s">
        <v>4465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1694"/>
        <v>1.6808000000000001</v>
      </c>
      <c r="O3681" s="13">
        <v>42.5</v>
      </c>
      <c r="P3681" s="13"/>
      <c r="Q3681" s="13">
        <v>0</v>
      </c>
      <c r="R3681" s="72">
        <f>+L3681*O3681</f>
        <v>1785.8500000000001</v>
      </c>
      <c r="S3681" s="72">
        <v>0</v>
      </c>
      <c r="T3681" s="72">
        <f>+L3681*S3681</f>
        <v>0</v>
      </c>
      <c r="U3681" s="72">
        <f>+R3681-T3681</f>
        <v>1785.8500000000001</v>
      </c>
      <c r="V3681" s="72">
        <f>+U3681*0.75</f>
        <v>1339.3875</v>
      </c>
      <c r="W3681" s="72">
        <f>+U3681-V3681</f>
        <v>446.46250000000009</v>
      </c>
      <c r="X3681" s="72">
        <v>0</v>
      </c>
      <c r="Y3681" s="14">
        <f t="shared" si="1707"/>
        <v>0</v>
      </c>
      <c r="Z3681" s="11" t="s">
        <v>26</v>
      </c>
      <c r="AA3681" s="12" t="s">
        <v>31</v>
      </c>
    </row>
    <row r="3682" spans="1:27" x14ac:dyDescent="0.25">
      <c r="A3682" s="10">
        <v>45714</v>
      </c>
      <c r="B3682" s="11" t="s">
        <v>6588</v>
      </c>
      <c r="C3682" s="11" t="s">
        <v>6589</v>
      </c>
      <c r="D3682" s="11">
        <v>18238</v>
      </c>
      <c r="E3682" s="11" t="s">
        <v>482</v>
      </c>
      <c r="F3682" s="11" t="s">
        <v>26</v>
      </c>
      <c r="G3682" s="11">
        <v>78052</v>
      </c>
      <c r="H3682" s="12" t="s">
        <v>4465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1694"/>
        <v>1.6591999999999998</v>
      </c>
      <c r="O3682" s="13">
        <v>42.5</v>
      </c>
      <c r="P3682" s="13"/>
      <c r="Q3682" s="13">
        <v>0</v>
      </c>
      <c r="R3682" s="72">
        <f>+L3682*O3682</f>
        <v>1762.8999999999999</v>
      </c>
      <c r="S3682" s="72">
        <v>0</v>
      </c>
      <c r="T3682" s="72">
        <f>+L3682*S3682</f>
        <v>0</v>
      </c>
      <c r="U3682" s="72">
        <f>+R3682-T3682</f>
        <v>1762.8999999999999</v>
      </c>
      <c r="V3682" s="72">
        <f>+U3682*0.75</f>
        <v>1322.175</v>
      </c>
      <c r="W3682" s="72">
        <f>+U3682-V3682</f>
        <v>440.72499999999991</v>
      </c>
      <c r="X3682" s="72">
        <v>0</v>
      </c>
      <c r="Y3682" s="14">
        <f t="shared" si="1707"/>
        <v>0</v>
      </c>
      <c r="Z3682" s="11" t="s">
        <v>26</v>
      </c>
      <c r="AA3682" s="12" t="s">
        <v>31</v>
      </c>
    </row>
    <row r="3683" spans="1:27" x14ac:dyDescent="0.25">
      <c r="A3683" s="10">
        <v>45714</v>
      </c>
      <c r="B3683" s="11" t="s">
        <v>6590</v>
      </c>
      <c r="C3683" s="11" t="s">
        <v>6591</v>
      </c>
      <c r="D3683" s="11">
        <v>18239</v>
      </c>
      <c r="E3683" s="11" t="s">
        <v>484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1694"/>
        <v>1.4529032258064516</v>
      </c>
      <c r="O3683" s="13">
        <v>40</v>
      </c>
      <c r="P3683" s="13"/>
      <c r="Q3683" s="13">
        <v>0</v>
      </c>
      <c r="R3683" s="72">
        <f>+L3683*O3683</f>
        <v>1801.6</v>
      </c>
      <c r="S3683" s="72">
        <v>0</v>
      </c>
      <c r="T3683" s="72">
        <f>+L3683*S3683</f>
        <v>0</v>
      </c>
      <c r="U3683" s="72">
        <f>+R3683-T3683</f>
        <v>1801.6</v>
      </c>
      <c r="V3683" s="72">
        <f t="shared" ref="V3683" si="1713">+U3683*0</f>
        <v>0</v>
      </c>
      <c r="W3683" s="72">
        <f>+U3683-V3683</f>
        <v>1801.6</v>
      </c>
      <c r="X3683" s="72">
        <v>0</v>
      </c>
      <c r="Y3683" s="14">
        <f t="shared" si="1707"/>
        <v>0</v>
      </c>
      <c r="Z3683" s="11" t="s">
        <v>26</v>
      </c>
      <c r="AA3683" s="12" t="s">
        <v>31</v>
      </c>
    </row>
    <row r="3684" spans="1:27" x14ac:dyDescent="0.25">
      <c r="A3684" s="10">
        <v>45714</v>
      </c>
      <c r="B3684" s="11" t="s">
        <v>6592</v>
      </c>
      <c r="C3684" s="11" t="s">
        <v>6593</v>
      </c>
      <c r="D3684" s="11">
        <v>18240</v>
      </c>
      <c r="E3684" s="11" t="s">
        <v>1217</v>
      </c>
      <c r="F3684" s="11" t="s">
        <v>26</v>
      </c>
      <c r="G3684" s="11">
        <v>2993</v>
      </c>
      <c r="H3684" s="12" t="s">
        <v>163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1694"/>
        <v>1.6752</v>
      </c>
      <c r="O3684" s="13" t="s">
        <v>30</v>
      </c>
      <c r="P3684" s="13">
        <v>64</v>
      </c>
      <c r="Q3684" s="13">
        <v>0</v>
      </c>
      <c r="R3684" s="72">
        <f>M3684*P3684</f>
        <v>1600</v>
      </c>
      <c r="S3684" s="72">
        <v>0</v>
      </c>
      <c r="T3684" s="72">
        <f>M3684*S3684</f>
        <v>0</v>
      </c>
      <c r="U3684" s="72">
        <f>R3684-T3684</f>
        <v>1600</v>
      </c>
      <c r="V3684" s="72">
        <f t="shared" ref="V3684" si="1714">U3684*0</f>
        <v>0</v>
      </c>
      <c r="W3684" s="72">
        <f t="shared" ref="W3684" si="1715">U3684-V3684</f>
        <v>1600</v>
      </c>
      <c r="X3684" s="72">
        <v>0</v>
      </c>
      <c r="Y3684" s="14">
        <f t="shared" si="1707"/>
        <v>0</v>
      </c>
      <c r="Z3684" s="11" t="s">
        <v>26</v>
      </c>
      <c r="AA3684" s="12" t="s">
        <v>31</v>
      </c>
    </row>
    <row r="3685" spans="1:27" x14ac:dyDescent="0.25">
      <c r="A3685" s="10">
        <v>45714</v>
      </c>
      <c r="B3685" s="11" t="s">
        <v>351</v>
      </c>
      <c r="C3685" s="11" t="s">
        <v>6594</v>
      </c>
      <c r="D3685" s="11">
        <v>18241</v>
      </c>
      <c r="E3685" s="11" t="s">
        <v>520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1694"/>
        <v>1.7008000000000001</v>
      </c>
      <c r="O3685" s="13">
        <v>35</v>
      </c>
      <c r="P3685" s="13"/>
      <c r="Q3685" s="13">
        <v>0</v>
      </c>
      <c r="R3685" s="72">
        <f>+L3685*O3685</f>
        <v>1488.2</v>
      </c>
      <c r="S3685" s="72">
        <v>0</v>
      </c>
      <c r="T3685" s="72">
        <f>+L3685*S3685</f>
        <v>0</v>
      </c>
      <c r="U3685" s="72">
        <f>+R3685-T3685</f>
        <v>1488.2</v>
      </c>
      <c r="V3685" s="72">
        <f t="shared" ref="V3685" si="1716">+U3685*0</f>
        <v>0</v>
      </c>
      <c r="W3685" s="72">
        <f>+U3685-V3685</f>
        <v>1488.2</v>
      </c>
      <c r="X3685" s="72">
        <v>0</v>
      </c>
      <c r="Y3685" s="14">
        <f t="shared" si="1707"/>
        <v>0</v>
      </c>
      <c r="Z3685" s="11" t="s">
        <v>26</v>
      </c>
      <c r="AA3685" s="12" t="s">
        <v>31</v>
      </c>
    </row>
    <row r="3686" spans="1:27" x14ac:dyDescent="0.25">
      <c r="A3686" s="10">
        <v>45714</v>
      </c>
      <c r="B3686" s="11" t="s">
        <v>6553</v>
      </c>
      <c r="C3686" s="11" t="s">
        <v>6595</v>
      </c>
      <c r="D3686" s="11">
        <v>18242</v>
      </c>
      <c r="E3686" s="11" t="s">
        <v>435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1694"/>
        <v>1.696521739130435</v>
      </c>
      <c r="O3686" s="13" t="s">
        <v>30</v>
      </c>
      <c r="P3686" s="13">
        <v>24</v>
      </c>
      <c r="Q3686" s="13">
        <v>0</v>
      </c>
      <c r="R3686" s="72">
        <f>+M3686*P3686</f>
        <v>552</v>
      </c>
      <c r="S3686" s="72">
        <v>0</v>
      </c>
      <c r="T3686" s="72">
        <f>+M3686*S3686</f>
        <v>0</v>
      </c>
      <c r="U3686" s="72">
        <f t="shared" ref="U3686" si="1717">+R3686-T3686</f>
        <v>552</v>
      </c>
      <c r="V3686" s="72">
        <f>+U3686*0</f>
        <v>0</v>
      </c>
      <c r="W3686" s="72">
        <f t="shared" ref="W3686" si="1718">+U3686-V3686</f>
        <v>552</v>
      </c>
      <c r="X3686" s="72">
        <v>0</v>
      </c>
      <c r="Y3686" s="14">
        <f t="shared" si="1707"/>
        <v>0</v>
      </c>
      <c r="Z3686" s="11" t="s">
        <v>26</v>
      </c>
      <c r="AA3686" s="12" t="s">
        <v>31</v>
      </c>
    </row>
    <row r="3687" spans="1:27" x14ac:dyDescent="0.25">
      <c r="A3687" s="10">
        <v>45714</v>
      </c>
      <c r="B3687" s="11" t="s">
        <v>112</v>
      </c>
      <c r="C3687" s="11" t="s">
        <v>6596</v>
      </c>
      <c r="D3687" s="11">
        <v>18243</v>
      </c>
      <c r="E3687" s="11" t="s">
        <v>2126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1694"/>
        <v>1.7016</v>
      </c>
      <c r="O3687" s="13">
        <v>35</v>
      </c>
      <c r="P3687" s="13"/>
      <c r="Q3687" s="13">
        <v>0</v>
      </c>
      <c r="R3687" s="72">
        <f>+L3687*O3687</f>
        <v>1488.8999999999999</v>
      </c>
      <c r="S3687" s="72">
        <v>0</v>
      </c>
      <c r="T3687" s="72">
        <f>+L3687*S3687</f>
        <v>0</v>
      </c>
      <c r="U3687" s="72">
        <f>+R3687-T3687</f>
        <v>1488.8999999999999</v>
      </c>
      <c r="V3687" s="72">
        <f t="shared" ref="V3687:V3688" si="1719">+U3687*0</f>
        <v>0</v>
      </c>
      <c r="W3687" s="72">
        <f>+U3687-V3687</f>
        <v>1488.8999999999999</v>
      </c>
      <c r="X3687" s="72">
        <v>0</v>
      </c>
      <c r="Y3687" s="14">
        <f t="shared" si="1707"/>
        <v>0</v>
      </c>
      <c r="Z3687" s="11" t="s">
        <v>26</v>
      </c>
      <c r="AA3687" s="12" t="s">
        <v>31</v>
      </c>
    </row>
    <row r="3688" spans="1:27" x14ac:dyDescent="0.25">
      <c r="A3688" s="10">
        <v>45714</v>
      </c>
      <c r="B3688" s="11" t="s">
        <v>6597</v>
      </c>
      <c r="C3688" s="11" t="s">
        <v>6598</v>
      </c>
      <c r="D3688" s="11">
        <v>18244</v>
      </c>
      <c r="E3688" s="11" t="s">
        <v>6599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1694"/>
        <v>1.5720000000000001</v>
      </c>
      <c r="O3688" s="13">
        <v>20</v>
      </c>
      <c r="P3688" s="13" t="s">
        <v>30</v>
      </c>
      <c r="Q3688" s="13">
        <v>0</v>
      </c>
      <c r="R3688" s="72">
        <f>(L3688*O3688)-Q3688</f>
        <v>628.80000000000007</v>
      </c>
      <c r="S3688" s="72">
        <v>0</v>
      </c>
      <c r="T3688" s="72">
        <f t="shared" ref="T3688" si="1720">+L3688*S3688</f>
        <v>0</v>
      </c>
      <c r="U3688" s="72">
        <f t="shared" ref="U3688" si="1721">+R3688-T3688</f>
        <v>628.80000000000007</v>
      </c>
      <c r="V3688" s="72">
        <f t="shared" si="1719"/>
        <v>0</v>
      </c>
      <c r="W3688" s="72">
        <f t="shared" ref="W3688" si="1722">+U3688-V3688</f>
        <v>628.80000000000007</v>
      </c>
      <c r="X3688" s="72">
        <v>0</v>
      </c>
      <c r="Y3688" s="14">
        <f t="shared" si="1707"/>
        <v>0</v>
      </c>
      <c r="Z3688" s="11" t="s">
        <v>26</v>
      </c>
      <c r="AA3688" s="12" t="s">
        <v>31</v>
      </c>
    </row>
    <row r="3689" spans="1:27" x14ac:dyDescent="0.25">
      <c r="A3689" s="10">
        <v>45714</v>
      </c>
      <c r="B3689" s="11" t="s">
        <v>6600</v>
      </c>
      <c r="C3689" s="11" t="s">
        <v>6601</v>
      </c>
      <c r="D3689" s="11">
        <v>18245</v>
      </c>
      <c r="E3689" s="11" t="s">
        <v>2143</v>
      </c>
      <c r="F3689" s="11" t="s">
        <v>26</v>
      </c>
      <c r="G3689" s="11">
        <v>112483</v>
      </c>
      <c r="H3689" s="12" t="s">
        <v>4463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1694"/>
        <v>1.4550000000000001</v>
      </c>
      <c r="O3689" s="13">
        <v>44</v>
      </c>
      <c r="P3689" s="13" t="s">
        <v>30</v>
      </c>
      <c r="Q3689" s="13">
        <v>0</v>
      </c>
      <c r="R3689" s="72">
        <f t="shared" ref="R3689" si="1723">+L3689*O3689</f>
        <v>1536.48</v>
      </c>
      <c r="S3689" s="72">
        <v>0</v>
      </c>
      <c r="T3689" s="72">
        <f>+L3689*S3689</f>
        <v>0</v>
      </c>
      <c r="U3689" s="72">
        <f>+R3689-T3689</f>
        <v>1536.48</v>
      </c>
      <c r="V3689" s="72">
        <f>+U3689*1</f>
        <v>1536.48</v>
      </c>
      <c r="W3689" s="72">
        <f>+U3689-V3689</f>
        <v>0</v>
      </c>
      <c r="X3689" s="72">
        <v>0</v>
      </c>
      <c r="Y3689" s="14">
        <f t="shared" si="1707"/>
        <v>0</v>
      </c>
      <c r="Z3689" s="11" t="s">
        <v>26</v>
      </c>
      <c r="AA3689" s="12" t="s">
        <v>31</v>
      </c>
    </row>
    <row r="3690" spans="1:27" x14ac:dyDescent="0.25">
      <c r="A3690" s="10">
        <v>45714</v>
      </c>
      <c r="B3690" s="11" t="s">
        <v>2548</v>
      </c>
      <c r="C3690" s="11" t="s">
        <v>6602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1694"/>
        <v>1.6233333333333333</v>
      </c>
      <c r="O3690" s="13">
        <v>45</v>
      </c>
      <c r="P3690" s="13" t="s">
        <v>30</v>
      </c>
      <c r="Q3690" s="13">
        <v>0</v>
      </c>
      <c r="R3690" s="72">
        <f>(L3690*O3690)-Q3690</f>
        <v>438.3</v>
      </c>
      <c r="S3690" s="72">
        <v>0</v>
      </c>
      <c r="T3690" s="72">
        <f t="shared" ref="T3690" si="1724">+L3690*S3690</f>
        <v>0</v>
      </c>
      <c r="U3690" s="72">
        <f t="shared" ref="U3690" si="1725">+R3690-T3690</f>
        <v>438.3</v>
      </c>
      <c r="V3690" s="72">
        <f>+U3690*0</f>
        <v>0</v>
      </c>
      <c r="W3690" s="72">
        <f t="shared" ref="W3690" si="1726">+U3690-V3690</f>
        <v>438.3</v>
      </c>
      <c r="X3690" s="72">
        <v>0</v>
      </c>
      <c r="Y3690" s="14">
        <f t="shared" si="1707"/>
        <v>0</v>
      </c>
      <c r="Z3690" s="11" t="s">
        <v>26</v>
      </c>
      <c r="AA3690" s="12" t="s">
        <v>31</v>
      </c>
    </row>
    <row r="3691" spans="1:27" x14ac:dyDescent="0.25">
      <c r="A3691" s="10">
        <v>45714</v>
      </c>
      <c r="B3691" s="11" t="s">
        <v>6445</v>
      </c>
      <c r="C3691" s="11" t="s">
        <v>6603</v>
      </c>
      <c r="D3691" s="11">
        <v>18247</v>
      </c>
      <c r="E3691" s="11" t="s">
        <v>570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1694"/>
        <v>1.6672</v>
      </c>
      <c r="O3691" s="13">
        <v>35</v>
      </c>
      <c r="P3691" s="13"/>
      <c r="Q3691" s="13">
        <v>0</v>
      </c>
      <c r="R3691" s="72">
        <f>+L3691*O3691</f>
        <v>1458.8</v>
      </c>
      <c r="S3691" s="72">
        <v>0</v>
      </c>
      <c r="T3691" s="72">
        <f>+L3691*S3691</f>
        <v>0</v>
      </c>
      <c r="U3691" s="72">
        <f>+R3691-T3691</f>
        <v>1458.8</v>
      </c>
      <c r="V3691" s="72">
        <f t="shared" ref="V3691" si="1727">+U3691*0</f>
        <v>0</v>
      </c>
      <c r="W3691" s="72">
        <f>+U3691-V3691</f>
        <v>1458.8</v>
      </c>
      <c r="X3691" s="72">
        <v>0</v>
      </c>
      <c r="Y3691" s="14">
        <f t="shared" si="1707"/>
        <v>0</v>
      </c>
      <c r="Z3691" s="11" t="s">
        <v>26</v>
      </c>
      <c r="AA3691" s="12" t="s">
        <v>31</v>
      </c>
    </row>
    <row r="3692" spans="1:27" x14ac:dyDescent="0.25">
      <c r="A3692" s="10">
        <v>45714</v>
      </c>
      <c r="B3692" s="11" t="s">
        <v>6604</v>
      </c>
      <c r="C3692" s="11" t="s">
        <v>6605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1694"/>
        <v>1.5552000000000001</v>
      </c>
      <c r="O3692" s="13" t="s">
        <v>30</v>
      </c>
      <c r="P3692" s="13">
        <v>60</v>
      </c>
      <c r="Q3692" s="13">
        <v>0</v>
      </c>
      <c r="R3692" s="72">
        <f>M3692*P3692</f>
        <v>1500</v>
      </c>
      <c r="S3692" s="72">
        <v>0</v>
      </c>
      <c r="T3692" s="72">
        <f>M3692*S3692</f>
        <v>0</v>
      </c>
      <c r="U3692" s="72">
        <f t="shared" ref="U3692" si="1728">+R3692-T3692</f>
        <v>1500</v>
      </c>
      <c r="V3692" s="72">
        <f>+U3692*0</f>
        <v>0</v>
      </c>
      <c r="W3692" s="72">
        <f t="shared" ref="W3692" si="1729">+U3692-V3692</f>
        <v>1500</v>
      </c>
      <c r="X3692" s="72">
        <v>0</v>
      </c>
      <c r="Y3692" s="14">
        <f t="shared" si="1707"/>
        <v>0</v>
      </c>
      <c r="Z3692" s="11" t="s">
        <v>26</v>
      </c>
      <c r="AA3692" s="12" t="s">
        <v>31</v>
      </c>
    </row>
    <row r="3693" spans="1:27" x14ac:dyDescent="0.25">
      <c r="A3693" s="10">
        <v>45714</v>
      </c>
      <c r="B3693" s="11" t="s">
        <v>6606</v>
      </c>
      <c r="C3693" s="11" t="s">
        <v>6607</v>
      </c>
      <c r="D3693" s="11">
        <v>18250</v>
      </c>
      <c r="E3693" s="11" t="s">
        <v>240</v>
      </c>
      <c r="F3693" s="11" t="s">
        <v>26</v>
      </c>
      <c r="G3693" s="11" t="s">
        <v>26</v>
      </c>
      <c r="H3693" s="12" t="s">
        <v>4439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1694"/>
        <v>1.4485714285714286</v>
      </c>
      <c r="O3693" s="13">
        <v>87</v>
      </c>
      <c r="P3693" s="13" t="s">
        <v>30</v>
      </c>
      <c r="Q3693" s="13">
        <v>0</v>
      </c>
      <c r="R3693" s="72">
        <f t="shared" ref="R3693" si="1730">L3693*O3693</f>
        <v>3528.7200000000003</v>
      </c>
      <c r="S3693" s="72">
        <v>38</v>
      </c>
      <c r="T3693" s="72">
        <f t="shared" ref="T3693" si="1731">L3693*S3693</f>
        <v>1541.2800000000002</v>
      </c>
      <c r="U3693" s="72">
        <f t="shared" ref="U3693" si="1732">R3693-T3693</f>
        <v>1987.44</v>
      </c>
      <c r="V3693" s="72">
        <f>U3693*1</f>
        <v>1987.44</v>
      </c>
      <c r="W3693" s="72">
        <f t="shared" ref="W3693" si="1733">U3693-V3693</f>
        <v>0</v>
      </c>
      <c r="X3693" s="72">
        <f>L3693*37</f>
        <v>1500.72</v>
      </c>
      <c r="Y3693" s="73">
        <f>+T3693-X3693</f>
        <v>40.560000000000173</v>
      </c>
      <c r="Z3693" s="12" t="s">
        <v>41</v>
      </c>
      <c r="AA3693" s="12" t="s">
        <v>78</v>
      </c>
    </row>
    <row r="3694" spans="1:27" x14ac:dyDescent="0.25">
      <c r="A3694" s="10">
        <v>45714</v>
      </c>
      <c r="B3694" s="11" t="s">
        <v>6608</v>
      </c>
      <c r="C3694" s="11" t="s">
        <v>6609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1694"/>
        <v>1.7975999999999999</v>
      </c>
      <c r="O3694" s="13">
        <v>35</v>
      </c>
      <c r="P3694" s="13"/>
      <c r="Q3694" s="13">
        <v>0</v>
      </c>
      <c r="R3694" s="72">
        <f>+L3694*O3694</f>
        <v>1572.8999999999999</v>
      </c>
      <c r="S3694" s="72">
        <v>0</v>
      </c>
      <c r="T3694" s="72">
        <f>+L3694*S3694</f>
        <v>0</v>
      </c>
      <c r="U3694" s="72">
        <f>+R3694-T3694</f>
        <v>1572.8999999999999</v>
      </c>
      <c r="V3694" s="72">
        <f t="shared" ref="V3694" si="1734">+U3694*0</f>
        <v>0</v>
      </c>
      <c r="W3694" s="72">
        <f>+U3694-V3694</f>
        <v>1572.8999999999999</v>
      </c>
      <c r="X3694" s="72">
        <v>0</v>
      </c>
      <c r="Y3694" s="14">
        <f t="shared" ref="Y3694:Y3697" si="1735">T3694-X3694</f>
        <v>0</v>
      </c>
      <c r="Z3694" s="11" t="s">
        <v>26</v>
      </c>
      <c r="AA3694" s="12" t="s">
        <v>31</v>
      </c>
    </row>
    <row r="3695" spans="1:27" x14ac:dyDescent="0.25">
      <c r="A3695" s="10">
        <v>45714</v>
      </c>
      <c r="B3695" s="11" t="s">
        <v>6610</v>
      </c>
      <c r="C3695" s="11" t="s">
        <v>6611</v>
      </c>
      <c r="D3695" s="11">
        <v>18252</v>
      </c>
      <c r="E3695" s="11" t="s">
        <v>552</v>
      </c>
      <c r="F3695" s="11" t="s">
        <v>26</v>
      </c>
      <c r="G3695" s="11">
        <v>44186</v>
      </c>
      <c r="H3695" s="12" t="s">
        <v>4440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1694"/>
        <v>1.3424</v>
      </c>
      <c r="O3695" s="13">
        <v>42</v>
      </c>
      <c r="P3695" s="13" t="s">
        <v>30</v>
      </c>
      <c r="Q3695" s="13">
        <v>0</v>
      </c>
      <c r="R3695" s="72">
        <f t="shared" ref="R3695" si="1736">+L3695*O3695</f>
        <v>1409.52</v>
      </c>
      <c r="S3695" s="72">
        <v>0</v>
      </c>
      <c r="T3695" s="72">
        <f t="shared" ref="T3695" si="1737">+L3695*S3695</f>
        <v>0</v>
      </c>
      <c r="U3695" s="72">
        <f t="shared" ref="U3695:U3696" si="1738">+R3695-T3695</f>
        <v>1409.52</v>
      </c>
      <c r="V3695" s="72">
        <f>+U3695*1</f>
        <v>1409.52</v>
      </c>
      <c r="W3695" s="72">
        <f t="shared" ref="W3695:W3696" si="1739">+U3695-V3695</f>
        <v>0</v>
      </c>
      <c r="X3695" s="72">
        <v>0</v>
      </c>
      <c r="Y3695" s="14">
        <f t="shared" si="1735"/>
        <v>0</v>
      </c>
      <c r="Z3695" s="11" t="s">
        <v>26</v>
      </c>
      <c r="AA3695" s="12" t="s">
        <v>31</v>
      </c>
    </row>
    <row r="3696" spans="1:27" x14ac:dyDescent="0.25">
      <c r="A3696" s="10">
        <v>45714</v>
      </c>
      <c r="B3696" s="11" t="s">
        <v>6612</v>
      </c>
      <c r="C3696" s="11" t="s">
        <v>6613</v>
      </c>
      <c r="D3696" s="11">
        <v>18253</v>
      </c>
      <c r="E3696" s="11" t="s">
        <v>593</v>
      </c>
      <c r="F3696" s="11" t="s">
        <v>26</v>
      </c>
      <c r="G3696" s="11">
        <v>56553</v>
      </c>
      <c r="H3696" s="12" t="s">
        <v>4440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1694"/>
        <v>1.3624000000000001</v>
      </c>
      <c r="O3696" s="13">
        <v>45</v>
      </c>
      <c r="P3696" s="13" t="s">
        <v>30</v>
      </c>
      <c r="Q3696" s="13">
        <v>0</v>
      </c>
      <c r="R3696" s="72">
        <f>+L3696*O3696</f>
        <v>1532.7</v>
      </c>
      <c r="S3696" s="72">
        <v>0</v>
      </c>
      <c r="T3696" s="72">
        <f>+L3696*S3696</f>
        <v>0</v>
      </c>
      <c r="U3696" s="72">
        <f t="shared" si="1738"/>
        <v>1532.7</v>
      </c>
      <c r="V3696" s="72">
        <f>+U3696*1</f>
        <v>1532.7</v>
      </c>
      <c r="W3696" s="72">
        <f t="shared" si="1739"/>
        <v>0</v>
      </c>
      <c r="X3696" s="72">
        <v>0</v>
      </c>
      <c r="Y3696" s="14">
        <f t="shared" si="1735"/>
        <v>0</v>
      </c>
      <c r="Z3696" s="11" t="s">
        <v>26</v>
      </c>
      <c r="AA3696" s="12" t="s">
        <v>31</v>
      </c>
    </row>
    <row r="3697" spans="1:27" x14ac:dyDescent="0.25">
      <c r="A3697" s="10">
        <v>45714</v>
      </c>
      <c r="B3697" s="11" t="s">
        <v>616</v>
      </c>
      <c r="C3697" s="11" t="s">
        <v>6614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1694"/>
        <v>1.696</v>
      </c>
      <c r="O3697" s="13">
        <v>35</v>
      </c>
      <c r="P3697" s="13"/>
      <c r="Q3697" s="13">
        <v>0</v>
      </c>
      <c r="R3697" s="72">
        <f>+L3697*O3697</f>
        <v>1484</v>
      </c>
      <c r="S3697" s="72">
        <v>0</v>
      </c>
      <c r="T3697" s="72">
        <f>+L3697*S3697</f>
        <v>0</v>
      </c>
      <c r="U3697" s="72">
        <f>+R3697-T3697</f>
        <v>1484</v>
      </c>
      <c r="V3697" s="72">
        <f t="shared" ref="V3697" si="1740">+U3697*0</f>
        <v>0</v>
      </c>
      <c r="W3697" s="72">
        <f>+U3697-V3697</f>
        <v>1484</v>
      </c>
      <c r="X3697" s="72">
        <v>0</v>
      </c>
      <c r="Y3697" s="14">
        <f t="shared" si="1735"/>
        <v>0</v>
      </c>
      <c r="Z3697" s="11" t="s">
        <v>26</v>
      </c>
      <c r="AA3697" s="12" t="s">
        <v>31</v>
      </c>
    </row>
    <row r="3698" spans="1:27" x14ac:dyDescent="0.25">
      <c r="A3698" s="10">
        <v>45714</v>
      </c>
      <c r="B3698" s="11" t="s">
        <v>6615</v>
      </c>
      <c r="C3698" s="11" t="s">
        <v>6616</v>
      </c>
      <c r="D3698" s="11">
        <v>18255</v>
      </c>
      <c r="E3698" s="11" t="s">
        <v>6152</v>
      </c>
      <c r="F3698" s="11" t="s">
        <v>26</v>
      </c>
      <c r="G3698" s="11">
        <v>2964</v>
      </c>
      <c r="H3698" s="12" t="s">
        <v>4459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1694"/>
        <v>1.3980000000000001</v>
      </c>
      <c r="O3698" s="13">
        <v>42</v>
      </c>
      <c r="P3698" s="13" t="s">
        <v>30</v>
      </c>
      <c r="Q3698" s="13">
        <v>0</v>
      </c>
      <c r="R3698" s="72">
        <f>L3698*O3698</f>
        <v>587.16</v>
      </c>
      <c r="S3698" s="72">
        <v>0</v>
      </c>
      <c r="T3698" s="72">
        <f>L3698*S3698</f>
        <v>0</v>
      </c>
      <c r="U3698" s="72">
        <f>R3698-T3698</f>
        <v>587.16</v>
      </c>
      <c r="V3698" s="72">
        <f>U3698*1</f>
        <v>587.16</v>
      </c>
      <c r="W3698" s="72">
        <f>U3698-V3698</f>
        <v>0</v>
      </c>
      <c r="X3698" s="72">
        <v>0</v>
      </c>
      <c r="Y3698" s="73">
        <f>T3698-X3698</f>
        <v>0</v>
      </c>
      <c r="Z3698" s="11" t="s">
        <v>26</v>
      </c>
      <c r="AA3698" s="12" t="s">
        <v>31</v>
      </c>
    </row>
    <row r="3699" spans="1:27" x14ac:dyDescent="0.25">
      <c r="A3699" s="10">
        <v>45714</v>
      </c>
      <c r="B3699" s="11" t="s">
        <v>2523</v>
      </c>
      <c r="C3699" s="11" t="s">
        <v>6617</v>
      </c>
      <c r="D3699" s="11">
        <v>18256</v>
      </c>
      <c r="E3699" s="11" t="s">
        <v>1217</v>
      </c>
      <c r="F3699" s="11" t="s">
        <v>26</v>
      </c>
      <c r="G3699" s="11">
        <v>2994</v>
      </c>
      <c r="H3699" s="12" t="s">
        <v>163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1694"/>
        <v>1.5016</v>
      </c>
      <c r="O3699" s="13" t="s">
        <v>30</v>
      </c>
      <c r="P3699" s="13">
        <v>60</v>
      </c>
      <c r="Q3699" s="13">
        <v>0</v>
      </c>
      <c r="R3699" s="72">
        <f>M3699*P3699</f>
        <v>1500</v>
      </c>
      <c r="S3699" s="72">
        <v>0</v>
      </c>
      <c r="T3699" s="72">
        <f>M3699*S3699</f>
        <v>0</v>
      </c>
      <c r="U3699" s="72">
        <f>R3699-T3699</f>
        <v>1500</v>
      </c>
      <c r="V3699" s="72">
        <f>U3699*0</f>
        <v>0</v>
      </c>
      <c r="W3699" s="72">
        <f>U3699-V3699</f>
        <v>1500</v>
      </c>
      <c r="X3699" s="72">
        <v>0</v>
      </c>
      <c r="Y3699" s="14">
        <f t="shared" ref="Y3699:Y3703" si="1741">T3699-X3699</f>
        <v>0</v>
      </c>
      <c r="Z3699" s="11" t="s">
        <v>26</v>
      </c>
      <c r="AA3699" s="12" t="s">
        <v>31</v>
      </c>
    </row>
    <row r="3700" spans="1:27" x14ac:dyDescent="0.25">
      <c r="A3700" s="10">
        <v>45714</v>
      </c>
      <c r="B3700" s="11" t="s">
        <v>6618</v>
      </c>
      <c r="C3700" s="11" t="s">
        <v>6619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1694"/>
        <v>1.5</v>
      </c>
      <c r="O3700" s="13" t="s">
        <v>30</v>
      </c>
      <c r="P3700" s="13">
        <v>60</v>
      </c>
      <c r="Q3700" s="13">
        <v>0</v>
      </c>
      <c r="R3700" s="72">
        <f>+M3700*P3700</f>
        <v>1500</v>
      </c>
      <c r="S3700" s="72">
        <v>0</v>
      </c>
      <c r="T3700" s="72">
        <f>+M3700*S3700</f>
        <v>0</v>
      </c>
      <c r="U3700" s="72">
        <f t="shared" ref="U3700:U3702" si="1742">+R3700-T3700</f>
        <v>1500</v>
      </c>
      <c r="V3700" s="72">
        <f>+U3700*0</f>
        <v>0</v>
      </c>
      <c r="W3700" s="72">
        <f t="shared" ref="W3700:W3702" si="1743">+U3700-V3700</f>
        <v>1500</v>
      </c>
      <c r="X3700" s="72">
        <v>0</v>
      </c>
      <c r="Y3700" s="14">
        <f t="shared" si="1741"/>
        <v>0</v>
      </c>
      <c r="Z3700" s="11" t="s">
        <v>26</v>
      </c>
      <c r="AA3700" s="12" t="s">
        <v>31</v>
      </c>
    </row>
    <row r="3701" spans="1:27" x14ac:dyDescent="0.25">
      <c r="A3701" s="10">
        <v>45714</v>
      </c>
      <c r="B3701" s="11" t="s">
        <v>1389</v>
      </c>
      <c r="C3701" s="11" t="s">
        <v>6620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1694"/>
        <v>1.6840000000000002</v>
      </c>
      <c r="O3701" s="13" t="s">
        <v>30</v>
      </c>
      <c r="P3701" s="13">
        <v>64</v>
      </c>
      <c r="Q3701" s="13">
        <v>0</v>
      </c>
      <c r="R3701" s="72">
        <f>+M3701*P3701</f>
        <v>1600</v>
      </c>
      <c r="S3701" s="72">
        <v>0</v>
      </c>
      <c r="T3701" s="72">
        <f>+M3701*S3701</f>
        <v>0</v>
      </c>
      <c r="U3701" s="72">
        <f t="shared" si="1742"/>
        <v>1600</v>
      </c>
      <c r="V3701" s="72">
        <f t="shared" ref="V3701:V3702" si="1744">+U3701*0</f>
        <v>0</v>
      </c>
      <c r="W3701" s="72">
        <f t="shared" si="1743"/>
        <v>1600</v>
      </c>
      <c r="X3701" s="72">
        <v>0</v>
      </c>
      <c r="Y3701" s="14">
        <f t="shared" si="1741"/>
        <v>0</v>
      </c>
      <c r="Z3701" s="11" t="s">
        <v>26</v>
      </c>
      <c r="AA3701" s="12" t="s">
        <v>31</v>
      </c>
    </row>
    <row r="3702" spans="1:27" x14ac:dyDescent="0.25">
      <c r="A3702" s="10">
        <v>45714</v>
      </c>
      <c r="B3702" s="11" t="s">
        <v>2805</v>
      </c>
      <c r="C3702" s="11" t="s">
        <v>6621</v>
      </c>
      <c r="D3702" s="11">
        <v>18259</v>
      </c>
      <c r="E3702" s="11" t="s">
        <v>6622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1694"/>
        <v>1.4618181818181817</v>
      </c>
      <c r="O3702" s="13">
        <v>50</v>
      </c>
      <c r="P3702" s="13" t="s">
        <v>30</v>
      </c>
      <c r="Q3702" s="13">
        <v>0</v>
      </c>
      <c r="R3702" s="72">
        <f>(L3702*O3702)-Q3702</f>
        <v>803.99999999999989</v>
      </c>
      <c r="S3702" s="72">
        <v>0</v>
      </c>
      <c r="T3702" s="72">
        <f t="shared" ref="T3702" si="1745">+L3702*S3702</f>
        <v>0</v>
      </c>
      <c r="U3702" s="72">
        <f t="shared" si="1742"/>
        <v>803.99999999999989</v>
      </c>
      <c r="V3702" s="72">
        <f t="shared" si="1744"/>
        <v>0</v>
      </c>
      <c r="W3702" s="72">
        <f t="shared" si="1743"/>
        <v>803.99999999999989</v>
      </c>
      <c r="X3702" s="72">
        <v>0</v>
      </c>
      <c r="Y3702" s="14">
        <f t="shared" si="1741"/>
        <v>0</v>
      </c>
      <c r="Z3702" s="11" t="s">
        <v>26</v>
      </c>
      <c r="AA3702" s="12" t="s">
        <v>31</v>
      </c>
    </row>
    <row r="3703" spans="1:27" x14ac:dyDescent="0.25">
      <c r="A3703" s="10">
        <v>45714</v>
      </c>
      <c r="B3703" s="11" t="s">
        <v>6623</v>
      </c>
      <c r="C3703" s="11" t="s">
        <v>6624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163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1694"/>
        <v>1.5471999999999999</v>
      </c>
      <c r="O3703" s="13" t="s">
        <v>30</v>
      </c>
      <c r="P3703" s="13">
        <v>60</v>
      </c>
      <c r="Q3703" s="13">
        <v>0</v>
      </c>
      <c r="R3703" s="72">
        <f>M3703*P3703</f>
        <v>1500</v>
      </c>
      <c r="S3703" s="72">
        <v>0</v>
      </c>
      <c r="T3703" s="72">
        <f>M3703*S3703</f>
        <v>0</v>
      </c>
      <c r="U3703" s="72">
        <f>R3703-T3703</f>
        <v>1500</v>
      </c>
      <c r="V3703" s="72">
        <f>U3703*0</f>
        <v>0</v>
      </c>
      <c r="W3703" s="72">
        <f>U3703-V3703</f>
        <v>1500</v>
      </c>
      <c r="X3703" s="72">
        <v>0</v>
      </c>
      <c r="Y3703" s="14">
        <f t="shared" si="1741"/>
        <v>0</v>
      </c>
      <c r="Z3703" s="11" t="s">
        <v>26</v>
      </c>
      <c r="AA3703" s="12" t="s">
        <v>31</v>
      </c>
    </row>
    <row r="3704" spans="1:27" x14ac:dyDescent="0.25">
      <c r="A3704" s="10">
        <v>45714</v>
      </c>
      <c r="B3704" s="11" t="s">
        <v>6561</v>
      </c>
      <c r="C3704" s="11" t="s">
        <v>6625</v>
      </c>
      <c r="D3704" s="11">
        <v>18261</v>
      </c>
      <c r="E3704" s="11" t="s">
        <v>431</v>
      </c>
      <c r="F3704" s="11" t="s">
        <v>26</v>
      </c>
      <c r="G3704" s="11">
        <v>1058</v>
      </c>
      <c r="H3704" s="12" t="s">
        <v>6345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1694"/>
        <v>1.6072</v>
      </c>
      <c r="O3704" s="13">
        <v>42.5</v>
      </c>
      <c r="P3704" s="13"/>
      <c r="Q3704" s="13">
        <v>0</v>
      </c>
      <c r="R3704" s="72">
        <f>L3704*O3704</f>
        <v>1707.65</v>
      </c>
      <c r="S3704" s="72">
        <v>0</v>
      </c>
      <c r="T3704" s="72">
        <f>+L3704*S3704</f>
        <v>0</v>
      </c>
      <c r="U3704" s="72">
        <f>R3704-T3704</f>
        <v>1707.65</v>
      </c>
      <c r="V3704" s="72">
        <f>U3704*0</f>
        <v>0</v>
      </c>
      <c r="W3704" s="72">
        <f>U3704-V3704</f>
        <v>1707.65</v>
      </c>
      <c r="X3704" s="76">
        <f>L3704*0</f>
        <v>0</v>
      </c>
      <c r="Y3704" s="76">
        <f>T3704-X3704</f>
        <v>0</v>
      </c>
      <c r="Z3704" s="76" t="s">
        <v>26</v>
      </c>
      <c r="AA3704" s="12" t="s">
        <v>31</v>
      </c>
    </row>
    <row r="3705" spans="1:27" x14ac:dyDescent="0.25">
      <c r="A3705" s="10">
        <v>45714</v>
      </c>
      <c r="B3705" s="11" t="s">
        <v>6626</v>
      </c>
      <c r="C3705" s="11" t="s">
        <v>6627</v>
      </c>
      <c r="D3705" s="11">
        <v>18262</v>
      </c>
      <c r="E3705" s="11" t="s">
        <v>325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1694"/>
        <v>1.6280000000000001</v>
      </c>
      <c r="O3705" s="13">
        <v>45</v>
      </c>
      <c r="P3705" s="13" t="s">
        <v>30</v>
      </c>
      <c r="Q3705" s="13">
        <v>0</v>
      </c>
      <c r="R3705" s="72">
        <f>(L3705*O3705)-Q3705</f>
        <v>366.3</v>
      </c>
      <c r="S3705" s="72">
        <v>0</v>
      </c>
      <c r="T3705" s="72">
        <f t="shared" ref="T3705" si="1746">+L3705*S3705</f>
        <v>0</v>
      </c>
      <c r="U3705" s="72">
        <f t="shared" ref="U3705:U3708" si="1747">+R3705-T3705</f>
        <v>366.3</v>
      </c>
      <c r="V3705" s="72">
        <f>+U3705*0</f>
        <v>0</v>
      </c>
      <c r="W3705" s="72">
        <f t="shared" ref="W3705:W3708" si="1748">+U3705-V3705</f>
        <v>366.3</v>
      </c>
      <c r="X3705" s="72">
        <v>0</v>
      </c>
      <c r="Y3705" s="14">
        <f t="shared" ref="Y3705:Y3715" si="1749">T3705-X3705</f>
        <v>0</v>
      </c>
      <c r="Z3705" s="11" t="s">
        <v>26</v>
      </c>
      <c r="AA3705" s="12" t="s">
        <v>31</v>
      </c>
    </row>
    <row r="3706" spans="1:27" x14ac:dyDescent="0.25">
      <c r="A3706" s="10">
        <v>45714</v>
      </c>
      <c r="B3706" s="11" t="s">
        <v>280</v>
      </c>
      <c r="C3706" s="11" t="s">
        <v>6628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1694"/>
        <v>1.6232</v>
      </c>
      <c r="O3706" s="13" t="s">
        <v>30</v>
      </c>
      <c r="P3706" s="13">
        <v>24</v>
      </c>
      <c r="Q3706" s="13">
        <v>0</v>
      </c>
      <c r="R3706" s="72">
        <f>+M3706*P3706</f>
        <v>600</v>
      </c>
      <c r="S3706" s="72">
        <v>0</v>
      </c>
      <c r="T3706" s="72">
        <f>+M3706*S3706</f>
        <v>0</v>
      </c>
      <c r="U3706" s="72">
        <f t="shared" si="1747"/>
        <v>600</v>
      </c>
      <c r="V3706" s="72">
        <f>+U3706*0</f>
        <v>0</v>
      </c>
      <c r="W3706" s="72">
        <f t="shared" si="1748"/>
        <v>600</v>
      </c>
      <c r="X3706" s="72">
        <v>0</v>
      </c>
      <c r="Y3706" s="14">
        <f t="shared" si="1749"/>
        <v>0</v>
      </c>
      <c r="Z3706" s="11" t="s">
        <v>26</v>
      </c>
      <c r="AA3706" s="12" t="s">
        <v>31</v>
      </c>
    </row>
    <row r="3707" spans="1:27" x14ac:dyDescent="0.25">
      <c r="A3707" s="10">
        <v>45714</v>
      </c>
      <c r="B3707" s="11" t="s">
        <v>5445</v>
      </c>
      <c r="C3707" s="11" t="s">
        <v>6629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1694"/>
        <v>1.4880000000000002</v>
      </c>
      <c r="O3707" s="13" t="s">
        <v>30</v>
      </c>
      <c r="P3707" s="13">
        <v>60</v>
      </c>
      <c r="Q3707" s="13">
        <v>0</v>
      </c>
      <c r="R3707" s="72">
        <f>+M3707*P3707</f>
        <v>1500</v>
      </c>
      <c r="S3707" s="72">
        <v>0</v>
      </c>
      <c r="T3707" s="72">
        <f>+M3707*S3707</f>
        <v>0</v>
      </c>
      <c r="U3707" s="72">
        <f t="shared" si="1747"/>
        <v>1500</v>
      </c>
      <c r="V3707" s="72">
        <f>+U3707*0</f>
        <v>0</v>
      </c>
      <c r="W3707" s="72">
        <f t="shared" si="1748"/>
        <v>1500</v>
      </c>
      <c r="X3707" s="72">
        <v>0</v>
      </c>
      <c r="Y3707" s="14">
        <f t="shared" si="1749"/>
        <v>0</v>
      </c>
      <c r="Z3707" s="11" t="s">
        <v>26</v>
      </c>
      <c r="AA3707" s="12" t="s">
        <v>31</v>
      </c>
    </row>
    <row r="3708" spans="1:27" x14ac:dyDescent="0.25">
      <c r="A3708" s="10">
        <v>45714</v>
      </c>
      <c r="B3708" s="11" t="s">
        <v>356</v>
      </c>
      <c r="C3708" s="11" t="s">
        <v>6630</v>
      </c>
      <c r="D3708" s="11">
        <v>18265</v>
      </c>
      <c r="E3708" s="11" t="s">
        <v>246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1694"/>
        <v>1.6280000000000001</v>
      </c>
      <c r="O3708" s="13" t="s">
        <v>30</v>
      </c>
      <c r="P3708" s="13">
        <v>24</v>
      </c>
      <c r="Q3708" s="13">
        <v>0</v>
      </c>
      <c r="R3708" s="72">
        <f>+M3708*P3708</f>
        <v>600</v>
      </c>
      <c r="S3708" s="72">
        <v>0</v>
      </c>
      <c r="T3708" s="72">
        <f>+M3708*S3708</f>
        <v>0</v>
      </c>
      <c r="U3708" s="72">
        <f t="shared" si="1747"/>
        <v>600</v>
      </c>
      <c r="V3708" s="72">
        <f>+U3708*0</f>
        <v>0</v>
      </c>
      <c r="W3708" s="72">
        <f t="shared" si="1748"/>
        <v>600</v>
      </c>
      <c r="X3708" s="72">
        <v>0</v>
      </c>
      <c r="Y3708" s="14">
        <f t="shared" si="1749"/>
        <v>0</v>
      </c>
      <c r="Z3708" s="11" t="s">
        <v>26</v>
      </c>
      <c r="AA3708" s="12" t="s">
        <v>31</v>
      </c>
    </row>
    <row r="3709" spans="1:27" x14ac:dyDescent="0.25">
      <c r="A3709" s="10">
        <v>45714</v>
      </c>
      <c r="B3709" s="11" t="s">
        <v>6631</v>
      </c>
      <c r="C3709" s="11" t="s">
        <v>6632</v>
      </c>
      <c r="D3709" s="11">
        <v>18266</v>
      </c>
      <c r="E3709" s="11" t="s">
        <v>2143</v>
      </c>
      <c r="F3709" s="11" t="s">
        <v>26</v>
      </c>
      <c r="G3709" s="11">
        <v>112488</v>
      </c>
      <c r="H3709" s="12" t="s">
        <v>4463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1694"/>
        <v>1.42</v>
      </c>
      <c r="O3709" s="13">
        <v>44</v>
      </c>
      <c r="P3709" s="13" t="s">
        <v>30</v>
      </c>
      <c r="Q3709" s="13">
        <v>0</v>
      </c>
      <c r="R3709" s="72">
        <f t="shared" ref="R3709" si="1750">+L3709*O3709</f>
        <v>1562</v>
      </c>
      <c r="S3709" s="72">
        <v>0</v>
      </c>
      <c r="T3709" s="72">
        <f>+L3709*S3709</f>
        <v>0</v>
      </c>
      <c r="U3709" s="72">
        <f>+R3709-T3709</f>
        <v>1562</v>
      </c>
      <c r="V3709" s="72">
        <f>+U3709*1</f>
        <v>1562</v>
      </c>
      <c r="W3709" s="72">
        <f>+U3709-V3709</f>
        <v>0</v>
      </c>
      <c r="X3709" s="72">
        <v>0</v>
      </c>
      <c r="Y3709" s="14">
        <f t="shared" si="1749"/>
        <v>0</v>
      </c>
      <c r="Z3709" s="11" t="s">
        <v>26</v>
      </c>
      <c r="AA3709" s="12" t="s">
        <v>31</v>
      </c>
    </row>
    <row r="3710" spans="1:27" x14ac:dyDescent="0.25">
      <c r="A3710" s="10">
        <v>45714</v>
      </c>
      <c r="B3710" s="11" t="s">
        <v>6633</v>
      </c>
      <c r="C3710" s="11" t="s">
        <v>6634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1694"/>
        <v>1.5216000000000001</v>
      </c>
      <c r="O3710" s="13" t="s">
        <v>30</v>
      </c>
      <c r="P3710" s="13">
        <v>60</v>
      </c>
      <c r="Q3710" s="13">
        <v>0</v>
      </c>
      <c r="R3710" s="72">
        <f>+M3710*P3710</f>
        <v>1500</v>
      </c>
      <c r="S3710" s="72">
        <v>0</v>
      </c>
      <c r="T3710" s="72">
        <f>+M3710*S3710</f>
        <v>0</v>
      </c>
      <c r="U3710" s="72">
        <f t="shared" ref="U3710" si="1751">+R3710-T3710</f>
        <v>1500</v>
      </c>
      <c r="V3710" s="72">
        <f>+U3710*0</f>
        <v>0</v>
      </c>
      <c r="W3710" s="72">
        <f t="shared" ref="W3710" si="1752">+U3710-V3710</f>
        <v>1500</v>
      </c>
      <c r="X3710" s="72">
        <v>0</v>
      </c>
      <c r="Y3710" s="14">
        <f t="shared" si="1749"/>
        <v>0</v>
      </c>
      <c r="Z3710" s="11" t="s">
        <v>26</v>
      </c>
      <c r="AA3710" s="12" t="s">
        <v>31</v>
      </c>
    </row>
    <row r="3711" spans="1:27" x14ac:dyDescent="0.25">
      <c r="A3711" s="10">
        <v>45714</v>
      </c>
      <c r="B3711" s="11" t="s">
        <v>130</v>
      </c>
      <c r="C3711" s="11" t="s">
        <v>6635</v>
      </c>
      <c r="D3711" s="11">
        <v>18268</v>
      </c>
      <c r="E3711" s="11" t="s">
        <v>570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1694"/>
        <v>1.6703999999999999</v>
      </c>
      <c r="O3711" s="13">
        <v>35</v>
      </c>
      <c r="P3711" s="13"/>
      <c r="Q3711" s="13">
        <v>0</v>
      </c>
      <c r="R3711" s="72">
        <f>+L3711*O3711</f>
        <v>1461.6</v>
      </c>
      <c r="S3711" s="72">
        <v>0</v>
      </c>
      <c r="T3711" s="72">
        <f>+L3711*S3711</f>
        <v>0</v>
      </c>
      <c r="U3711" s="72">
        <f>+R3711-T3711</f>
        <v>1461.6</v>
      </c>
      <c r="V3711" s="72">
        <f t="shared" ref="V3711:V3713" si="1753">+U3711*0</f>
        <v>0</v>
      </c>
      <c r="W3711" s="72">
        <f>+U3711-V3711</f>
        <v>1461.6</v>
      </c>
      <c r="X3711" s="72">
        <v>0</v>
      </c>
      <c r="Y3711" s="14">
        <f t="shared" si="1749"/>
        <v>0</v>
      </c>
      <c r="Z3711" s="11" t="s">
        <v>26</v>
      </c>
      <c r="AA3711" s="12" t="s">
        <v>31</v>
      </c>
    </row>
    <row r="3712" spans="1:27" x14ac:dyDescent="0.25">
      <c r="A3712" s="10">
        <v>45714</v>
      </c>
      <c r="B3712" s="11" t="s">
        <v>703</v>
      </c>
      <c r="C3712" s="11" t="s">
        <v>6636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1694"/>
        <v>1.3966666666666667</v>
      </c>
      <c r="O3712" s="13">
        <v>50</v>
      </c>
      <c r="P3712" s="13" t="s">
        <v>30</v>
      </c>
      <c r="Q3712" s="13">
        <v>0</v>
      </c>
      <c r="R3712" s="72">
        <f>(L3712*O3712)-Q3712</f>
        <v>419.00000000000006</v>
      </c>
      <c r="S3712" s="72">
        <v>0</v>
      </c>
      <c r="T3712" s="72">
        <f t="shared" ref="T3712" si="1754">+L3712*S3712</f>
        <v>0</v>
      </c>
      <c r="U3712" s="72">
        <f t="shared" ref="U3712" si="1755">+R3712-T3712</f>
        <v>419.00000000000006</v>
      </c>
      <c r="V3712" s="72">
        <f t="shared" si="1753"/>
        <v>0</v>
      </c>
      <c r="W3712" s="72">
        <f t="shared" ref="W3712" si="1756">+U3712-V3712</f>
        <v>419.00000000000006</v>
      </c>
      <c r="X3712" s="72">
        <v>0</v>
      </c>
      <c r="Y3712" s="14">
        <f t="shared" si="1749"/>
        <v>0</v>
      </c>
      <c r="Z3712" s="11" t="s">
        <v>26</v>
      </c>
      <c r="AA3712" s="12" t="s">
        <v>31</v>
      </c>
    </row>
    <row r="3713" spans="1:27" x14ac:dyDescent="0.25">
      <c r="A3713" s="10">
        <v>45714</v>
      </c>
      <c r="B3713" s="11" t="s">
        <v>6637</v>
      </c>
      <c r="C3713" s="11" t="s">
        <v>6638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1694"/>
        <v>1.4721428571428572</v>
      </c>
      <c r="O3713" s="13">
        <v>40</v>
      </c>
      <c r="P3713" s="13"/>
      <c r="Q3713" s="13">
        <v>0</v>
      </c>
      <c r="R3713" s="72">
        <f>+L3713*O3713</f>
        <v>1648.8</v>
      </c>
      <c r="S3713" s="72">
        <v>0</v>
      </c>
      <c r="T3713" s="72">
        <f>+L3713*S3713</f>
        <v>0</v>
      </c>
      <c r="U3713" s="72">
        <f>+R3713-T3713</f>
        <v>1648.8</v>
      </c>
      <c r="V3713" s="72">
        <f t="shared" si="1753"/>
        <v>0</v>
      </c>
      <c r="W3713" s="72">
        <f>+U3713-V3713</f>
        <v>1648.8</v>
      </c>
      <c r="X3713" s="72">
        <v>0</v>
      </c>
      <c r="Y3713" s="14">
        <f t="shared" si="1749"/>
        <v>0</v>
      </c>
      <c r="Z3713" s="11" t="s">
        <v>26</v>
      </c>
      <c r="AA3713" s="12" t="s">
        <v>31</v>
      </c>
    </row>
    <row r="3714" spans="1:27" x14ac:dyDescent="0.25">
      <c r="A3714" s="10">
        <v>45714</v>
      </c>
      <c r="B3714" s="11" t="s">
        <v>263</v>
      </c>
      <c r="C3714" s="11" t="s">
        <v>6639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1694"/>
        <v>1.6608333333333334</v>
      </c>
      <c r="O3714" s="13" t="s">
        <v>30</v>
      </c>
      <c r="P3714" s="13">
        <v>24</v>
      </c>
      <c r="Q3714" s="13">
        <v>0</v>
      </c>
      <c r="R3714" s="72">
        <f>+M3714*P3714</f>
        <v>576</v>
      </c>
      <c r="S3714" s="72">
        <v>0</v>
      </c>
      <c r="T3714" s="72">
        <f>+M3714*S3714</f>
        <v>0</v>
      </c>
      <c r="U3714" s="72">
        <f t="shared" ref="U3714:U3715" si="1757">+R3714-T3714</f>
        <v>576</v>
      </c>
      <c r="V3714" s="72">
        <f>+U3714*0</f>
        <v>0</v>
      </c>
      <c r="W3714" s="72">
        <f t="shared" ref="W3714:W3715" si="1758">+U3714-V3714</f>
        <v>576</v>
      </c>
      <c r="X3714" s="72">
        <v>0</v>
      </c>
      <c r="Y3714" s="14">
        <f t="shared" si="1749"/>
        <v>0</v>
      </c>
      <c r="Z3714" s="11" t="s">
        <v>26</v>
      </c>
      <c r="AA3714" s="12" t="s">
        <v>31</v>
      </c>
    </row>
    <row r="3715" spans="1:27" x14ac:dyDescent="0.25">
      <c r="A3715" s="10">
        <v>45714</v>
      </c>
      <c r="B3715" s="11" t="s">
        <v>6640</v>
      </c>
      <c r="C3715" s="11" t="s">
        <v>6641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4464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1694"/>
        <v>1.716923076923077</v>
      </c>
      <c r="O3715" s="13" t="s">
        <v>30</v>
      </c>
      <c r="P3715" s="13">
        <v>65.599999999999994</v>
      </c>
      <c r="Q3715" s="13">
        <v>0</v>
      </c>
      <c r="R3715" s="72">
        <f>+M3715*P3715</f>
        <v>852.8</v>
      </c>
      <c r="S3715" s="72">
        <v>0</v>
      </c>
      <c r="T3715" s="72">
        <f>+M3715*S3715</f>
        <v>0</v>
      </c>
      <c r="U3715" s="72">
        <f t="shared" si="1757"/>
        <v>852.8</v>
      </c>
      <c r="V3715" s="72">
        <f>+U3715*1</f>
        <v>852.8</v>
      </c>
      <c r="W3715" s="72">
        <f t="shared" si="1758"/>
        <v>0</v>
      </c>
      <c r="X3715" s="72">
        <v>0</v>
      </c>
      <c r="Y3715" s="14">
        <f t="shared" si="1749"/>
        <v>0</v>
      </c>
      <c r="Z3715" s="11" t="s">
        <v>26</v>
      </c>
      <c r="AA3715" s="12" t="s">
        <v>31</v>
      </c>
    </row>
    <row r="3716" spans="1:27" x14ac:dyDescent="0.25">
      <c r="A3716" s="10">
        <v>45714</v>
      </c>
      <c r="B3716" s="11" t="s">
        <v>1827</v>
      </c>
      <c r="C3716" s="11" t="s">
        <v>6642</v>
      </c>
      <c r="D3716" s="11">
        <v>18273</v>
      </c>
      <c r="E3716" s="11" t="s">
        <v>240</v>
      </c>
      <c r="F3716" s="11" t="s">
        <v>26</v>
      </c>
      <c r="G3716" s="11" t="s">
        <v>26</v>
      </c>
      <c r="H3716" s="12" t="s">
        <v>4439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1694"/>
        <v>1.7727999999999999</v>
      </c>
      <c r="O3716" s="13">
        <v>83</v>
      </c>
      <c r="P3716" s="13" t="s">
        <v>30</v>
      </c>
      <c r="Q3716" s="13">
        <v>0</v>
      </c>
      <c r="R3716" s="72">
        <f>L3716*O3716</f>
        <v>3678.56</v>
      </c>
      <c r="S3716" s="72">
        <v>38</v>
      </c>
      <c r="T3716" s="72">
        <f>L3716*S3716</f>
        <v>1684.16</v>
      </c>
      <c r="U3716" s="72">
        <f>R3716-T3716</f>
        <v>1994.3999999999999</v>
      </c>
      <c r="V3716" s="72">
        <f>U3716*1</f>
        <v>1994.3999999999999</v>
      </c>
      <c r="W3716" s="72">
        <f>U3716-V3716</f>
        <v>0</v>
      </c>
      <c r="X3716" s="72">
        <f>L3716*37</f>
        <v>1639.84</v>
      </c>
      <c r="Y3716" s="73">
        <f>+T3716-X3716</f>
        <v>44.320000000000164</v>
      </c>
      <c r="Z3716" s="12" t="s">
        <v>41</v>
      </c>
      <c r="AA3716" s="12" t="s">
        <v>78</v>
      </c>
    </row>
    <row r="3717" spans="1:27" x14ac:dyDescent="0.25">
      <c r="A3717" s="10">
        <v>45714</v>
      </c>
      <c r="B3717" s="11" t="s">
        <v>6643</v>
      </c>
      <c r="C3717" s="11" t="s">
        <v>6644</v>
      </c>
      <c r="D3717" s="11">
        <v>18274</v>
      </c>
      <c r="E3717" s="11" t="s">
        <v>593</v>
      </c>
      <c r="F3717" s="11" t="s">
        <v>26</v>
      </c>
      <c r="G3717" s="11">
        <v>56554</v>
      </c>
      <c r="H3717" s="12" t="s">
        <v>4440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1694"/>
        <v>1.4168000000000001</v>
      </c>
      <c r="O3717" s="13">
        <v>46</v>
      </c>
      <c r="P3717" s="13" t="s">
        <v>30</v>
      </c>
      <c r="Q3717" s="13">
        <v>0</v>
      </c>
      <c r="R3717" s="72">
        <f t="shared" ref="R3717" si="1759">+L3717*O3717</f>
        <v>1629.3200000000002</v>
      </c>
      <c r="S3717" s="72">
        <v>0</v>
      </c>
      <c r="T3717" s="72">
        <f t="shared" ref="T3717" si="1760">+L3717*S3717</f>
        <v>0</v>
      </c>
      <c r="U3717" s="72">
        <f t="shared" ref="U3717" si="1761">+R3717-T3717</f>
        <v>1629.3200000000002</v>
      </c>
      <c r="V3717" s="72">
        <f>+U3717*1</f>
        <v>1629.3200000000002</v>
      </c>
      <c r="W3717" s="72">
        <f t="shared" ref="W3717" si="1762">+U3717-V3717</f>
        <v>0</v>
      </c>
      <c r="X3717" s="72">
        <v>0</v>
      </c>
      <c r="Y3717" s="14">
        <f t="shared" ref="Y3717:Y3738" si="1763">T3717-X3717</f>
        <v>0</v>
      </c>
      <c r="Z3717" s="11" t="s">
        <v>26</v>
      </c>
      <c r="AA3717" s="12" t="s">
        <v>31</v>
      </c>
    </row>
    <row r="3718" spans="1:27" x14ac:dyDescent="0.25">
      <c r="A3718" s="10">
        <v>45714</v>
      </c>
      <c r="B3718" s="11" t="s">
        <v>3088</v>
      </c>
      <c r="C3718" s="11" t="s">
        <v>6645</v>
      </c>
      <c r="D3718" s="11">
        <v>18275</v>
      </c>
      <c r="E3718" s="11" t="s">
        <v>1217</v>
      </c>
      <c r="F3718" s="11" t="s">
        <v>26</v>
      </c>
      <c r="G3718" s="11">
        <v>2995</v>
      </c>
      <c r="H3718" s="12" t="s">
        <v>163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1694"/>
        <v>1.7568000000000001</v>
      </c>
      <c r="O3718" s="13" t="s">
        <v>30</v>
      </c>
      <c r="P3718" s="13">
        <v>64</v>
      </c>
      <c r="Q3718" s="13">
        <v>0</v>
      </c>
      <c r="R3718" s="72">
        <f>M3718*P3718</f>
        <v>1600</v>
      </c>
      <c r="S3718" s="72">
        <v>0</v>
      </c>
      <c r="T3718" s="72">
        <f>M3718*S3718</f>
        <v>0</v>
      </c>
      <c r="U3718" s="72">
        <f>R3718-T3718</f>
        <v>1600</v>
      </c>
      <c r="V3718" s="72">
        <f t="shared" ref="V3718" si="1764">U3718*0</f>
        <v>0</v>
      </c>
      <c r="W3718" s="72">
        <f t="shared" ref="W3718" si="1765">U3718-V3718</f>
        <v>1600</v>
      </c>
      <c r="X3718" s="72">
        <v>0</v>
      </c>
      <c r="Y3718" s="14">
        <f t="shared" si="1763"/>
        <v>0</v>
      </c>
      <c r="Z3718" s="11" t="s">
        <v>26</v>
      </c>
      <c r="AA3718" s="12" t="s">
        <v>31</v>
      </c>
    </row>
    <row r="3719" spans="1:27" x14ac:dyDescent="0.25">
      <c r="A3719" s="10">
        <v>45714</v>
      </c>
      <c r="B3719" s="11" t="s">
        <v>4345</v>
      </c>
      <c r="C3719" s="11" t="s">
        <v>6646</v>
      </c>
      <c r="D3719" s="11">
        <v>18276</v>
      </c>
      <c r="E3719" s="11" t="s">
        <v>203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1694"/>
        <v>1.7914285714285714</v>
      </c>
      <c r="O3719" s="13">
        <v>20</v>
      </c>
      <c r="P3719" s="13" t="s">
        <v>30</v>
      </c>
      <c r="Q3719" s="13">
        <v>0</v>
      </c>
      <c r="R3719" s="72">
        <f>(L3719*O3719)-Q3719</f>
        <v>250.79999999999998</v>
      </c>
      <c r="S3719" s="72">
        <v>0</v>
      </c>
      <c r="T3719" s="72">
        <f t="shared" ref="T3719" si="1766">+L3719*S3719</f>
        <v>0</v>
      </c>
      <c r="U3719" s="72">
        <f t="shared" ref="U3719:U3724" si="1767">+R3719-T3719</f>
        <v>250.79999999999998</v>
      </c>
      <c r="V3719" s="72">
        <f t="shared" ref="V3719" si="1768">+U3719*0</f>
        <v>0</v>
      </c>
      <c r="W3719" s="72">
        <f t="shared" ref="W3719:W3724" si="1769">+U3719-V3719</f>
        <v>250.79999999999998</v>
      </c>
      <c r="X3719" s="72">
        <v>0</v>
      </c>
      <c r="Y3719" s="14">
        <f t="shared" si="1763"/>
        <v>0</v>
      </c>
      <c r="Z3719" s="11" t="s">
        <v>26</v>
      </c>
      <c r="AA3719" s="12" t="s">
        <v>31</v>
      </c>
    </row>
    <row r="3720" spans="1:27" x14ac:dyDescent="0.25">
      <c r="A3720" s="10">
        <v>45714</v>
      </c>
      <c r="B3720" s="11" t="s">
        <v>3306</v>
      </c>
      <c r="C3720" s="11" t="s">
        <v>6647</v>
      </c>
      <c r="D3720" s="11">
        <v>18277</v>
      </c>
      <c r="E3720" s="11" t="s">
        <v>552</v>
      </c>
      <c r="F3720" s="11" t="s">
        <v>26</v>
      </c>
      <c r="G3720" s="11">
        <v>44188</v>
      </c>
      <c r="H3720" s="12" t="s">
        <v>4440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1694"/>
        <v>1.2847999999999999</v>
      </c>
      <c r="O3720" s="13">
        <v>45</v>
      </c>
      <c r="P3720" s="13" t="s">
        <v>30</v>
      </c>
      <c r="Q3720" s="13">
        <v>0</v>
      </c>
      <c r="R3720" s="72">
        <f>+L3720*O3720</f>
        <v>1445.3999999999999</v>
      </c>
      <c r="S3720" s="72">
        <v>0</v>
      </c>
      <c r="T3720" s="72">
        <f>+L3720*S3720</f>
        <v>0</v>
      </c>
      <c r="U3720" s="72">
        <f t="shared" si="1767"/>
        <v>1445.3999999999999</v>
      </c>
      <c r="V3720" s="72">
        <f>+U3720*1</f>
        <v>1445.3999999999999</v>
      </c>
      <c r="W3720" s="72">
        <f t="shared" si="1769"/>
        <v>0</v>
      </c>
      <c r="X3720" s="72">
        <v>0</v>
      </c>
      <c r="Y3720" s="14">
        <f t="shared" si="1763"/>
        <v>0</v>
      </c>
      <c r="Z3720" s="11" t="s">
        <v>26</v>
      </c>
      <c r="AA3720" s="12" t="s">
        <v>31</v>
      </c>
    </row>
    <row r="3721" spans="1:27" x14ac:dyDescent="0.25">
      <c r="A3721" s="10">
        <v>45714</v>
      </c>
      <c r="B3721" s="11" t="s">
        <v>323</v>
      </c>
      <c r="C3721" s="11" t="s">
        <v>6648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1694"/>
        <v>1.5992</v>
      </c>
      <c r="O3721" s="13" t="s">
        <v>30</v>
      </c>
      <c r="P3721" s="13">
        <v>60</v>
      </c>
      <c r="Q3721" s="13">
        <v>0</v>
      </c>
      <c r="R3721" s="72">
        <f>+M3721*P3721</f>
        <v>1500</v>
      </c>
      <c r="S3721" s="72">
        <v>0</v>
      </c>
      <c r="T3721" s="72">
        <f>+M3721*S3721</f>
        <v>0</v>
      </c>
      <c r="U3721" s="72">
        <f t="shared" si="1767"/>
        <v>1500</v>
      </c>
      <c r="V3721" s="72">
        <f>+U3721*0</f>
        <v>0</v>
      </c>
      <c r="W3721" s="72">
        <f t="shared" si="1769"/>
        <v>1500</v>
      </c>
      <c r="X3721" s="72">
        <v>0</v>
      </c>
      <c r="Y3721" s="14">
        <f t="shared" si="1763"/>
        <v>0</v>
      </c>
      <c r="Z3721" s="11" t="s">
        <v>26</v>
      </c>
      <c r="AA3721" s="12" t="s">
        <v>31</v>
      </c>
    </row>
    <row r="3722" spans="1:27" x14ac:dyDescent="0.25">
      <c r="A3722" s="10">
        <v>45714</v>
      </c>
      <c r="B3722" s="11" t="s">
        <v>3838</v>
      </c>
      <c r="C3722" s="11" t="s">
        <v>6649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1694"/>
        <v>1.5149999999999999</v>
      </c>
      <c r="O3722" s="13">
        <v>50</v>
      </c>
      <c r="P3722" s="13" t="s">
        <v>30</v>
      </c>
      <c r="Q3722" s="13">
        <v>0</v>
      </c>
      <c r="R3722" s="72">
        <f>(L3722*O3722)-Q3722</f>
        <v>303</v>
      </c>
      <c r="S3722" s="72">
        <v>0</v>
      </c>
      <c r="T3722" s="72">
        <f t="shared" ref="T3722" si="1770">+L3722*S3722</f>
        <v>0</v>
      </c>
      <c r="U3722" s="72">
        <f t="shared" si="1767"/>
        <v>303</v>
      </c>
      <c r="V3722" s="72">
        <f t="shared" ref="V3722:V3724" si="1771">+U3722*0</f>
        <v>0</v>
      </c>
      <c r="W3722" s="72">
        <f t="shared" si="1769"/>
        <v>303</v>
      </c>
      <c r="X3722" s="72">
        <v>0</v>
      </c>
      <c r="Y3722" s="14">
        <f t="shared" si="1763"/>
        <v>0</v>
      </c>
      <c r="Z3722" s="11" t="s">
        <v>26</v>
      </c>
      <c r="AA3722" s="12" t="s">
        <v>31</v>
      </c>
    </row>
    <row r="3723" spans="1:27" x14ac:dyDescent="0.25">
      <c r="A3723" s="10">
        <v>45714</v>
      </c>
      <c r="B3723" s="11" t="s">
        <v>1354</v>
      </c>
      <c r="C3723" s="11" t="s">
        <v>6650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1694"/>
        <v>1.6808000000000001</v>
      </c>
      <c r="O3723" s="13" t="s">
        <v>30</v>
      </c>
      <c r="P3723" s="13">
        <v>64</v>
      </c>
      <c r="Q3723" s="13">
        <v>0</v>
      </c>
      <c r="R3723" s="72">
        <f>+M3723*P3723</f>
        <v>1600</v>
      </c>
      <c r="S3723" s="72">
        <v>0</v>
      </c>
      <c r="T3723" s="72">
        <f>+M3723*S3723</f>
        <v>0</v>
      </c>
      <c r="U3723" s="72">
        <f t="shared" si="1767"/>
        <v>1600</v>
      </c>
      <c r="V3723" s="72">
        <f t="shared" si="1771"/>
        <v>0</v>
      </c>
      <c r="W3723" s="72">
        <f t="shared" si="1769"/>
        <v>1600</v>
      </c>
      <c r="X3723" s="72">
        <v>0</v>
      </c>
      <c r="Y3723" s="14">
        <f t="shared" si="1763"/>
        <v>0</v>
      </c>
      <c r="Z3723" s="11" t="s">
        <v>26</v>
      </c>
      <c r="AA3723" s="12" t="s">
        <v>31</v>
      </c>
    </row>
    <row r="3724" spans="1:27" x14ac:dyDescent="0.25">
      <c r="A3724" s="10">
        <v>45714</v>
      </c>
      <c r="B3724" s="11" t="s">
        <v>2687</v>
      </c>
      <c r="C3724" s="11" t="s">
        <v>6651</v>
      </c>
      <c r="D3724" s="11">
        <v>18281</v>
      </c>
      <c r="E3724" s="11" t="s">
        <v>484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1694"/>
        <v>1.5372727272727273</v>
      </c>
      <c r="O3724" s="13">
        <v>20</v>
      </c>
      <c r="P3724" s="13" t="s">
        <v>30</v>
      </c>
      <c r="Q3724" s="13">
        <v>0</v>
      </c>
      <c r="R3724" s="72">
        <f>(L3724*O3724)-Q3724</f>
        <v>676.4</v>
      </c>
      <c r="S3724" s="72">
        <v>0</v>
      </c>
      <c r="T3724" s="72">
        <f t="shared" ref="T3724" si="1772">+L3724*S3724</f>
        <v>0</v>
      </c>
      <c r="U3724" s="72">
        <f t="shared" si="1767"/>
        <v>676.4</v>
      </c>
      <c r="V3724" s="72">
        <f t="shared" si="1771"/>
        <v>0</v>
      </c>
      <c r="W3724" s="72">
        <f t="shared" si="1769"/>
        <v>676.4</v>
      </c>
      <c r="X3724" s="72">
        <v>0</v>
      </c>
      <c r="Y3724" s="14">
        <f t="shared" si="1763"/>
        <v>0</v>
      </c>
      <c r="Z3724" s="11" t="s">
        <v>26</v>
      </c>
      <c r="AA3724" s="12" t="s">
        <v>31</v>
      </c>
    </row>
    <row r="3725" spans="1:27" x14ac:dyDescent="0.25">
      <c r="A3725" s="10">
        <v>45714</v>
      </c>
      <c r="B3725" s="11" t="s">
        <v>430</v>
      </c>
      <c r="C3725" s="11" t="s">
        <v>6652</v>
      </c>
      <c r="D3725" s="11">
        <v>18282</v>
      </c>
      <c r="E3725" s="11" t="s">
        <v>461</v>
      </c>
      <c r="F3725" s="11" t="s">
        <v>26</v>
      </c>
      <c r="G3725" s="11">
        <v>136</v>
      </c>
      <c r="H3725" s="12" t="s">
        <v>4461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1694"/>
        <v>1.569</v>
      </c>
      <c r="O3725" s="13">
        <v>30</v>
      </c>
      <c r="P3725" s="13" t="s">
        <v>30</v>
      </c>
      <c r="Q3725" s="13">
        <v>0</v>
      </c>
      <c r="R3725" s="72">
        <f>L3725*O3725</f>
        <v>941.4</v>
      </c>
      <c r="S3725" s="72">
        <v>0</v>
      </c>
      <c r="T3725" s="72">
        <f>L3725*S3725</f>
        <v>0</v>
      </c>
      <c r="U3725" s="72">
        <f>R3725-T3725</f>
        <v>941.4</v>
      </c>
      <c r="V3725" s="72">
        <f>U3725*0</f>
        <v>0</v>
      </c>
      <c r="W3725" s="72">
        <f>U3725-V3725</f>
        <v>941.4</v>
      </c>
      <c r="X3725" s="72">
        <v>0</v>
      </c>
      <c r="Y3725" s="14">
        <f t="shared" si="1763"/>
        <v>0</v>
      </c>
      <c r="Z3725" s="11" t="s">
        <v>26</v>
      </c>
      <c r="AA3725" s="12" t="s">
        <v>31</v>
      </c>
    </row>
    <row r="3726" spans="1:27" x14ac:dyDescent="0.25">
      <c r="A3726" s="10">
        <v>45714</v>
      </c>
      <c r="B3726" s="11" t="s">
        <v>6653</v>
      </c>
      <c r="C3726" s="11" t="s">
        <v>6654</v>
      </c>
      <c r="D3726" s="11">
        <v>18283</v>
      </c>
      <c r="E3726" s="11" t="s">
        <v>486</v>
      </c>
      <c r="F3726" s="11" t="s">
        <v>26</v>
      </c>
      <c r="G3726" s="11">
        <v>78152</v>
      </c>
      <c r="H3726" s="12" t="s">
        <v>4465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1694"/>
        <v>1.6135714285714287</v>
      </c>
      <c r="O3726" s="13">
        <v>42.5</v>
      </c>
      <c r="P3726" s="13"/>
      <c r="Q3726" s="13">
        <v>0</v>
      </c>
      <c r="R3726" s="72">
        <f>+L3726*O3726</f>
        <v>1920.15</v>
      </c>
      <c r="S3726" s="72">
        <v>0</v>
      </c>
      <c r="T3726" s="72">
        <f>+L3726*S3726</f>
        <v>0</v>
      </c>
      <c r="U3726" s="72">
        <f>+R3726-T3726</f>
        <v>1920.15</v>
      </c>
      <c r="V3726" s="72">
        <f>+U3726*0.75</f>
        <v>1440.1125000000002</v>
      </c>
      <c r="W3726" s="72">
        <f>+U3726-V3726</f>
        <v>480.03749999999991</v>
      </c>
      <c r="X3726" s="72">
        <v>0</v>
      </c>
      <c r="Y3726" s="14">
        <f t="shared" si="1763"/>
        <v>0</v>
      </c>
      <c r="Z3726" s="11" t="s">
        <v>26</v>
      </c>
      <c r="AA3726" s="12" t="s">
        <v>31</v>
      </c>
    </row>
    <row r="3727" spans="1:27" x14ac:dyDescent="0.25">
      <c r="A3727" s="10">
        <v>45714</v>
      </c>
      <c r="B3727" s="11" t="s">
        <v>613</v>
      </c>
      <c r="C3727" s="11" t="s">
        <v>6655</v>
      </c>
      <c r="D3727" s="11">
        <v>18284</v>
      </c>
      <c r="E3727" s="11" t="s">
        <v>539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1694"/>
        <v>1.6</v>
      </c>
      <c r="O3727" s="13" t="s">
        <v>30</v>
      </c>
      <c r="P3727" s="13">
        <v>24</v>
      </c>
      <c r="Q3727" s="13">
        <v>0</v>
      </c>
      <c r="R3727" s="72">
        <f>+M3727*P3727</f>
        <v>600</v>
      </c>
      <c r="S3727" s="72">
        <v>0</v>
      </c>
      <c r="T3727" s="72">
        <f>+M3727*S3727</f>
        <v>0</v>
      </c>
      <c r="U3727" s="72">
        <f t="shared" ref="U3727" si="1773">+R3727-T3727</f>
        <v>600</v>
      </c>
      <c r="V3727" s="72">
        <f>+U3727*0</f>
        <v>0</v>
      </c>
      <c r="W3727" s="72">
        <f t="shared" ref="W3727" si="1774">+U3727-V3727</f>
        <v>600</v>
      </c>
      <c r="X3727" s="72">
        <v>0</v>
      </c>
      <c r="Y3727" s="14">
        <f t="shared" si="1763"/>
        <v>0</v>
      </c>
      <c r="Z3727" s="11" t="s">
        <v>26</v>
      </c>
      <c r="AA3727" s="12" t="s">
        <v>31</v>
      </c>
    </row>
    <row r="3728" spans="1:27" x14ac:dyDescent="0.25">
      <c r="A3728" s="10">
        <v>45714</v>
      </c>
      <c r="B3728" s="11" t="s">
        <v>282</v>
      </c>
      <c r="C3728" s="11" t="s">
        <v>6656</v>
      </c>
      <c r="D3728" s="11">
        <v>18285</v>
      </c>
      <c r="E3728" s="11" t="s">
        <v>6161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1694"/>
        <v>1.4566666666666668</v>
      </c>
      <c r="O3728" s="13">
        <v>40</v>
      </c>
      <c r="P3728" s="13"/>
      <c r="Q3728" s="13">
        <v>0</v>
      </c>
      <c r="R3728" s="72">
        <f>+L3728*O3728</f>
        <v>1398.4</v>
      </c>
      <c r="S3728" s="72">
        <v>0</v>
      </c>
      <c r="T3728" s="72">
        <f>+L3728*S3728</f>
        <v>0</v>
      </c>
      <c r="U3728" s="72">
        <f>+R3728-T3728</f>
        <v>1398.4</v>
      </c>
      <c r="V3728" s="72">
        <f t="shared" ref="V3728" si="1775">+U3728*0</f>
        <v>0</v>
      </c>
      <c r="W3728" s="72">
        <f>+U3728-V3728</f>
        <v>1398.4</v>
      </c>
      <c r="X3728" s="72">
        <v>0</v>
      </c>
      <c r="Y3728" s="14">
        <f t="shared" si="1763"/>
        <v>0</v>
      </c>
      <c r="Z3728" s="11" t="s">
        <v>26</v>
      </c>
      <c r="AA3728" s="12" t="s">
        <v>31</v>
      </c>
    </row>
    <row r="3729" spans="1:27" x14ac:dyDescent="0.25">
      <c r="A3729" s="10">
        <v>45714</v>
      </c>
      <c r="B3729" s="11" t="s">
        <v>2755</v>
      </c>
      <c r="C3729" s="11" t="s">
        <v>6657</v>
      </c>
      <c r="D3729" s="11">
        <v>18286</v>
      </c>
      <c r="E3729" s="11" t="s">
        <v>505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1694"/>
        <v>1.4764285714285716</v>
      </c>
      <c r="O3729" s="13">
        <v>40</v>
      </c>
      <c r="P3729" s="13" t="s">
        <v>30</v>
      </c>
      <c r="Q3729" s="13">
        <v>0</v>
      </c>
      <c r="R3729" s="72">
        <f>L3729*O3729</f>
        <v>1653.6000000000001</v>
      </c>
      <c r="S3729" s="72">
        <v>0</v>
      </c>
      <c r="T3729" s="72">
        <f>L3729*S3729</f>
        <v>0</v>
      </c>
      <c r="U3729" s="72">
        <f>R3729-T3729</f>
        <v>1653.6000000000001</v>
      </c>
      <c r="V3729" s="72">
        <f>U3729*0</f>
        <v>0</v>
      </c>
      <c r="W3729" s="72">
        <f>U3729-V3729</f>
        <v>1653.6000000000001</v>
      </c>
      <c r="X3729" s="72">
        <v>0</v>
      </c>
      <c r="Y3729" s="14">
        <f t="shared" si="1763"/>
        <v>0</v>
      </c>
      <c r="Z3729" s="11" t="s">
        <v>26</v>
      </c>
      <c r="AA3729" s="12" t="s">
        <v>31</v>
      </c>
    </row>
    <row r="3730" spans="1:27" x14ac:dyDescent="0.25">
      <c r="A3730" s="10">
        <v>45714</v>
      </c>
      <c r="B3730" s="11" t="s">
        <v>6658</v>
      </c>
      <c r="C3730" s="11" t="s">
        <v>6659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163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1694"/>
        <v>1.3896000000000002</v>
      </c>
      <c r="O3730" s="13" t="s">
        <v>30</v>
      </c>
      <c r="P3730" s="13">
        <v>60</v>
      </c>
      <c r="Q3730" s="13">
        <v>0</v>
      </c>
      <c r="R3730" s="72">
        <f>M3730*P3730</f>
        <v>1500</v>
      </c>
      <c r="S3730" s="72">
        <v>0</v>
      </c>
      <c r="T3730" s="72">
        <f>M3730*S3730</f>
        <v>0</v>
      </c>
      <c r="U3730" s="72">
        <f>R3730-T3730</f>
        <v>1500</v>
      </c>
      <c r="V3730" s="72">
        <f>U3730*0</f>
        <v>0</v>
      </c>
      <c r="W3730" s="72">
        <f>U3730-V3730</f>
        <v>1500</v>
      </c>
      <c r="X3730" s="72">
        <v>0</v>
      </c>
      <c r="Y3730" s="14">
        <f t="shared" si="1763"/>
        <v>0</v>
      </c>
      <c r="Z3730" s="11" t="s">
        <v>26</v>
      </c>
      <c r="AA3730" s="12" t="s">
        <v>31</v>
      </c>
    </row>
    <row r="3731" spans="1:27" x14ac:dyDescent="0.25">
      <c r="A3731" s="10">
        <v>45714</v>
      </c>
      <c r="B3731" s="11" t="s">
        <v>6660</v>
      </c>
      <c r="C3731" s="11" t="s">
        <v>6661</v>
      </c>
      <c r="D3731" s="11">
        <v>18288</v>
      </c>
      <c r="E3731" s="11" t="s">
        <v>461</v>
      </c>
      <c r="F3731" s="11" t="s">
        <v>26</v>
      </c>
      <c r="G3731" s="11">
        <v>137</v>
      </c>
      <c r="H3731" s="12" t="s">
        <v>4461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1694"/>
        <v>1.5609999999999999</v>
      </c>
      <c r="O3731" s="13">
        <v>30</v>
      </c>
      <c r="P3731" s="13" t="s">
        <v>30</v>
      </c>
      <c r="Q3731" s="13">
        <v>0</v>
      </c>
      <c r="R3731" s="72">
        <f>L3731*O3731</f>
        <v>936.59999999999991</v>
      </c>
      <c r="S3731" s="72">
        <v>0</v>
      </c>
      <c r="T3731" s="72">
        <f>L3731*S3731</f>
        <v>0</v>
      </c>
      <c r="U3731" s="72">
        <f>R3731-T3731</f>
        <v>936.59999999999991</v>
      </c>
      <c r="V3731" s="72">
        <f>U3731*0</f>
        <v>0</v>
      </c>
      <c r="W3731" s="72">
        <f>U3731-V3731</f>
        <v>936.59999999999991</v>
      </c>
      <c r="X3731" s="72">
        <v>0</v>
      </c>
      <c r="Y3731" s="14">
        <f t="shared" si="1763"/>
        <v>0</v>
      </c>
      <c r="Z3731" s="11" t="s">
        <v>26</v>
      </c>
      <c r="AA3731" s="12" t="s">
        <v>31</v>
      </c>
    </row>
    <row r="3732" spans="1:27" x14ac:dyDescent="0.25">
      <c r="A3732" s="10">
        <v>45714</v>
      </c>
      <c r="B3732" s="11" t="s">
        <v>323</v>
      </c>
      <c r="C3732" s="11" t="s">
        <v>6662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4464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1694"/>
        <v>1.5476923076923077</v>
      </c>
      <c r="O3732" s="13" t="s">
        <v>30</v>
      </c>
      <c r="P3732" s="13">
        <v>65.599999999999994</v>
      </c>
      <c r="Q3732" s="13">
        <v>0</v>
      </c>
      <c r="R3732" s="72">
        <f>+M3732*P3732</f>
        <v>852.8</v>
      </c>
      <c r="S3732" s="72">
        <v>0</v>
      </c>
      <c r="T3732" s="72">
        <f>+M3732*S3732</f>
        <v>0</v>
      </c>
      <c r="U3732" s="72">
        <f t="shared" ref="U3732" si="1776">+R3732-T3732</f>
        <v>852.8</v>
      </c>
      <c r="V3732" s="72">
        <f>+U3732*1</f>
        <v>852.8</v>
      </c>
      <c r="W3732" s="72">
        <f t="shared" ref="W3732" si="1777">+U3732-V3732</f>
        <v>0</v>
      </c>
      <c r="X3732" s="72">
        <v>0</v>
      </c>
      <c r="Y3732" s="14">
        <f t="shared" si="1763"/>
        <v>0</v>
      </c>
      <c r="Z3732" s="11" t="s">
        <v>26</v>
      </c>
      <c r="AA3732" s="12" t="s">
        <v>31</v>
      </c>
    </row>
    <row r="3733" spans="1:27" x14ac:dyDescent="0.25">
      <c r="A3733" s="10">
        <v>45714</v>
      </c>
      <c r="B3733" s="11" t="s">
        <v>6663</v>
      </c>
      <c r="C3733" s="11" t="s">
        <v>6664</v>
      </c>
      <c r="D3733" s="11">
        <v>18290</v>
      </c>
      <c r="E3733" s="11" t="s">
        <v>574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1694"/>
        <v>1.4814285714285713</v>
      </c>
      <c r="O3733" s="13">
        <v>40</v>
      </c>
      <c r="P3733" s="13" t="s">
        <v>30</v>
      </c>
      <c r="Q3733" s="13">
        <v>0</v>
      </c>
      <c r="R3733" s="72">
        <f>L3733*O3733</f>
        <v>1659.1999999999998</v>
      </c>
      <c r="S3733" s="72">
        <v>0</v>
      </c>
      <c r="T3733" s="72">
        <f>L3733*S3733</f>
        <v>0</v>
      </c>
      <c r="U3733" s="72">
        <f>R3733-T3733</f>
        <v>1659.1999999999998</v>
      </c>
      <c r="V3733" s="72">
        <f>U3733*0</f>
        <v>0</v>
      </c>
      <c r="W3733" s="72">
        <f>U3733-V3733</f>
        <v>1659.1999999999998</v>
      </c>
      <c r="X3733" s="72">
        <v>0</v>
      </c>
      <c r="Y3733" s="14">
        <f t="shared" si="1763"/>
        <v>0</v>
      </c>
      <c r="Z3733" s="11" t="s">
        <v>26</v>
      </c>
      <c r="AA3733" s="12" t="s">
        <v>31</v>
      </c>
    </row>
    <row r="3734" spans="1:27" x14ac:dyDescent="0.25">
      <c r="A3734" s="10">
        <v>45714</v>
      </c>
      <c r="B3734" s="11" t="s">
        <v>6665</v>
      </c>
      <c r="C3734" s="11" t="s">
        <v>6666</v>
      </c>
      <c r="D3734" s="11">
        <v>18291</v>
      </c>
      <c r="E3734" s="11" t="s">
        <v>501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1778">L3734/M3734</f>
        <v>1.4657142857142857</v>
      </c>
      <c r="O3734" s="13">
        <v>40</v>
      </c>
      <c r="P3734" s="13" t="s">
        <v>30</v>
      </c>
      <c r="Q3734" s="13">
        <v>0</v>
      </c>
      <c r="R3734" s="72">
        <f>L3734*O3734</f>
        <v>1641.6</v>
      </c>
      <c r="S3734" s="72">
        <v>0</v>
      </c>
      <c r="T3734" s="72">
        <f>L3734*S3734</f>
        <v>0</v>
      </c>
      <c r="U3734" s="72">
        <f>R3734-T3734</f>
        <v>1641.6</v>
      </c>
      <c r="V3734" s="72">
        <f>U3734*0</f>
        <v>0</v>
      </c>
      <c r="W3734" s="72">
        <f>U3734-V3734</f>
        <v>1641.6</v>
      </c>
      <c r="X3734" s="72">
        <v>0</v>
      </c>
      <c r="Y3734" s="14">
        <f t="shared" si="1763"/>
        <v>0</v>
      </c>
      <c r="Z3734" s="11" t="s">
        <v>26</v>
      </c>
      <c r="AA3734" s="12" t="s">
        <v>31</v>
      </c>
    </row>
    <row r="3735" spans="1:27" x14ac:dyDescent="0.25">
      <c r="A3735" s="10">
        <v>45714</v>
      </c>
      <c r="B3735" s="11" t="s">
        <v>6667</v>
      </c>
      <c r="C3735" s="11" t="s">
        <v>6668</v>
      </c>
      <c r="D3735" s="11">
        <v>18293</v>
      </c>
      <c r="E3735" s="11" t="s">
        <v>461</v>
      </c>
      <c r="F3735" s="11" t="s">
        <v>26</v>
      </c>
      <c r="G3735" s="11">
        <v>135</v>
      </c>
      <c r="H3735" s="12" t="s">
        <v>4461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1778"/>
        <v>1.5150000000000001</v>
      </c>
      <c r="O3735" s="13">
        <v>30</v>
      </c>
      <c r="P3735" s="13" t="s">
        <v>30</v>
      </c>
      <c r="Q3735" s="13">
        <v>0</v>
      </c>
      <c r="R3735" s="72">
        <f>L3735*O3735</f>
        <v>909</v>
      </c>
      <c r="S3735" s="72">
        <v>0</v>
      </c>
      <c r="T3735" s="72">
        <f>L3735*S3735</f>
        <v>0</v>
      </c>
      <c r="U3735" s="72">
        <f>R3735-T3735</f>
        <v>909</v>
      </c>
      <c r="V3735" s="72">
        <f>U3735*0</f>
        <v>0</v>
      </c>
      <c r="W3735" s="72">
        <f>U3735-V3735</f>
        <v>909</v>
      </c>
      <c r="X3735" s="72">
        <v>0</v>
      </c>
      <c r="Y3735" s="14">
        <f t="shared" si="1763"/>
        <v>0</v>
      </c>
      <c r="Z3735" s="11" t="s">
        <v>26</v>
      </c>
      <c r="AA3735" s="12" t="s">
        <v>31</v>
      </c>
    </row>
    <row r="3736" spans="1:27" x14ac:dyDescent="0.25">
      <c r="A3736" s="10">
        <v>45714</v>
      </c>
      <c r="B3736" s="11" t="s">
        <v>6669</v>
      </c>
      <c r="C3736" s="11" t="s">
        <v>6670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1778"/>
        <v>1.68</v>
      </c>
      <c r="O3736" s="13" t="s">
        <v>30</v>
      </c>
      <c r="P3736" s="13">
        <v>24</v>
      </c>
      <c r="Q3736" s="13">
        <v>0</v>
      </c>
      <c r="R3736" s="72">
        <f>+M3736*P3736</f>
        <v>600</v>
      </c>
      <c r="S3736" s="72">
        <v>0</v>
      </c>
      <c r="T3736" s="72">
        <f>+M3736*S3736</f>
        <v>0</v>
      </c>
      <c r="U3736" s="72">
        <f t="shared" ref="U3736:U3737" si="1779">+R3736-T3736</f>
        <v>600</v>
      </c>
      <c r="V3736" s="72">
        <f>+U3736*0</f>
        <v>0</v>
      </c>
      <c r="W3736" s="72">
        <f t="shared" ref="W3736:W3737" si="1780">+U3736-V3736</f>
        <v>600</v>
      </c>
      <c r="X3736" s="72">
        <v>0</v>
      </c>
      <c r="Y3736" s="14">
        <f t="shared" si="1763"/>
        <v>0</v>
      </c>
      <c r="Z3736" s="11" t="s">
        <v>26</v>
      </c>
      <c r="AA3736" s="12" t="s">
        <v>31</v>
      </c>
    </row>
    <row r="3737" spans="1:27" x14ac:dyDescent="0.25">
      <c r="A3737" s="10">
        <v>45714</v>
      </c>
      <c r="B3737" s="11" t="s">
        <v>6671</v>
      </c>
      <c r="C3737" s="11" t="s">
        <v>6672</v>
      </c>
      <c r="D3737" s="11">
        <v>18295</v>
      </c>
      <c r="E3737" s="11" t="s">
        <v>246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1778"/>
        <v>1.6496000000000002</v>
      </c>
      <c r="O3737" s="13" t="s">
        <v>30</v>
      </c>
      <c r="P3737" s="13">
        <v>24</v>
      </c>
      <c r="Q3737" s="13">
        <v>0</v>
      </c>
      <c r="R3737" s="72">
        <f>+M3737*P3737</f>
        <v>600</v>
      </c>
      <c r="S3737" s="72">
        <v>0</v>
      </c>
      <c r="T3737" s="72">
        <f>+M3737*S3737</f>
        <v>0</v>
      </c>
      <c r="U3737" s="72">
        <f t="shared" si="1779"/>
        <v>600</v>
      </c>
      <c r="V3737" s="72">
        <f>+U3737*0</f>
        <v>0</v>
      </c>
      <c r="W3737" s="72">
        <f t="shared" si="1780"/>
        <v>600</v>
      </c>
      <c r="X3737" s="72">
        <v>0</v>
      </c>
      <c r="Y3737" s="14">
        <f t="shared" si="1763"/>
        <v>0</v>
      </c>
      <c r="Z3737" s="11" t="s">
        <v>26</v>
      </c>
      <c r="AA3737" s="12" t="s">
        <v>31</v>
      </c>
    </row>
    <row r="3738" spans="1:27" x14ac:dyDescent="0.25">
      <c r="A3738" s="10">
        <v>45714</v>
      </c>
      <c r="B3738" s="11" t="s">
        <v>6673</v>
      </c>
      <c r="C3738" s="11" t="s">
        <v>6674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1778"/>
        <v>1.736</v>
      </c>
      <c r="O3738" s="13" t="s">
        <v>30</v>
      </c>
      <c r="P3738" s="13">
        <v>64</v>
      </c>
      <c r="Q3738" s="13">
        <v>0</v>
      </c>
      <c r="R3738" s="72">
        <f>M3738*P3738</f>
        <v>1600</v>
      </c>
      <c r="S3738" s="72">
        <v>0</v>
      </c>
      <c r="T3738" s="72">
        <f>M3738*S3738</f>
        <v>0</v>
      </c>
      <c r="U3738" s="72">
        <f>+R3738-T3738</f>
        <v>1600</v>
      </c>
      <c r="V3738" s="72">
        <f t="shared" ref="V3738" si="1781">+U3738*0</f>
        <v>0</v>
      </c>
      <c r="W3738" s="72">
        <f>+U3738-V3738</f>
        <v>1600</v>
      </c>
      <c r="X3738" s="72">
        <v>0</v>
      </c>
      <c r="Y3738" s="14">
        <f t="shared" si="1763"/>
        <v>0</v>
      </c>
      <c r="Z3738" s="11" t="s">
        <v>26</v>
      </c>
      <c r="AA3738" s="12" t="s">
        <v>31</v>
      </c>
    </row>
    <row r="3739" spans="1:27" x14ac:dyDescent="0.25">
      <c r="A3739" s="10">
        <v>45714</v>
      </c>
      <c r="B3739" s="11" t="s">
        <v>6675</v>
      </c>
      <c r="C3739" s="11" t="s">
        <v>6676</v>
      </c>
      <c r="D3739" s="11">
        <v>18297</v>
      </c>
      <c r="E3739" s="11" t="s">
        <v>240</v>
      </c>
      <c r="F3739" s="11" t="s">
        <v>26</v>
      </c>
      <c r="G3739" s="11" t="s">
        <v>26</v>
      </c>
      <c r="H3739" s="12" t="s">
        <v>4439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1778"/>
        <v>1.7303999999999999</v>
      </c>
      <c r="O3739" s="13">
        <v>83</v>
      </c>
      <c r="P3739" s="13" t="s">
        <v>30</v>
      </c>
      <c r="Q3739" s="13">
        <v>0</v>
      </c>
      <c r="R3739" s="72">
        <f>L3739*O3739</f>
        <v>3590.58</v>
      </c>
      <c r="S3739" s="72">
        <v>38</v>
      </c>
      <c r="T3739" s="72">
        <f>L3739*S3739</f>
        <v>1643.8799999999999</v>
      </c>
      <c r="U3739" s="72">
        <f>R3739-T3739</f>
        <v>1946.7</v>
      </c>
      <c r="V3739" s="72">
        <f>U3739*1</f>
        <v>1946.7</v>
      </c>
      <c r="W3739" s="72">
        <f>U3739-V3739</f>
        <v>0</v>
      </c>
      <c r="X3739" s="72">
        <f>L3739*37</f>
        <v>1600.62</v>
      </c>
      <c r="Y3739" s="73">
        <f>+T3739-X3739</f>
        <v>43.259999999999991</v>
      </c>
      <c r="Z3739" s="12" t="s">
        <v>41</v>
      </c>
      <c r="AA3739" s="12" t="s">
        <v>78</v>
      </c>
    </row>
    <row r="3740" spans="1:27" x14ac:dyDescent="0.25">
      <c r="A3740" s="10">
        <v>45714</v>
      </c>
      <c r="B3740" s="11" t="s">
        <v>6677</v>
      </c>
      <c r="C3740" s="11" t="s">
        <v>6678</v>
      </c>
      <c r="D3740" s="11">
        <v>18298</v>
      </c>
      <c r="E3740" s="11" t="s">
        <v>1217</v>
      </c>
      <c r="F3740" s="11" t="s">
        <v>26</v>
      </c>
      <c r="G3740" s="11">
        <v>2996</v>
      </c>
      <c r="H3740" s="12" t="s">
        <v>163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1778"/>
        <v>1.5944</v>
      </c>
      <c r="O3740" s="13" t="s">
        <v>30</v>
      </c>
      <c r="P3740" s="13">
        <v>25</v>
      </c>
      <c r="Q3740" s="13">
        <v>0</v>
      </c>
      <c r="R3740" s="72">
        <f>M3740*P3740</f>
        <v>625</v>
      </c>
      <c r="S3740" s="72">
        <v>0</v>
      </c>
      <c r="T3740" s="72">
        <f>M3740*S3740</f>
        <v>0</v>
      </c>
      <c r="U3740" s="72">
        <f>R3740-T3740</f>
        <v>625</v>
      </c>
      <c r="V3740" s="72">
        <f>U3740*0</f>
        <v>0</v>
      </c>
      <c r="W3740" s="72">
        <f>U3740-V3740</f>
        <v>625</v>
      </c>
      <c r="X3740" s="72">
        <v>0</v>
      </c>
      <c r="Y3740" s="14">
        <f t="shared" ref="Y3740:Y3742" si="1782">T3740-X3740</f>
        <v>0</v>
      </c>
      <c r="Z3740" s="11" t="s">
        <v>26</v>
      </c>
      <c r="AA3740" s="12" t="s">
        <v>31</v>
      </c>
    </row>
    <row r="3741" spans="1:27" x14ac:dyDescent="0.25">
      <c r="A3741" s="10">
        <v>45714</v>
      </c>
      <c r="B3741" s="11" t="s">
        <v>3034</v>
      </c>
      <c r="C3741" s="11" t="s">
        <v>6679</v>
      </c>
      <c r="D3741" s="11">
        <v>18299</v>
      </c>
      <c r="E3741" s="11" t="s">
        <v>593</v>
      </c>
      <c r="F3741" s="11" t="s">
        <v>26</v>
      </c>
      <c r="G3741" s="11">
        <v>56555</v>
      </c>
      <c r="H3741" s="12" t="s">
        <v>4440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1778"/>
        <v>1.3928</v>
      </c>
      <c r="O3741" s="13">
        <v>45</v>
      </c>
      <c r="P3741" s="13" t="s">
        <v>30</v>
      </c>
      <c r="Q3741" s="13">
        <v>0</v>
      </c>
      <c r="R3741" s="72">
        <f>+L3741*O3741</f>
        <v>1566.9</v>
      </c>
      <c r="S3741" s="72">
        <v>0</v>
      </c>
      <c r="T3741" s="72">
        <f>+L3741*S3741</f>
        <v>0</v>
      </c>
      <c r="U3741" s="72">
        <f t="shared" ref="U3741:U3742" si="1783">+R3741-T3741</f>
        <v>1566.9</v>
      </c>
      <c r="V3741" s="72">
        <f>+U3741*1</f>
        <v>1566.9</v>
      </c>
      <c r="W3741" s="72">
        <f t="shared" ref="W3741:W3742" si="1784">+U3741-V3741</f>
        <v>0</v>
      </c>
      <c r="X3741" s="72">
        <v>0</v>
      </c>
      <c r="Y3741" s="14">
        <f t="shared" si="1782"/>
        <v>0</v>
      </c>
      <c r="Z3741" s="11" t="s">
        <v>26</v>
      </c>
      <c r="AA3741" s="12" t="s">
        <v>31</v>
      </c>
    </row>
    <row r="3742" spans="1:27" x14ac:dyDescent="0.25">
      <c r="A3742" s="10">
        <v>45714</v>
      </c>
      <c r="B3742" s="11" t="s">
        <v>1659</v>
      </c>
      <c r="C3742" s="11" t="s">
        <v>6680</v>
      </c>
      <c r="D3742" s="11">
        <v>18300</v>
      </c>
      <c r="E3742" s="11" t="s">
        <v>322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1778"/>
        <v>1.7009090909090909</v>
      </c>
      <c r="O3742" s="13">
        <v>20</v>
      </c>
      <c r="P3742" s="13" t="s">
        <v>30</v>
      </c>
      <c r="Q3742" s="13">
        <v>0</v>
      </c>
      <c r="R3742" s="72">
        <f>(L3742*O3742)-Q3742</f>
        <v>748.40000000000009</v>
      </c>
      <c r="S3742" s="72">
        <v>0</v>
      </c>
      <c r="T3742" s="72">
        <f t="shared" ref="T3742" si="1785">+L3742*S3742</f>
        <v>0</v>
      </c>
      <c r="U3742" s="72">
        <f t="shared" si="1783"/>
        <v>748.40000000000009</v>
      </c>
      <c r="V3742" s="72">
        <f t="shared" ref="V3742" si="1786">+U3742*0</f>
        <v>0</v>
      </c>
      <c r="W3742" s="72">
        <f t="shared" si="1784"/>
        <v>748.40000000000009</v>
      </c>
      <c r="X3742" s="72">
        <v>0</v>
      </c>
      <c r="Y3742" s="14">
        <f t="shared" si="1782"/>
        <v>0</v>
      </c>
      <c r="Z3742" s="11" t="s">
        <v>26</v>
      </c>
      <c r="AA3742" s="12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 filterMode="1">
    <tabColor rgb="FF00B050"/>
  </sheetPr>
  <dimension ref="A1:G118"/>
  <sheetViews>
    <sheetView topLeftCell="A70" workbookViewId="0">
      <selection activeCell="B53" sqref="B53:B102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hidden="1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919</v>
      </c>
      <c r="G2" s="51" t="s">
        <v>4416</v>
      </c>
    </row>
    <row r="3" spans="1:7" hidden="1" x14ac:dyDescent="0.25">
      <c r="A3" s="20" t="s">
        <v>4463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1026</v>
      </c>
      <c r="G3" s="51" t="s">
        <v>4417</v>
      </c>
    </row>
    <row r="4" spans="1:7" hidden="1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912</v>
      </c>
      <c r="G4" s="51" t="s">
        <v>4443</v>
      </c>
    </row>
    <row r="5" spans="1:7" hidden="1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912</v>
      </c>
      <c r="G5" s="51" t="s">
        <v>4444</v>
      </c>
    </row>
    <row r="6" spans="1:7" hidden="1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912</v>
      </c>
      <c r="G6" s="51" t="s">
        <v>4444</v>
      </c>
    </row>
    <row r="7" spans="1:7" hidden="1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912</v>
      </c>
      <c r="G7" s="51" t="s">
        <v>4444</v>
      </c>
    </row>
    <row r="8" spans="1:7" hidden="1" x14ac:dyDescent="0.25">
      <c r="A8" s="20" t="s">
        <v>4461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912</v>
      </c>
      <c r="G8" s="51" t="s">
        <v>4445</v>
      </c>
    </row>
    <row r="9" spans="1:7" hidden="1" x14ac:dyDescent="0.25">
      <c r="A9" s="20" t="s">
        <v>4462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919</v>
      </c>
      <c r="G9" s="51" t="s">
        <v>4418</v>
      </c>
    </row>
    <row r="10" spans="1:7" hidden="1" x14ac:dyDescent="0.25">
      <c r="A10" s="20" t="s">
        <v>4462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919</v>
      </c>
      <c r="G10" s="51" t="s">
        <v>4419</v>
      </c>
    </row>
    <row r="11" spans="1:7" hidden="1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919</v>
      </c>
      <c r="G11" s="51" t="s">
        <v>4416</v>
      </c>
    </row>
    <row r="12" spans="1:7" hidden="1" x14ac:dyDescent="0.25">
      <c r="A12" s="20" t="s">
        <v>4465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912</v>
      </c>
      <c r="G12" s="51" t="s">
        <v>4446</v>
      </c>
    </row>
    <row r="13" spans="1:7" hidden="1" x14ac:dyDescent="0.25">
      <c r="A13" s="20" t="s">
        <v>4439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1026</v>
      </c>
      <c r="G13" s="51" t="s">
        <v>4420</v>
      </c>
    </row>
    <row r="14" spans="1:7" hidden="1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912</v>
      </c>
      <c r="G14" s="51" t="s">
        <v>4447</v>
      </c>
    </row>
    <row r="15" spans="1:7" hidden="1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919</v>
      </c>
      <c r="G15" s="51" t="s">
        <v>4416</v>
      </c>
    </row>
    <row r="16" spans="1:7" hidden="1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912</v>
      </c>
      <c r="G16" s="51" t="s">
        <v>4448</v>
      </c>
    </row>
    <row r="17" spans="1:7" hidden="1" x14ac:dyDescent="0.25">
      <c r="A17" s="20" t="s">
        <v>4440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1026</v>
      </c>
      <c r="G17" s="51" t="s">
        <v>4421</v>
      </c>
    </row>
    <row r="18" spans="1:7" hidden="1" x14ac:dyDescent="0.25">
      <c r="A18" s="20" t="s">
        <v>4440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1026</v>
      </c>
      <c r="G18" s="51" t="s">
        <v>4422</v>
      </c>
    </row>
    <row r="19" spans="1:7" hidden="1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1026</v>
      </c>
      <c r="G19" s="51" t="s">
        <v>4423</v>
      </c>
    </row>
    <row r="20" spans="1:7" hidden="1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919</v>
      </c>
      <c r="G20" s="51" t="s">
        <v>4416</v>
      </c>
    </row>
    <row r="21" spans="1:7" hidden="1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912</v>
      </c>
      <c r="G21" s="51" t="s">
        <v>4444</v>
      </c>
    </row>
    <row r="22" spans="1:7" hidden="1" x14ac:dyDescent="0.25">
      <c r="A22" s="20" t="s">
        <v>4465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1026</v>
      </c>
      <c r="G22" s="51" t="s">
        <v>4424</v>
      </c>
    </row>
    <row r="23" spans="1:7" hidden="1" x14ac:dyDescent="0.25">
      <c r="A23" s="20" t="s">
        <v>4465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1026</v>
      </c>
      <c r="G23" s="51" t="s">
        <v>4425</v>
      </c>
    </row>
    <row r="24" spans="1:7" hidden="1" x14ac:dyDescent="0.25">
      <c r="A24" s="20" t="s">
        <v>4465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1026</v>
      </c>
      <c r="G24" s="51" t="s">
        <v>4426</v>
      </c>
    </row>
    <row r="25" spans="1:7" hidden="1" x14ac:dyDescent="0.25">
      <c r="A25" s="20" t="s">
        <v>4465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1026</v>
      </c>
      <c r="G25" s="51" t="s">
        <v>4427</v>
      </c>
    </row>
    <row r="26" spans="1:7" hidden="1" x14ac:dyDescent="0.25">
      <c r="A26" s="20" t="s">
        <v>4465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1026</v>
      </c>
      <c r="G26" s="51" t="s">
        <v>4428</v>
      </c>
    </row>
    <row r="27" spans="1:7" hidden="1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912</v>
      </c>
      <c r="G27" s="51" t="s">
        <v>4444</v>
      </c>
    </row>
    <row r="28" spans="1:7" hidden="1" x14ac:dyDescent="0.25">
      <c r="A28" s="20" t="s">
        <v>4465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1026</v>
      </c>
      <c r="G28" s="51" t="s">
        <v>4449</v>
      </c>
    </row>
    <row r="29" spans="1:7" hidden="1" x14ac:dyDescent="0.25">
      <c r="A29" s="20" t="s">
        <v>4465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1026</v>
      </c>
      <c r="G29" s="51" t="s">
        <v>4450</v>
      </c>
    </row>
    <row r="30" spans="1:7" hidden="1" x14ac:dyDescent="0.25">
      <c r="A30" s="20" t="s">
        <v>4465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1026</v>
      </c>
      <c r="G30" s="51" t="s">
        <v>4451</v>
      </c>
    </row>
    <row r="31" spans="1:7" hidden="1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912</v>
      </c>
      <c r="G31" s="51" t="s">
        <v>4444</v>
      </c>
    </row>
    <row r="32" spans="1:7" hidden="1" x14ac:dyDescent="0.25">
      <c r="A32" s="20" t="s">
        <v>4466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919</v>
      </c>
      <c r="G32" s="51" t="s">
        <v>4429</v>
      </c>
    </row>
    <row r="33" spans="1:7" hidden="1" x14ac:dyDescent="0.25">
      <c r="A33" s="20" t="s">
        <v>4441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912</v>
      </c>
      <c r="G33" s="51" t="s">
        <v>4452</v>
      </c>
    </row>
    <row r="34" spans="1:7" hidden="1" x14ac:dyDescent="0.25">
      <c r="A34" s="20" t="s">
        <v>4441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912</v>
      </c>
      <c r="G34" s="51" t="s">
        <v>4453</v>
      </c>
    </row>
    <row r="35" spans="1:7" hidden="1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912</v>
      </c>
      <c r="G35" s="51" t="s">
        <v>4444</v>
      </c>
    </row>
    <row r="36" spans="1:7" hidden="1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912</v>
      </c>
      <c r="G36" s="51" t="s">
        <v>4444</v>
      </c>
    </row>
    <row r="37" spans="1:7" hidden="1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912</v>
      </c>
      <c r="G37" s="51" t="s">
        <v>4444</v>
      </c>
    </row>
    <row r="38" spans="1:7" hidden="1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912</v>
      </c>
      <c r="G38" s="51" t="s">
        <v>4454</v>
      </c>
    </row>
    <row r="39" spans="1:7" hidden="1" x14ac:dyDescent="0.25">
      <c r="A39" s="20" t="s">
        <v>4440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1026</v>
      </c>
      <c r="G39" s="51" t="s">
        <v>4430</v>
      </c>
    </row>
    <row r="40" spans="1:7" hidden="1" x14ac:dyDescent="0.25">
      <c r="A40" s="20" t="s">
        <v>4440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1026</v>
      </c>
      <c r="G40" s="51" t="s">
        <v>4431</v>
      </c>
    </row>
    <row r="41" spans="1:7" hidden="1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912</v>
      </c>
      <c r="G41" s="51" t="s">
        <v>4444</v>
      </c>
    </row>
    <row r="42" spans="1:7" hidden="1" x14ac:dyDescent="0.25">
      <c r="A42" s="20" t="s">
        <v>4463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1026</v>
      </c>
      <c r="G42" s="51" t="s">
        <v>4432</v>
      </c>
    </row>
    <row r="43" spans="1:7" hidden="1" x14ac:dyDescent="0.25">
      <c r="A43" s="20" t="s">
        <v>4463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1026</v>
      </c>
      <c r="G43" s="51" t="s">
        <v>4433</v>
      </c>
    </row>
    <row r="44" spans="1:7" hidden="1" x14ac:dyDescent="0.25">
      <c r="A44" s="20" t="s">
        <v>4463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1026</v>
      </c>
      <c r="G44" s="51" t="s">
        <v>4434</v>
      </c>
    </row>
    <row r="45" spans="1:7" hidden="1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912</v>
      </c>
      <c r="G45" s="51" t="s">
        <v>4444</v>
      </c>
    </row>
    <row r="46" spans="1:7" hidden="1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919</v>
      </c>
      <c r="G46" s="51" t="s">
        <v>4435</v>
      </c>
    </row>
    <row r="47" spans="1:7" hidden="1" x14ac:dyDescent="0.25">
      <c r="A47" s="20" t="s">
        <v>4441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919</v>
      </c>
      <c r="G47" s="51" t="s">
        <v>4436</v>
      </c>
    </row>
    <row r="48" spans="1:7" hidden="1" x14ac:dyDescent="0.25">
      <c r="A48" s="20" t="s">
        <v>4440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1026</v>
      </c>
      <c r="G48" s="51" t="s">
        <v>4437</v>
      </c>
    </row>
    <row r="49" spans="1:7" hidden="1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912</v>
      </c>
      <c r="G49" s="51" t="s">
        <v>4444</v>
      </c>
    </row>
    <row r="50" spans="1:7" hidden="1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912</v>
      </c>
      <c r="G50" s="51" t="s">
        <v>4444</v>
      </c>
    </row>
    <row r="51" spans="1:7" hidden="1" x14ac:dyDescent="0.25">
      <c r="A51" s="20" t="s">
        <v>4459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919</v>
      </c>
      <c r="G51" s="51" t="s">
        <v>4438</v>
      </c>
    </row>
    <row r="52" spans="1:7" hidden="1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912</v>
      </c>
      <c r="G52" s="51" t="s">
        <v>4444</v>
      </c>
    </row>
    <row r="53" spans="1:7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912</v>
      </c>
      <c r="G53" s="51" t="s">
        <v>4444</v>
      </c>
    </row>
    <row r="54" spans="1:7" x14ac:dyDescent="0.25">
      <c r="A54" s="20" t="s">
        <v>4465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912</v>
      </c>
      <c r="G54" s="51" t="s">
        <v>4508</v>
      </c>
    </row>
    <row r="55" spans="1:7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919</v>
      </c>
      <c r="G55" s="51" t="s">
        <v>4511</v>
      </c>
    </row>
    <row r="56" spans="1:7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912</v>
      </c>
      <c r="G56" s="51" t="s">
        <v>4444</v>
      </c>
    </row>
    <row r="57" spans="1:7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912</v>
      </c>
      <c r="G57" s="51" t="s">
        <v>4512</v>
      </c>
    </row>
    <row r="58" spans="1:7" hidden="1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912</v>
      </c>
      <c r="G58" s="51" t="s">
        <v>4455</v>
      </c>
    </row>
    <row r="59" spans="1:7" hidden="1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4442</v>
      </c>
      <c r="G59" s="51" t="s">
        <v>4456</v>
      </c>
    </row>
    <row r="60" spans="1:7" hidden="1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4442</v>
      </c>
      <c r="G60" s="51" t="s">
        <v>4456</v>
      </c>
    </row>
    <row r="61" spans="1:7" hidden="1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4442</v>
      </c>
      <c r="G61" s="51" t="s">
        <v>4456</v>
      </c>
    </row>
    <row r="62" spans="1:7" hidden="1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4442</v>
      </c>
      <c r="G62" s="51" t="s">
        <v>4456</v>
      </c>
    </row>
    <row r="63" spans="1:7" hidden="1" x14ac:dyDescent="0.25">
      <c r="A63" s="20" t="s">
        <v>6345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4442</v>
      </c>
      <c r="G63" s="51" t="s">
        <v>4456</v>
      </c>
    </row>
    <row r="64" spans="1:7" hidden="1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4442</v>
      </c>
      <c r="G64" s="51" t="s">
        <v>4456</v>
      </c>
    </row>
    <row r="65" spans="1:7" hidden="1" x14ac:dyDescent="0.25">
      <c r="A65" s="20" t="s">
        <v>1049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4442</v>
      </c>
      <c r="G65" s="51" t="s">
        <v>4456</v>
      </c>
    </row>
    <row r="66" spans="1:7" hidden="1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4442</v>
      </c>
      <c r="G66" s="51" t="s">
        <v>4456</v>
      </c>
    </row>
    <row r="67" spans="1:7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912</v>
      </c>
      <c r="G67" s="51" t="s">
        <v>4526</v>
      </c>
    </row>
    <row r="68" spans="1:7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912</v>
      </c>
      <c r="G68" s="51" t="s">
        <v>4447</v>
      </c>
    </row>
    <row r="69" spans="1:7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919</v>
      </c>
      <c r="G69" s="51" t="s">
        <v>4435</v>
      </c>
    </row>
    <row r="70" spans="1:7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912</v>
      </c>
      <c r="G70" s="51" t="s">
        <v>4526</v>
      </c>
    </row>
    <row r="71" spans="1:7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912</v>
      </c>
      <c r="G71" s="51" t="s">
        <v>4447</v>
      </c>
    </row>
    <row r="72" spans="1:7" x14ac:dyDescent="0.25">
      <c r="A72" s="20" t="s">
        <v>4439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1026</v>
      </c>
      <c r="G72" s="51" t="s">
        <v>4528</v>
      </c>
    </row>
    <row r="73" spans="1:7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1026</v>
      </c>
      <c r="G73" s="51" t="s">
        <v>4530</v>
      </c>
    </row>
    <row r="74" spans="1:7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1026</v>
      </c>
      <c r="G74" s="51" t="s">
        <v>4531</v>
      </c>
    </row>
    <row r="75" spans="1:7" x14ac:dyDescent="0.25">
      <c r="A75" s="20" t="s">
        <v>4441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912</v>
      </c>
      <c r="G75" s="51" t="s">
        <v>4447</v>
      </c>
    </row>
    <row r="76" spans="1:7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912</v>
      </c>
      <c r="G76" s="51" t="s">
        <v>4447</v>
      </c>
    </row>
    <row r="77" spans="1:7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912</v>
      </c>
      <c r="G77" s="51" t="s">
        <v>4532</v>
      </c>
    </row>
    <row r="78" spans="1:7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912</v>
      </c>
      <c r="G78" s="51" t="s">
        <v>4533</v>
      </c>
    </row>
    <row r="79" spans="1:7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912</v>
      </c>
      <c r="G79" s="51" t="s">
        <v>4534</v>
      </c>
    </row>
    <row r="80" spans="1:7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912</v>
      </c>
      <c r="G80" s="51" t="s">
        <v>4534</v>
      </c>
    </row>
    <row r="81" spans="1:7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912</v>
      </c>
      <c r="G81" s="51" t="s">
        <v>4534</v>
      </c>
    </row>
    <row r="82" spans="1:7" x14ac:dyDescent="0.25">
      <c r="A82" s="20" t="s">
        <v>4465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1026</v>
      </c>
      <c r="G82" s="51" t="s">
        <v>4535</v>
      </c>
    </row>
    <row r="83" spans="1:7" x14ac:dyDescent="0.25">
      <c r="A83" s="20" t="s">
        <v>4465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1026</v>
      </c>
      <c r="G83" s="51" t="s">
        <v>4536</v>
      </c>
    </row>
    <row r="84" spans="1:7" x14ac:dyDescent="0.25">
      <c r="A84" s="20" t="s">
        <v>4465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1026</v>
      </c>
      <c r="G84" s="51" t="s">
        <v>4537</v>
      </c>
    </row>
    <row r="85" spans="1:7" x14ac:dyDescent="0.25">
      <c r="A85" s="20" t="s">
        <v>4465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1026</v>
      </c>
      <c r="G85" s="51" t="s">
        <v>4538</v>
      </c>
    </row>
    <row r="86" spans="1:7" x14ac:dyDescent="0.25">
      <c r="A86" s="20" t="s">
        <v>4465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1026</v>
      </c>
      <c r="G86" s="51" t="s">
        <v>4539</v>
      </c>
    </row>
    <row r="87" spans="1:7" x14ac:dyDescent="0.25">
      <c r="A87" s="20" t="s">
        <v>4465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1026</v>
      </c>
      <c r="G87" s="51" t="s">
        <v>4540</v>
      </c>
    </row>
    <row r="88" spans="1:7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912</v>
      </c>
      <c r="G88" s="51" t="s">
        <v>4534</v>
      </c>
    </row>
    <row r="89" spans="1:7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912</v>
      </c>
      <c r="G89" s="51" t="s">
        <v>4534</v>
      </c>
    </row>
    <row r="90" spans="1:7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4503</v>
      </c>
      <c r="G90" s="51" t="s">
        <v>4542</v>
      </c>
    </row>
    <row r="91" spans="1:7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919</v>
      </c>
      <c r="G91" s="51" t="s">
        <v>4435</v>
      </c>
    </row>
    <row r="92" spans="1:7" x14ac:dyDescent="0.25">
      <c r="A92" s="20" t="s">
        <v>163</v>
      </c>
      <c r="B92" s="19">
        <v>50000</v>
      </c>
      <c r="C92" s="17">
        <v>45712</v>
      </c>
      <c r="D92" s="17">
        <v>45712</v>
      </c>
      <c r="E92" s="17" t="s">
        <v>160</v>
      </c>
      <c r="F92" s="18" t="s">
        <v>912</v>
      </c>
      <c r="G92" s="51" t="s">
        <v>4534</v>
      </c>
    </row>
    <row r="93" spans="1:7" x14ac:dyDescent="0.25">
      <c r="A93" s="20" t="s">
        <v>140</v>
      </c>
      <c r="B93" s="19">
        <v>50000</v>
      </c>
      <c r="C93" s="17">
        <v>45713</v>
      </c>
      <c r="D93" s="17" t="s">
        <v>4503</v>
      </c>
      <c r="E93" s="17" t="s">
        <v>160</v>
      </c>
      <c r="F93" s="18" t="s">
        <v>4503</v>
      </c>
      <c r="G93" s="51" t="s">
        <v>6681</v>
      </c>
    </row>
    <row r="94" spans="1:7" x14ac:dyDescent="0.25">
      <c r="A94" s="20" t="s">
        <v>140</v>
      </c>
      <c r="B94" s="19">
        <v>50000</v>
      </c>
      <c r="C94" s="17">
        <v>45713</v>
      </c>
      <c r="D94" s="17" t="s">
        <v>4503</v>
      </c>
      <c r="E94" s="17" t="s">
        <v>160</v>
      </c>
      <c r="F94" s="18" t="s">
        <v>4503</v>
      </c>
      <c r="G94" s="51" t="s">
        <v>6682</v>
      </c>
    </row>
    <row r="95" spans="1:7" x14ac:dyDescent="0.25">
      <c r="A95" s="20" t="s">
        <v>141</v>
      </c>
      <c r="B95" s="19">
        <v>10000</v>
      </c>
      <c r="C95" s="17">
        <v>45713</v>
      </c>
      <c r="D95" s="17" t="s">
        <v>912</v>
      </c>
      <c r="E95" s="17" t="s">
        <v>160</v>
      </c>
      <c r="F95" s="18" t="s">
        <v>912</v>
      </c>
      <c r="G95" s="51" t="s">
        <v>4534</v>
      </c>
    </row>
    <row r="96" spans="1:7" x14ac:dyDescent="0.25">
      <c r="A96" s="20" t="s">
        <v>45</v>
      </c>
      <c r="B96" s="19">
        <v>60000</v>
      </c>
      <c r="C96" s="17">
        <v>45713</v>
      </c>
      <c r="D96" s="17" t="s">
        <v>912</v>
      </c>
      <c r="E96" s="17" t="s">
        <v>160</v>
      </c>
      <c r="F96" s="18" t="s">
        <v>912</v>
      </c>
      <c r="G96" s="51" t="s">
        <v>4534</v>
      </c>
    </row>
    <row r="97" spans="1:7" x14ac:dyDescent="0.25">
      <c r="A97" s="20" t="s">
        <v>70</v>
      </c>
      <c r="B97" s="19">
        <v>50000</v>
      </c>
      <c r="C97" s="17">
        <v>45714</v>
      </c>
      <c r="D97" s="17" t="s">
        <v>912</v>
      </c>
      <c r="E97" s="17" t="s">
        <v>160</v>
      </c>
      <c r="F97" s="18" t="s">
        <v>912</v>
      </c>
      <c r="G97" s="51" t="s">
        <v>4534</v>
      </c>
    </row>
    <row r="98" spans="1:7" x14ac:dyDescent="0.25">
      <c r="A98" s="20" t="s">
        <v>4461</v>
      </c>
      <c r="B98" s="19">
        <v>15000</v>
      </c>
      <c r="C98" s="17">
        <v>45714</v>
      </c>
      <c r="D98" s="17" t="s">
        <v>912</v>
      </c>
      <c r="E98" s="17" t="s">
        <v>160</v>
      </c>
      <c r="F98" s="18" t="s">
        <v>912</v>
      </c>
      <c r="G98" s="51" t="s">
        <v>4534</v>
      </c>
    </row>
    <row r="99" spans="1:7" x14ac:dyDescent="0.25">
      <c r="A99" s="20" t="s">
        <v>4440</v>
      </c>
      <c r="B99" s="19">
        <v>219218.01</v>
      </c>
      <c r="C99" s="17">
        <v>45714</v>
      </c>
      <c r="D99" s="17" t="s">
        <v>1026</v>
      </c>
      <c r="E99" s="17" t="s">
        <v>157</v>
      </c>
      <c r="F99" s="18" t="s">
        <v>1026</v>
      </c>
      <c r="G99" s="51" t="s">
        <v>6683</v>
      </c>
    </row>
    <row r="100" spans="1:7" x14ac:dyDescent="0.25">
      <c r="A100" s="20" t="s">
        <v>4440</v>
      </c>
      <c r="B100" s="19">
        <v>219218.01</v>
      </c>
      <c r="C100" s="17">
        <v>45714</v>
      </c>
      <c r="D100" s="17" t="s">
        <v>1026</v>
      </c>
      <c r="E100" s="17" t="s">
        <v>157</v>
      </c>
      <c r="F100" s="18" t="s">
        <v>1026</v>
      </c>
      <c r="G100" s="51" t="s">
        <v>6684</v>
      </c>
    </row>
    <row r="101" spans="1:7" x14ac:dyDescent="0.25">
      <c r="A101" s="20" t="s">
        <v>4465</v>
      </c>
      <c r="B101" s="19">
        <v>63670.52</v>
      </c>
      <c r="C101" s="17">
        <v>45714</v>
      </c>
      <c r="D101" s="17" t="s">
        <v>912</v>
      </c>
      <c r="E101" s="17" t="s">
        <v>160</v>
      </c>
      <c r="F101" s="18" t="s">
        <v>912</v>
      </c>
      <c r="G101" s="51" t="s">
        <v>6686</v>
      </c>
    </row>
    <row r="102" spans="1:7" x14ac:dyDescent="0.25">
      <c r="A102" s="20" t="s">
        <v>146</v>
      </c>
      <c r="B102" s="19">
        <v>60000</v>
      </c>
      <c r="C102" s="17">
        <v>45715</v>
      </c>
      <c r="D102" s="17" t="s">
        <v>919</v>
      </c>
      <c r="E102" s="17" t="s">
        <v>157</v>
      </c>
      <c r="F102" s="18" t="s">
        <v>919</v>
      </c>
      <c r="G102" s="51" t="s">
        <v>4435</v>
      </c>
    </row>
    <row r="103" spans="1:7" x14ac:dyDescent="0.25">
      <c r="A103" s="20"/>
      <c r="B103" s="19"/>
      <c r="C103" s="17"/>
      <c r="D103" s="17"/>
      <c r="E103" s="17"/>
      <c r="F103" s="18"/>
      <c r="G103" s="51"/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</sheetData>
  <autoFilter ref="A1:G102" xr:uid="{C99477AF-5F0E-4B79-9C41-F5F353EC67B7}">
    <filterColumn colId="2">
      <filters>
        <dateGroupItem year="2025" month="2" dateTimeGrouping="month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G3" sqref="G3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2991220.13</v>
      </c>
      <c r="C3" s="29">
        <v>2340643.275799999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C3" sqref="C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162</v>
      </c>
      <c r="D3" s="13">
        <f>B3-C3</f>
        <v>0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C5" sqref="C5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L614"/>
  <sheetViews>
    <sheetView topLeftCell="A210" workbookViewId="0">
      <selection activeCell="A2" sqref="A2:L224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4486</v>
      </c>
      <c r="D1" s="55" t="s">
        <v>4487</v>
      </c>
      <c r="E1" s="55" t="s">
        <v>4488</v>
      </c>
      <c r="F1" s="56" t="s">
        <v>4489</v>
      </c>
      <c r="G1" s="56" t="s">
        <v>4543</v>
      </c>
      <c r="H1" s="52" t="s">
        <v>4490</v>
      </c>
      <c r="I1" s="56" t="s">
        <v>155</v>
      </c>
      <c r="J1" s="56" t="s">
        <v>4491</v>
      </c>
      <c r="K1" s="57" t="s">
        <v>4492</v>
      </c>
      <c r="L1" s="58" t="s">
        <v>4493</v>
      </c>
    </row>
    <row r="2" spans="1:12" x14ac:dyDescent="0.25">
      <c r="A2" s="60">
        <v>45657</v>
      </c>
      <c r="B2" s="61" t="s">
        <v>146</v>
      </c>
      <c r="C2" s="62" t="s">
        <v>4494</v>
      </c>
      <c r="D2" s="62" t="s">
        <v>26</v>
      </c>
      <c r="E2" s="62" t="s">
        <v>26</v>
      </c>
      <c r="F2" s="60">
        <v>45747</v>
      </c>
      <c r="G2" s="62" t="s">
        <v>6347</v>
      </c>
      <c r="H2" s="62" t="s">
        <v>157</v>
      </c>
      <c r="I2" s="61" t="s">
        <v>4494</v>
      </c>
      <c r="J2" s="63">
        <v>558857.1679999996</v>
      </c>
      <c r="K2" s="63">
        <v>0</v>
      </c>
      <c r="L2" s="64">
        <v>558857.1679999996</v>
      </c>
    </row>
    <row r="3" spans="1:12" x14ac:dyDescent="0.25">
      <c r="A3" s="65">
        <v>45291</v>
      </c>
      <c r="B3" s="61" t="s">
        <v>4467</v>
      </c>
      <c r="C3" s="62" t="s">
        <v>4494</v>
      </c>
      <c r="D3" s="62" t="s">
        <v>26</v>
      </c>
      <c r="E3" s="62" t="s">
        <v>26</v>
      </c>
      <c r="F3" s="60">
        <v>45381</v>
      </c>
      <c r="G3" s="62" t="s">
        <v>6348</v>
      </c>
      <c r="H3" s="66" t="s">
        <v>157</v>
      </c>
      <c r="I3" s="61" t="s">
        <v>4494</v>
      </c>
      <c r="J3" s="63">
        <v>150973.6</v>
      </c>
      <c r="K3" s="63">
        <v>0</v>
      </c>
      <c r="L3" s="64">
        <v>150973.6</v>
      </c>
    </row>
    <row r="4" spans="1:12" x14ac:dyDescent="0.25">
      <c r="A4" s="65">
        <v>45291</v>
      </c>
      <c r="B4" s="67" t="s">
        <v>920</v>
      </c>
      <c r="C4" s="62" t="s">
        <v>4494</v>
      </c>
      <c r="D4" s="62" t="s">
        <v>26</v>
      </c>
      <c r="E4" s="62" t="s">
        <v>26</v>
      </c>
      <c r="F4" s="60">
        <v>45381</v>
      </c>
      <c r="G4" s="62" t="s">
        <v>6348</v>
      </c>
      <c r="H4" s="66" t="s">
        <v>157</v>
      </c>
      <c r="I4" s="61" t="s">
        <v>4494</v>
      </c>
      <c r="J4" s="63">
        <v>7794.976000000318</v>
      </c>
      <c r="K4" s="63">
        <v>0</v>
      </c>
      <c r="L4" s="64">
        <v>7794.976000000318</v>
      </c>
    </row>
    <row r="5" spans="1:12" x14ac:dyDescent="0.25">
      <c r="A5" s="65">
        <v>45291</v>
      </c>
      <c r="B5" s="67" t="s">
        <v>139</v>
      </c>
      <c r="C5" s="62" t="s">
        <v>4494</v>
      </c>
      <c r="D5" s="62" t="s">
        <v>26</v>
      </c>
      <c r="E5" s="62" t="s">
        <v>26</v>
      </c>
      <c r="F5" s="60">
        <v>45381</v>
      </c>
      <c r="G5" s="62" t="s">
        <v>6348</v>
      </c>
      <c r="H5" s="66" t="s">
        <v>157</v>
      </c>
      <c r="I5" s="61" t="s">
        <v>4494</v>
      </c>
      <c r="J5" s="63">
        <v>159476.37399999998</v>
      </c>
      <c r="K5" s="63">
        <v>0</v>
      </c>
      <c r="L5" s="64">
        <v>159476.37399999998</v>
      </c>
    </row>
    <row r="6" spans="1:12" x14ac:dyDescent="0.25">
      <c r="A6" s="65">
        <v>45291</v>
      </c>
      <c r="B6" s="67" t="s">
        <v>921</v>
      </c>
      <c r="C6" s="62" t="s">
        <v>4494</v>
      </c>
      <c r="D6" s="62" t="s">
        <v>26</v>
      </c>
      <c r="E6" s="62" t="s">
        <v>26</v>
      </c>
      <c r="F6" s="60">
        <v>45351</v>
      </c>
      <c r="G6" s="62" t="s">
        <v>6348</v>
      </c>
      <c r="H6" s="66" t="s">
        <v>157</v>
      </c>
      <c r="I6" s="61" t="s">
        <v>4494</v>
      </c>
      <c r="J6" s="63">
        <v>2250</v>
      </c>
      <c r="K6" s="63">
        <v>0</v>
      </c>
      <c r="L6" s="64">
        <v>2250</v>
      </c>
    </row>
    <row r="7" spans="1:12" x14ac:dyDescent="0.25">
      <c r="A7" s="65">
        <v>45291</v>
      </c>
      <c r="B7" s="67" t="s">
        <v>161</v>
      </c>
      <c r="C7" s="62" t="s">
        <v>4494</v>
      </c>
      <c r="D7" s="62" t="s">
        <v>26</v>
      </c>
      <c r="E7" s="62" t="s">
        <v>26</v>
      </c>
      <c r="F7" s="60">
        <v>45381</v>
      </c>
      <c r="G7" s="62" t="s">
        <v>6348</v>
      </c>
      <c r="H7" s="66" t="s">
        <v>157</v>
      </c>
      <c r="I7" s="61" t="s">
        <v>4494</v>
      </c>
      <c r="J7" s="63">
        <v>266920.00199999998</v>
      </c>
      <c r="K7" s="63">
        <v>0</v>
      </c>
      <c r="L7" s="64">
        <v>266920.00199999998</v>
      </c>
    </row>
    <row r="8" spans="1:12" x14ac:dyDescent="0.25">
      <c r="A8" s="65">
        <v>45657</v>
      </c>
      <c r="B8" s="67" t="s">
        <v>4440</v>
      </c>
      <c r="C8" s="62" t="s">
        <v>4494</v>
      </c>
      <c r="D8" s="62" t="s">
        <v>26</v>
      </c>
      <c r="E8" s="62" t="s">
        <v>26</v>
      </c>
      <c r="F8" s="60">
        <v>45777</v>
      </c>
      <c r="G8" s="62" t="s">
        <v>6347</v>
      </c>
      <c r="H8" s="66" t="s">
        <v>157</v>
      </c>
      <c r="I8" s="61" t="s">
        <v>4494</v>
      </c>
      <c r="J8" s="63">
        <v>761286.82700000098</v>
      </c>
      <c r="K8" s="63">
        <v>0</v>
      </c>
      <c r="L8" s="64">
        <v>761286.82700000098</v>
      </c>
    </row>
    <row r="9" spans="1:12" x14ac:dyDescent="0.25">
      <c r="A9" s="65">
        <v>45657</v>
      </c>
      <c r="B9" s="67" t="s">
        <v>4464</v>
      </c>
      <c r="C9" s="62" t="s">
        <v>4494</v>
      </c>
      <c r="D9" s="62" t="s">
        <v>26</v>
      </c>
      <c r="E9" s="62" t="s">
        <v>26</v>
      </c>
      <c r="F9" s="60">
        <v>45657</v>
      </c>
      <c r="G9" s="62" t="s">
        <v>6348</v>
      </c>
      <c r="H9" s="66" t="s">
        <v>157</v>
      </c>
      <c r="I9" s="61" t="s">
        <v>4494</v>
      </c>
      <c r="J9" s="63">
        <v>0</v>
      </c>
      <c r="K9" s="63">
        <v>0</v>
      </c>
      <c r="L9" s="64">
        <v>0</v>
      </c>
    </row>
    <row r="10" spans="1:12" x14ac:dyDescent="0.25">
      <c r="A10" s="65">
        <v>45291</v>
      </c>
      <c r="B10" s="68" t="s">
        <v>4468</v>
      </c>
      <c r="C10" s="62" t="s">
        <v>4494</v>
      </c>
      <c r="D10" s="62" t="s">
        <v>26</v>
      </c>
      <c r="E10" s="62" t="s">
        <v>26</v>
      </c>
      <c r="F10" s="60">
        <v>45351</v>
      </c>
      <c r="G10" s="62" t="s">
        <v>6348</v>
      </c>
      <c r="H10" s="66" t="s">
        <v>157</v>
      </c>
      <c r="I10" s="61" t="s">
        <v>4494</v>
      </c>
      <c r="J10" s="63">
        <v>21900</v>
      </c>
      <c r="K10" s="63">
        <v>0</v>
      </c>
      <c r="L10" s="64">
        <v>21900</v>
      </c>
    </row>
    <row r="11" spans="1:12" x14ac:dyDescent="0.25">
      <c r="A11" s="65">
        <v>45291</v>
      </c>
      <c r="B11" s="67" t="s">
        <v>148</v>
      </c>
      <c r="C11" s="62" t="s">
        <v>4494</v>
      </c>
      <c r="D11" s="62" t="s">
        <v>26</v>
      </c>
      <c r="E11" s="62" t="s">
        <v>26</v>
      </c>
      <c r="F11" s="60">
        <v>45381</v>
      </c>
      <c r="G11" s="62" t="s">
        <v>6348</v>
      </c>
      <c r="H11" s="66" t="s">
        <v>157</v>
      </c>
      <c r="I11" s="61" t="s">
        <v>4494</v>
      </c>
      <c r="J11" s="63">
        <v>3082322.17</v>
      </c>
      <c r="K11" s="63">
        <v>0</v>
      </c>
      <c r="L11" s="64">
        <v>3082322.17</v>
      </c>
    </row>
    <row r="12" spans="1:12" x14ac:dyDescent="0.25">
      <c r="A12" s="65">
        <v>45291</v>
      </c>
      <c r="B12" s="67" t="s">
        <v>162</v>
      </c>
      <c r="C12" s="62" t="s">
        <v>4494</v>
      </c>
      <c r="D12" s="62" t="s">
        <v>26</v>
      </c>
      <c r="E12" s="62" t="s">
        <v>26</v>
      </c>
      <c r="F12" s="60">
        <v>45381</v>
      </c>
      <c r="G12" s="62" t="s">
        <v>6348</v>
      </c>
      <c r="H12" s="66" t="s">
        <v>157</v>
      </c>
      <c r="I12" s="61" t="s">
        <v>4494</v>
      </c>
      <c r="J12" s="63">
        <v>1625316</v>
      </c>
      <c r="K12" s="63">
        <v>0</v>
      </c>
      <c r="L12" s="64">
        <v>1625316</v>
      </c>
    </row>
    <row r="13" spans="1:12" x14ac:dyDescent="0.25">
      <c r="A13" s="65">
        <v>45291</v>
      </c>
      <c r="B13" s="67" t="s">
        <v>1049</v>
      </c>
      <c r="C13" s="62" t="s">
        <v>4494</v>
      </c>
      <c r="D13" s="62" t="s">
        <v>26</v>
      </c>
      <c r="E13" s="62" t="s">
        <v>26</v>
      </c>
      <c r="F13" s="60">
        <v>45381</v>
      </c>
      <c r="G13" s="62" t="s">
        <v>6348</v>
      </c>
      <c r="H13" s="66" t="s">
        <v>157</v>
      </c>
      <c r="I13" s="61" t="s">
        <v>4494</v>
      </c>
      <c r="J13" s="63">
        <v>408310.38959999965</v>
      </c>
      <c r="K13" s="63">
        <v>0</v>
      </c>
      <c r="L13" s="64">
        <v>408310.38959999965</v>
      </c>
    </row>
    <row r="14" spans="1:12" x14ac:dyDescent="0.25">
      <c r="A14" s="65">
        <v>45291</v>
      </c>
      <c r="B14" s="67" t="s">
        <v>149</v>
      </c>
      <c r="C14" s="62" t="s">
        <v>4494</v>
      </c>
      <c r="D14" s="62" t="s">
        <v>26</v>
      </c>
      <c r="E14" s="62" t="s">
        <v>26</v>
      </c>
      <c r="F14" s="60">
        <v>45381</v>
      </c>
      <c r="G14" s="62" t="s">
        <v>6348</v>
      </c>
      <c r="H14" s="66" t="s">
        <v>157</v>
      </c>
      <c r="I14" s="61" t="s">
        <v>4494</v>
      </c>
      <c r="J14" s="63">
        <v>123911.84400000019</v>
      </c>
      <c r="K14" s="63">
        <v>0</v>
      </c>
      <c r="L14" s="64">
        <v>123911.84400000019</v>
      </c>
    </row>
    <row r="15" spans="1:12" x14ac:dyDescent="0.25">
      <c r="A15" s="65">
        <v>45291</v>
      </c>
      <c r="B15" s="67" t="s">
        <v>4469</v>
      </c>
      <c r="C15" s="62" t="s">
        <v>4494</v>
      </c>
      <c r="D15" s="62" t="s">
        <v>26</v>
      </c>
      <c r="E15" s="62" t="s">
        <v>26</v>
      </c>
      <c r="F15" s="60">
        <v>45381</v>
      </c>
      <c r="G15" s="62" t="s">
        <v>6348</v>
      </c>
      <c r="H15" s="66" t="s">
        <v>157</v>
      </c>
      <c r="I15" s="61" t="s">
        <v>4494</v>
      </c>
      <c r="J15" s="63">
        <v>386395.59000000008</v>
      </c>
      <c r="K15" s="63">
        <v>0</v>
      </c>
      <c r="L15" s="64">
        <v>386395.59000000008</v>
      </c>
    </row>
    <row r="16" spans="1:12" x14ac:dyDescent="0.25">
      <c r="A16" s="65">
        <v>45291</v>
      </c>
      <c r="B16" s="67" t="s">
        <v>4470</v>
      </c>
      <c r="C16" s="62" t="s">
        <v>4494</v>
      </c>
      <c r="D16" s="62" t="s">
        <v>26</v>
      </c>
      <c r="E16" s="62" t="s">
        <v>26</v>
      </c>
      <c r="F16" s="60">
        <v>45351</v>
      </c>
      <c r="G16" s="62" t="s">
        <v>6348</v>
      </c>
      <c r="H16" s="66" t="s">
        <v>157</v>
      </c>
      <c r="I16" s="61" t="s">
        <v>4494</v>
      </c>
      <c r="J16" s="63">
        <v>162783.98800000007</v>
      </c>
      <c r="K16" s="63">
        <v>0</v>
      </c>
      <c r="L16" s="64">
        <v>162783.98800000007</v>
      </c>
    </row>
    <row r="17" spans="1:12" x14ac:dyDescent="0.25">
      <c r="A17" s="65">
        <v>45291</v>
      </c>
      <c r="B17" s="67" t="s">
        <v>922</v>
      </c>
      <c r="C17" s="62" t="s">
        <v>4494</v>
      </c>
      <c r="D17" s="62" t="s">
        <v>26</v>
      </c>
      <c r="E17" s="62" t="s">
        <v>26</v>
      </c>
      <c r="F17" s="60">
        <v>45351</v>
      </c>
      <c r="G17" s="62" t="s">
        <v>6348</v>
      </c>
      <c r="H17" s="66" t="s">
        <v>157</v>
      </c>
      <c r="I17" s="61" t="s">
        <v>4494</v>
      </c>
      <c r="J17" s="63">
        <v>24685.415999999997</v>
      </c>
      <c r="K17" s="63">
        <v>0</v>
      </c>
      <c r="L17" s="64">
        <v>24685.415999999997</v>
      </c>
    </row>
    <row r="18" spans="1:12" x14ac:dyDescent="0.25">
      <c r="A18" s="65">
        <v>45291</v>
      </c>
      <c r="B18" s="67" t="s">
        <v>923</v>
      </c>
      <c r="C18" s="62" t="s">
        <v>4494</v>
      </c>
      <c r="D18" s="62" t="s">
        <v>26</v>
      </c>
      <c r="E18" s="62" t="s">
        <v>26</v>
      </c>
      <c r="F18" s="60">
        <v>45381</v>
      </c>
      <c r="G18" s="62" t="s">
        <v>6348</v>
      </c>
      <c r="H18" s="66" t="s">
        <v>157</v>
      </c>
      <c r="I18" s="61" t="s">
        <v>4494</v>
      </c>
      <c r="J18" s="63">
        <v>2411812.6999999997</v>
      </c>
      <c r="K18" s="63">
        <v>0</v>
      </c>
      <c r="L18" s="64">
        <v>2411812.6999999997</v>
      </c>
    </row>
    <row r="19" spans="1:12" x14ac:dyDescent="0.25">
      <c r="A19" s="65">
        <v>45291</v>
      </c>
      <c r="B19" s="67" t="s">
        <v>4471</v>
      </c>
      <c r="C19" s="62" t="s">
        <v>4494</v>
      </c>
      <c r="D19" s="62" t="s">
        <v>26</v>
      </c>
      <c r="E19" s="62" t="s">
        <v>26</v>
      </c>
      <c r="F19" s="60">
        <v>45381</v>
      </c>
      <c r="G19" s="62" t="s">
        <v>6348</v>
      </c>
      <c r="H19" s="66" t="s">
        <v>157</v>
      </c>
      <c r="I19" s="61" t="s">
        <v>4494</v>
      </c>
      <c r="J19" s="63">
        <v>89044.893999999971</v>
      </c>
      <c r="K19" s="63">
        <v>0</v>
      </c>
      <c r="L19" s="64">
        <v>89044.893999999971</v>
      </c>
    </row>
    <row r="20" spans="1:12" x14ac:dyDescent="0.25">
      <c r="A20" s="65">
        <v>45291</v>
      </c>
      <c r="B20" s="67" t="s">
        <v>4472</v>
      </c>
      <c r="C20" s="66" t="s">
        <v>4494</v>
      </c>
      <c r="D20" s="62" t="s">
        <v>26</v>
      </c>
      <c r="E20" s="62" t="s">
        <v>26</v>
      </c>
      <c r="F20" s="60">
        <v>45381</v>
      </c>
      <c r="G20" s="62" t="s">
        <v>6348</v>
      </c>
      <c r="H20" s="66" t="s">
        <v>157</v>
      </c>
      <c r="I20" s="61" t="s">
        <v>4494</v>
      </c>
      <c r="J20" s="63">
        <v>3007.3439999999978</v>
      </c>
      <c r="K20" s="63">
        <v>0</v>
      </c>
      <c r="L20" s="64">
        <v>3007.3439999999978</v>
      </c>
    </row>
    <row r="21" spans="1:12" x14ac:dyDescent="0.25">
      <c r="A21" s="65">
        <v>45657</v>
      </c>
      <c r="B21" s="67" t="s">
        <v>4439</v>
      </c>
      <c r="C21" s="66" t="s">
        <v>4494</v>
      </c>
      <c r="D21" s="62" t="s">
        <v>26</v>
      </c>
      <c r="E21" s="62" t="s">
        <v>26</v>
      </c>
      <c r="F21" s="60">
        <v>45717</v>
      </c>
      <c r="G21" s="62" t="s">
        <v>6347</v>
      </c>
      <c r="H21" s="66" t="s">
        <v>157</v>
      </c>
      <c r="I21" s="61" t="s">
        <v>4494</v>
      </c>
      <c r="J21" s="63">
        <v>1808360.0219999999</v>
      </c>
      <c r="K21" s="63">
        <v>0</v>
      </c>
      <c r="L21" s="64">
        <v>1808360.0219999999</v>
      </c>
    </row>
    <row r="22" spans="1:12" x14ac:dyDescent="0.25">
      <c r="A22" s="65">
        <v>45291</v>
      </c>
      <c r="B22" s="12" t="s">
        <v>4473</v>
      </c>
      <c r="C22" s="66" t="s">
        <v>4494</v>
      </c>
      <c r="D22" s="62" t="s">
        <v>26</v>
      </c>
      <c r="E22" s="62" t="s">
        <v>26</v>
      </c>
      <c r="F22" s="60">
        <v>45351</v>
      </c>
      <c r="G22" s="62" t="s">
        <v>6348</v>
      </c>
      <c r="H22" s="66" t="s">
        <v>157</v>
      </c>
      <c r="I22" s="61" t="s">
        <v>4494</v>
      </c>
      <c r="J22" s="63">
        <v>2463.7439999999997</v>
      </c>
      <c r="K22" s="63">
        <v>0</v>
      </c>
      <c r="L22" s="64">
        <v>2463.7439999999997</v>
      </c>
    </row>
    <row r="23" spans="1:12" x14ac:dyDescent="0.25">
      <c r="A23" s="65">
        <v>45657</v>
      </c>
      <c r="B23" s="67" t="s">
        <v>4465</v>
      </c>
      <c r="C23" s="66" t="s">
        <v>4494</v>
      </c>
      <c r="D23" s="62" t="s">
        <v>26</v>
      </c>
      <c r="E23" s="62" t="s">
        <v>26</v>
      </c>
      <c r="F23" s="60">
        <v>45747</v>
      </c>
      <c r="G23" s="62" t="s">
        <v>6347</v>
      </c>
      <c r="H23" s="66" t="s">
        <v>157</v>
      </c>
      <c r="I23" s="61" t="s">
        <v>4494</v>
      </c>
      <c r="J23" s="63">
        <v>461926.35519999964</v>
      </c>
      <c r="K23" s="63">
        <v>0</v>
      </c>
      <c r="L23" s="64">
        <v>461926.35519999964</v>
      </c>
    </row>
    <row r="24" spans="1:12" x14ac:dyDescent="0.25">
      <c r="A24" s="65">
        <v>45291</v>
      </c>
      <c r="B24" s="67" t="s">
        <v>4474</v>
      </c>
      <c r="C24" s="66" t="s">
        <v>4494</v>
      </c>
      <c r="D24" s="62" t="s">
        <v>26</v>
      </c>
      <c r="E24" s="62" t="s">
        <v>26</v>
      </c>
      <c r="F24" s="60">
        <v>45291</v>
      </c>
      <c r="G24" s="62" t="s">
        <v>6348</v>
      </c>
      <c r="H24" s="66" t="s">
        <v>157</v>
      </c>
      <c r="I24" s="61" t="s">
        <v>4494</v>
      </c>
      <c r="J24" s="63">
        <v>-9839.6680000000633</v>
      </c>
      <c r="K24" s="63">
        <v>0</v>
      </c>
      <c r="L24" s="64">
        <v>-9839.6680000000633</v>
      </c>
    </row>
    <row r="25" spans="1:12" x14ac:dyDescent="0.25">
      <c r="A25" s="65">
        <v>45657</v>
      </c>
      <c r="B25" s="67" t="s">
        <v>66</v>
      </c>
      <c r="C25" s="66" t="s">
        <v>4494</v>
      </c>
      <c r="D25" s="62" t="s">
        <v>26</v>
      </c>
      <c r="E25" s="62" t="s">
        <v>26</v>
      </c>
      <c r="F25" s="60">
        <v>45747</v>
      </c>
      <c r="G25" s="62" t="s">
        <v>6347</v>
      </c>
      <c r="H25" s="66" t="s">
        <v>157</v>
      </c>
      <c r="I25" s="61" t="s">
        <v>4494</v>
      </c>
      <c r="J25" s="63">
        <v>118649.28000000003</v>
      </c>
      <c r="K25" s="63">
        <v>0</v>
      </c>
      <c r="L25" s="64">
        <v>118649.28000000003</v>
      </c>
    </row>
    <row r="26" spans="1:12" x14ac:dyDescent="0.25">
      <c r="A26" s="65">
        <v>45291</v>
      </c>
      <c r="B26" s="67" t="s">
        <v>4475</v>
      </c>
      <c r="C26" s="66" t="s">
        <v>4494</v>
      </c>
      <c r="D26" s="62" t="s">
        <v>26</v>
      </c>
      <c r="E26" s="62" t="s">
        <v>26</v>
      </c>
      <c r="F26" s="60">
        <v>45381</v>
      </c>
      <c r="G26" s="62" t="s">
        <v>6348</v>
      </c>
      <c r="H26" s="66" t="s">
        <v>157</v>
      </c>
      <c r="I26" s="61" t="s">
        <v>4494</v>
      </c>
      <c r="J26" s="63">
        <v>690873</v>
      </c>
      <c r="K26" s="63">
        <v>0</v>
      </c>
      <c r="L26" s="64">
        <v>690873</v>
      </c>
    </row>
    <row r="27" spans="1:12" x14ac:dyDescent="0.25">
      <c r="A27" s="65">
        <v>45291</v>
      </c>
      <c r="B27" s="67" t="s">
        <v>4476</v>
      </c>
      <c r="C27" s="66" t="s">
        <v>4494</v>
      </c>
      <c r="D27" s="62" t="s">
        <v>26</v>
      </c>
      <c r="E27" s="62" t="s">
        <v>26</v>
      </c>
      <c r="F27" s="60">
        <v>45381</v>
      </c>
      <c r="G27" s="62" t="s">
        <v>6348</v>
      </c>
      <c r="H27" s="66" t="s">
        <v>157</v>
      </c>
      <c r="I27" s="61" t="s">
        <v>4494</v>
      </c>
      <c r="J27" s="63">
        <v>27345.599999999991</v>
      </c>
      <c r="K27" s="63">
        <v>0</v>
      </c>
      <c r="L27" s="64">
        <v>27345.599999999991</v>
      </c>
    </row>
    <row r="28" spans="1:12" x14ac:dyDescent="0.25">
      <c r="A28" s="65">
        <v>45291</v>
      </c>
      <c r="B28" s="67" t="s">
        <v>150</v>
      </c>
      <c r="C28" s="66" t="s">
        <v>4494</v>
      </c>
      <c r="D28" s="62" t="s">
        <v>26</v>
      </c>
      <c r="E28" s="62" t="s">
        <v>26</v>
      </c>
      <c r="F28" s="60">
        <v>45381</v>
      </c>
      <c r="G28" s="62" t="s">
        <v>6348</v>
      </c>
      <c r="H28" s="66" t="s">
        <v>157</v>
      </c>
      <c r="I28" s="61" t="s">
        <v>4494</v>
      </c>
      <c r="J28" s="63">
        <v>906180.2</v>
      </c>
      <c r="K28" s="63">
        <v>0</v>
      </c>
      <c r="L28" s="64">
        <v>906180.2</v>
      </c>
    </row>
    <row r="29" spans="1:12" x14ac:dyDescent="0.25">
      <c r="A29" s="65">
        <v>45291</v>
      </c>
      <c r="B29" s="67" t="s">
        <v>924</v>
      </c>
      <c r="C29" s="66" t="s">
        <v>4494</v>
      </c>
      <c r="D29" s="62" t="s">
        <v>26</v>
      </c>
      <c r="E29" s="62" t="s">
        <v>26</v>
      </c>
      <c r="F29" s="60">
        <v>45291</v>
      </c>
      <c r="G29" s="62" t="s">
        <v>6348</v>
      </c>
      <c r="H29" s="66" t="s">
        <v>157</v>
      </c>
      <c r="I29" s="61" t="s">
        <v>4494</v>
      </c>
      <c r="J29" s="63">
        <v>5397.0959999999977</v>
      </c>
      <c r="K29" s="63">
        <v>0</v>
      </c>
      <c r="L29" s="64">
        <v>5397.0959999999977</v>
      </c>
    </row>
    <row r="30" spans="1:12" x14ac:dyDescent="0.25">
      <c r="A30" s="65">
        <v>45412</v>
      </c>
      <c r="B30" s="67" t="s">
        <v>51</v>
      </c>
      <c r="C30" s="66" t="s">
        <v>4494</v>
      </c>
      <c r="D30" s="62" t="s">
        <v>26</v>
      </c>
      <c r="E30" s="62" t="s">
        <v>26</v>
      </c>
      <c r="F30" s="60">
        <v>45502</v>
      </c>
      <c r="G30" s="62" t="s">
        <v>6348</v>
      </c>
      <c r="H30" s="66" t="s">
        <v>157</v>
      </c>
      <c r="I30" s="61" t="s">
        <v>4494</v>
      </c>
      <c r="J30" s="63">
        <v>553197.69999999995</v>
      </c>
      <c r="K30" s="63">
        <v>0</v>
      </c>
      <c r="L30" s="64">
        <v>553197.69999999995</v>
      </c>
    </row>
    <row r="31" spans="1:12" x14ac:dyDescent="0.25">
      <c r="A31" s="65">
        <v>45657</v>
      </c>
      <c r="B31" s="67" t="s">
        <v>4462</v>
      </c>
      <c r="C31" s="66" t="s">
        <v>4494</v>
      </c>
      <c r="D31" s="62" t="s">
        <v>26</v>
      </c>
      <c r="E31" s="62" t="s">
        <v>26</v>
      </c>
      <c r="F31" s="60">
        <v>45657</v>
      </c>
      <c r="G31" s="62" t="s">
        <v>6348</v>
      </c>
      <c r="H31" s="66" t="s">
        <v>157</v>
      </c>
      <c r="I31" s="61" t="s">
        <v>4494</v>
      </c>
      <c r="J31" s="63">
        <v>0</v>
      </c>
      <c r="K31" s="63">
        <v>0</v>
      </c>
      <c r="L31" s="64">
        <v>0</v>
      </c>
    </row>
    <row r="32" spans="1:12" x14ac:dyDescent="0.25">
      <c r="A32" s="65">
        <v>45657</v>
      </c>
      <c r="B32" s="67" t="s">
        <v>4477</v>
      </c>
      <c r="C32" s="66" t="s">
        <v>4494</v>
      </c>
      <c r="D32" s="62" t="s">
        <v>26</v>
      </c>
      <c r="E32" s="62" t="s">
        <v>26</v>
      </c>
      <c r="F32" s="60">
        <v>45657</v>
      </c>
      <c r="G32" s="62" t="s">
        <v>6348</v>
      </c>
      <c r="H32" s="66" t="s">
        <v>157</v>
      </c>
      <c r="I32" s="61" t="s">
        <v>4494</v>
      </c>
      <c r="J32" s="63">
        <v>-802.22</v>
      </c>
      <c r="K32" s="63">
        <v>0</v>
      </c>
      <c r="L32" s="64">
        <v>-802.22</v>
      </c>
    </row>
    <row r="33" spans="1:12" x14ac:dyDescent="0.25">
      <c r="A33" s="65">
        <v>45657</v>
      </c>
      <c r="B33" s="67" t="s">
        <v>926</v>
      </c>
      <c r="C33" s="66" t="s">
        <v>4494</v>
      </c>
      <c r="D33" s="62" t="s">
        <v>26</v>
      </c>
      <c r="E33" s="62" t="s">
        <v>26</v>
      </c>
      <c r="F33" s="60">
        <v>45657</v>
      </c>
      <c r="G33" s="62" t="s">
        <v>6348</v>
      </c>
      <c r="H33" s="66" t="s">
        <v>157</v>
      </c>
      <c r="I33" s="61" t="s">
        <v>4494</v>
      </c>
      <c r="J33" s="63">
        <v>20669.471999999994</v>
      </c>
      <c r="K33" s="63">
        <v>0</v>
      </c>
      <c r="L33" s="64">
        <v>20669.471999999994</v>
      </c>
    </row>
    <row r="34" spans="1:12" x14ac:dyDescent="0.25">
      <c r="A34" s="65">
        <v>45565</v>
      </c>
      <c r="B34" s="67" t="s">
        <v>4478</v>
      </c>
      <c r="C34" s="66" t="s">
        <v>4494</v>
      </c>
      <c r="D34" s="62" t="s">
        <v>26</v>
      </c>
      <c r="E34" s="62" t="s">
        <v>26</v>
      </c>
      <c r="F34" s="60">
        <v>45655</v>
      </c>
      <c r="G34" s="62" t="s">
        <v>6348</v>
      </c>
      <c r="H34" s="66" t="s">
        <v>157</v>
      </c>
      <c r="I34" s="61" t="s">
        <v>4494</v>
      </c>
      <c r="J34" s="63">
        <v>508660.2128000001</v>
      </c>
      <c r="K34" s="63">
        <v>0</v>
      </c>
      <c r="L34" s="64">
        <v>508660.2128000001</v>
      </c>
    </row>
    <row r="35" spans="1:12" x14ac:dyDescent="0.25">
      <c r="A35" s="65">
        <v>45677</v>
      </c>
      <c r="B35" s="67" t="s">
        <v>4478</v>
      </c>
      <c r="C35" s="66" t="s">
        <v>4495</v>
      </c>
      <c r="D35" s="62" t="s">
        <v>26</v>
      </c>
      <c r="E35" s="62" t="s">
        <v>26</v>
      </c>
      <c r="F35" s="60">
        <v>45677</v>
      </c>
      <c r="G35" s="62" t="s">
        <v>26</v>
      </c>
      <c r="H35" s="66" t="s">
        <v>157</v>
      </c>
      <c r="I35" s="61" t="s">
        <v>4496</v>
      </c>
      <c r="J35" s="63">
        <v>60850.51</v>
      </c>
      <c r="K35" s="63">
        <v>0</v>
      </c>
      <c r="L35" s="64">
        <v>60850.51</v>
      </c>
    </row>
    <row r="36" spans="1:12" x14ac:dyDescent="0.25">
      <c r="A36" s="65">
        <v>45657</v>
      </c>
      <c r="B36" s="67" t="s">
        <v>4463</v>
      </c>
      <c r="C36" s="66" t="s">
        <v>4494</v>
      </c>
      <c r="D36" s="62" t="s">
        <v>26</v>
      </c>
      <c r="E36" s="62" t="s">
        <v>26</v>
      </c>
      <c r="F36" s="60">
        <v>45777</v>
      </c>
      <c r="G36" s="62" t="s">
        <v>6347</v>
      </c>
      <c r="H36" s="66" t="s">
        <v>157</v>
      </c>
      <c r="I36" s="61" t="s">
        <v>4494</v>
      </c>
      <c r="J36" s="63">
        <v>285247.36599999998</v>
      </c>
      <c r="K36" s="63">
        <v>0</v>
      </c>
      <c r="L36" s="64">
        <v>285247.36599999998</v>
      </c>
    </row>
    <row r="37" spans="1:12" x14ac:dyDescent="0.25">
      <c r="A37" s="65">
        <v>44926</v>
      </c>
      <c r="B37" s="67" t="s">
        <v>4479</v>
      </c>
      <c r="C37" s="66" t="s">
        <v>4494</v>
      </c>
      <c r="D37" s="62" t="s">
        <v>26</v>
      </c>
      <c r="E37" s="62" t="s">
        <v>26</v>
      </c>
      <c r="F37" s="60">
        <v>45016</v>
      </c>
      <c r="G37" s="62" t="s">
        <v>6348</v>
      </c>
      <c r="H37" s="66" t="s">
        <v>157</v>
      </c>
      <c r="I37" s="61" t="s">
        <v>4494</v>
      </c>
      <c r="J37" s="63">
        <v>107800.00000000001</v>
      </c>
      <c r="K37" s="63">
        <v>0</v>
      </c>
      <c r="L37" s="64">
        <v>107800.00000000001</v>
      </c>
    </row>
    <row r="38" spans="1:12" x14ac:dyDescent="0.25">
      <c r="A38" s="65">
        <v>44957</v>
      </c>
      <c r="B38" s="67" t="s">
        <v>4480</v>
      </c>
      <c r="C38" s="66" t="s">
        <v>4494</v>
      </c>
      <c r="D38" s="62" t="s">
        <v>26</v>
      </c>
      <c r="E38" s="62" t="s">
        <v>26</v>
      </c>
      <c r="F38" s="60">
        <v>45047</v>
      </c>
      <c r="G38" s="62" t="s">
        <v>6348</v>
      </c>
      <c r="H38" s="66" t="s">
        <v>157</v>
      </c>
      <c r="I38" s="61" t="s">
        <v>4494</v>
      </c>
      <c r="J38" s="63">
        <v>623610</v>
      </c>
      <c r="K38" s="63">
        <v>0</v>
      </c>
      <c r="L38" s="64">
        <v>623610</v>
      </c>
    </row>
    <row r="39" spans="1:12" x14ac:dyDescent="0.25">
      <c r="A39" s="65">
        <v>44561</v>
      </c>
      <c r="B39" s="67" t="s">
        <v>927</v>
      </c>
      <c r="C39" s="66" t="s">
        <v>4494</v>
      </c>
      <c r="D39" s="62" t="s">
        <v>26</v>
      </c>
      <c r="E39" s="62" t="s">
        <v>26</v>
      </c>
      <c r="F39" s="60">
        <v>44651</v>
      </c>
      <c r="G39" s="62" t="s">
        <v>6348</v>
      </c>
      <c r="H39" s="66" t="s">
        <v>157</v>
      </c>
      <c r="I39" s="61" t="s">
        <v>4494</v>
      </c>
      <c r="J39" s="63">
        <v>191611.31</v>
      </c>
      <c r="K39" s="63">
        <v>0</v>
      </c>
      <c r="L39" s="64">
        <v>191611.31</v>
      </c>
    </row>
    <row r="40" spans="1:12" x14ac:dyDescent="0.25">
      <c r="A40" s="65">
        <v>44561</v>
      </c>
      <c r="B40" s="67" t="s">
        <v>928</v>
      </c>
      <c r="C40" s="66" t="s">
        <v>4494</v>
      </c>
      <c r="D40" s="62" t="s">
        <v>26</v>
      </c>
      <c r="E40" s="62" t="s">
        <v>26</v>
      </c>
      <c r="F40" s="60">
        <v>44651</v>
      </c>
      <c r="G40" s="62" t="s">
        <v>6348</v>
      </c>
      <c r="H40" s="66" t="s">
        <v>157</v>
      </c>
      <c r="I40" s="61" t="s">
        <v>4494</v>
      </c>
      <c r="J40" s="63">
        <v>22800</v>
      </c>
      <c r="K40" s="63">
        <v>0</v>
      </c>
      <c r="L40" s="64">
        <v>22800</v>
      </c>
    </row>
    <row r="41" spans="1:12" x14ac:dyDescent="0.25">
      <c r="A41" s="65">
        <v>45657</v>
      </c>
      <c r="B41" s="67" t="s">
        <v>4441</v>
      </c>
      <c r="C41" s="66" t="s">
        <v>4494</v>
      </c>
      <c r="D41" s="62" t="s">
        <v>26</v>
      </c>
      <c r="E41" s="62" t="s">
        <v>26</v>
      </c>
      <c r="F41" s="60">
        <v>45717</v>
      </c>
      <c r="G41" s="62" t="s">
        <v>6347</v>
      </c>
      <c r="H41" s="66" t="s">
        <v>157</v>
      </c>
      <c r="I41" s="61" t="s">
        <v>4494</v>
      </c>
      <c r="J41" s="63">
        <v>117553.728</v>
      </c>
      <c r="K41" s="63">
        <v>0</v>
      </c>
      <c r="L41" s="64">
        <v>117553.728</v>
      </c>
    </row>
    <row r="42" spans="1:12" x14ac:dyDescent="0.25">
      <c r="A42" s="65">
        <v>44926</v>
      </c>
      <c r="B42" s="67" t="s">
        <v>4481</v>
      </c>
      <c r="C42" s="66" t="s">
        <v>4494</v>
      </c>
      <c r="D42" s="62" t="s">
        <v>26</v>
      </c>
      <c r="E42" s="62" t="s">
        <v>26</v>
      </c>
      <c r="F42" s="60">
        <v>45016</v>
      </c>
      <c r="G42" s="62" t="s">
        <v>6348</v>
      </c>
      <c r="H42" s="66" t="s">
        <v>157</v>
      </c>
      <c r="I42" s="61" t="s">
        <v>4494</v>
      </c>
      <c r="J42" s="63">
        <v>12000</v>
      </c>
      <c r="K42" s="63">
        <v>0</v>
      </c>
      <c r="L42" s="64">
        <v>12000</v>
      </c>
    </row>
    <row r="43" spans="1:12" x14ac:dyDescent="0.25">
      <c r="A43" s="65">
        <v>44865</v>
      </c>
      <c r="B43" s="67" t="s">
        <v>4482</v>
      </c>
      <c r="C43" s="66" t="s">
        <v>4494</v>
      </c>
      <c r="D43" s="62" t="s">
        <v>26</v>
      </c>
      <c r="E43" s="62" t="s">
        <v>26</v>
      </c>
      <c r="F43" s="60">
        <v>44955</v>
      </c>
      <c r="G43" s="62" t="s">
        <v>6348</v>
      </c>
      <c r="H43" s="66" t="s">
        <v>157</v>
      </c>
      <c r="I43" s="61" t="s">
        <v>4494</v>
      </c>
      <c r="J43" s="63">
        <v>72875</v>
      </c>
      <c r="K43" s="63">
        <v>0</v>
      </c>
      <c r="L43" s="64">
        <v>72875</v>
      </c>
    </row>
    <row r="44" spans="1:12" x14ac:dyDescent="0.25">
      <c r="A44" s="65">
        <v>45473</v>
      </c>
      <c r="B44" s="67" t="s">
        <v>4483</v>
      </c>
      <c r="C44" s="66" t="s">
        <v>4494</v>
      </c>
      <c r="D44" s="62" t="s">
        <v>26</v>
      </c>
      <c r="E44" s="62" t="s">
        <v>26</v>
      </c>
      <c r="F44" s="60">
        <v>45593</v>
      </c>
      <c r="G44" s="62" t="s">
        <v>6348</v>
      </c>
      <c r="H44" s="66" t="s">
        <v>157</v>
      </c>
      <c r="I44" s="61" t="s">
        <v>4494</v>
      </c>
      <c r="J44" s="63">
        <v>74379.600000000093</v>
      </c>
      <c r="K44" s="63">
        <v>0</v>
      </c>
      <c r="L44" s="64">
        <v>74379.600000000093</v>
      </c>
    </row>
    <row r="45" spans="1:12" x14ac:dyDescent="0.25">
      <c r="A45" s="81">
        <v>45659</v>
      </c>
      <c r="B45" s="61" t="s">
        <v>146</v>
      </c>
      <c r="C45" s="11" t="s">
        <v>4497</v>
      </c>
      <c r="D45" s="11" t="s">
        <v>4498</v>
      </c>
      <c r="E45" s="11" t="s">
        <v>919</v>
      </c>
      <c r="F45" s="60">
        <v>45749</v>
      </c>
      <c r="G45" s="82" t="s">
        <v>26</v>
      </c>
      <c r="H45" s="11" t="s">
        <v>157</v>
      </c>
      <c r="I45" s="69" t="s">
        <v>4416</v>
      </c>
      <c r="J45" s="78">
        <v>0</v>
      </c>
      <c r="K45" s="78">
        <v>30000</v>
      </c>
      <c r="L45" s="83">
        <v>-30000</v>
      </c>
    </row>
    <row r="46" spans="1:12" x14ac:dyDescent="0.25">
      <c r="A46" s="81">
        <v>45664</v>
      </c>
      <c r="B46" s="67" t="s">
        <v>4463</v>
      </c>
      <c r="C46" s="11" t="s">
        <v>4497</v>
      </c>
      <c r="D46" s="11" t="s">
        <v>4498</v>
      </c>
      <c r="E46" s="11" t="s">
        <v>1026</v>
      </c>
      <c r="F46" s="60">
        <v>45784</v>
      </c>
      <c r="G46" s="82" t="s">
        <v>26</v>
      </c>
      <c r="H46" s="11" t="s">
        <v>157</v>
      </c>
      <c r="I46" s="69" t="s">
        <v>4417</v>
      </c>
      <c r="J46" s="78"/>
      <c r="K46" s="78">
        <v>76388.929999999993</v>
      </c>
      <c r="L46" s="83">
        <v>-76388.929999999993</v>
      </c>
    </row>
    <row r="47" spans="1:12" x14ac:dyDescent="0.25">
      <c r="A47" s="65">
        <v>45657</v>
      </c>
      <c r="B47" s="67" t="s">
        <v>4464</v>
      </c>
      <c r="C47" s="66" t="s">
        <v>4494</v>
      </c>
      <c r="D47" s="62" t="s">
        <v>26</v>
      </c>
      <c r="E47" s="62" t="s">
        <v>26</v>
      </c>
      <c r="F47" s="60">
        <v>45657</v>
      </c>
      <c r="G47" s="62" t="s">
        <v>26</v>
      </c>
      <c r="H47" s="66" t="s">
        <v>160</v>
      </c>
      <c r="I47" s="67" t="s">
        <v>4494</v>
      </c>
      <c r="J47" s="63">
        <v>-38869.699999999997</v>
      </c>
      <c r="K47" s="63">
        <v>0</v>
      </c>
      <c r="L47" s="64">
        <v>-38869.699999999997</v>
      </c>
    </row>
    <row r="48" spans="1:12" x14ac:dyDescent="0.25">
      <c r="A48" s="65">
        <v>45291</v>
      </c>
      <c r="B48" s="67" t="s">
        <v>161</v>
      </c>
      <c r="C48" s="66" t="s">
        <v>4494</v>
      </c>
      <c r="D48" s="62" t="s">
        <v>26</v>
      </c>
      <c r="E48" s="62" t="s">
        <v>26</v>
      </c>
      <c r="F48" s="60">
        <v>45381</v>
      </c>
      <c r="G48" s="62" t="s">
        <v>6348</v>
      </c>
      <c r="H48" s="66" t="s">
        <v>160</v>
      </c>
      <c r="I48" s="67" t="s">
        <v>4494</v>
      </c>
      <c r="J48" s="63">
        <v>20604.689999999988</v>
      </c>
      <c r="K48" s="63">
        <v>0</v>
      </c>
      <c r="L48" s="64">
        <v>20604.689999999988</v>
      </c>
    </row>
    <row r="49" spans="1:12" x14ac:dyDescent="0.25">
      <c r="A49" s="65">
        <v>45291</v>
      </c>
      <c r="B49" s="67" t="s">
        <v>147</v>
      </c>
      <c r="C49" s="66" t="s">
        <v>4494</v>
      </c>
      <c r="D49" s="62" t="s">
        <v>26</v>
      </c>
      <c r="E49" s="62" t="s">
        <v>26</v>
      </c>
      <c r="F49" s="60">
        <v>45351</v>
      </c>
      <c r="G49" s="62" t="s">
        <v>6348</v>
      </c>
      <c r="H49" s="66" t="s">
        <v>160</v>
      </c>
      <c r="I49" s="67" t="s">
        <v>4494</v>
      </c>
      <c r="J49" s="63">
        <v>1200</v>
      </c>
      <c r="K49" s="63">
        <v>0</v>
      </c>
      <c r="L49" s="64">
        <v>1200</v>
      </c>
    </row>
    <row r="50" spans="1:12" x14ac:dyDescent="0.25">
      <c r="A50" s="65">
        <v>45291</v>
      </c>
      <c r="B50" s="67" t="s">
        <v>1050</v>
      </c>
      <c r="C50" s="66" t="s">
        <v>4494</v>
      </c>
      <c r="D50" s="62" t="s">
        <v>26</v>
      </c>
      <c r="E50" s="62" t="s">
        <v>26</v>
      </c>
      <c r="F50" s="60">
        <v>45291</v>
      </c>
      <c r="G50" s="62" t="s">
        <v>6348</v>
      </c>
      <c r="H50" s="66" t="s">
        <v>160</v>
      </c>
      <c r="I50" s="67" t="s">
        <v>4494</v>
      </c>
      <c r="J50" s="63">
        <v>6375</v>
      </c>
      <c r="K50" s="63">
        <v>0</v>
      </c>
      <c r="L50" s="64">
        <v>6375</v>
      </c>
    </row>
    <row r="51" spans="1:12" x14ac:dyDescent="0.25">
      <c r="A51" s="65">
        <v>45291</v>
      </c>
      <c r="B51" s="67" t="s">
        <v>149</v>
      </c>
      <c r="C51" s="66" t="s">
        <v>4494</v>
      </c>
      <c r="D51" s="62" t="s">
        <v>26</v>
      </c>
      <c r="E51" s="62" t="s">
        <v>26</v>
      </c>
      <c r="F51" s="60">
        <v>45381</v>
      </c>
      <c r="G51" s="62" t="s">
        <v>6348</v>
      </c>
      <c r="H51" s="66" t="s">
        <v>160</v>
      </c>
      <c r="I51" s="67" t="s">
        <v>4494</v>
      </c>
      <c r="J51" s="63">
        <v>13908.970000000001</v>
      </c>
      <c r="K51" s="63">
        <v>0</v>
      </c>
      <c r="L51" s="64">
        <v>13908.970000000001</v>
      </c>
    </row>
    <row r="52" spans="1:12" x14ac:dyDescent="0.25">
      <c r="A52" s="65">
        <v>45291</v>
      </c>
      <c r="B52" s="67" t="s">
        <v>4469</v>
      </c>
      <c r="C52" s="66" t="s">
        <v>4494</v>
      </c>
      <c r="D52" s="62" t="s">
        <v>26</v>
      </c>
      <c r="E52" s="62" t="s">
        <v>26</v>
      </c>
      <c r="F52" s="60">
        <v>45381</v>
      </c>
      <c r="G52" s="62" t="s">
        <v>6348</v>
      </c>
      <c r="H52" s="66" t="s">
        <v>160</v>
      </c>
      <c r="I52" s="67" t="s">
        <v>4494</v>
      </c>
      <c r="J52" s="63">
        <v>17795.939999999944</v>
      </c>
      <c r="K52" s="63">
        <v>0</v>
      </c>
      <c r="L52" s="64">
        <v>17795.939999999944</v>
      </c>
    </row>
    <row r="53" spans="1:12" x14ac:dyDescent="0.25">
      <c r="A53" s="65">
        <v>45291</v>
      </c>
      <c r="B53" s="67" t="s">
        <v>4499</v>
      </c>
      <c r="C53" s="66" t="s">
        <v>4494</v>
      </c>
      <c r="D53" s="62" t="s">
        <v>26</v>
      </c>
      <c r="E53" s="62" t="s">
        <v>26</v>
      </c>
      <c r="F53" s="60">
        <v>45291</v>
      </c>
      <c r="G53" s="62" t="s">
        <v>6348</v>
      </c>
      <c r="H53" s="66" t="s">
        <v>160</v>
      </c>
      <c r="I53" s="67" t="s">
        <v>4494</v>
      </c>
      <c r="J53" s="63">
        <v>1637.54</v>
      </c>
      <c r="K53" s="63">
        <v>0</v>
      </c>
      <c r="L53" s="64">
        <v>1637.54</v>
      </c>
    </row>
    <row r="54" spans="1:12" x14ac:dyDescent="0.25">
      <c r="A54" s="65">
        <v>45657</v>
      </c>
      <c r="B54" s="67" t="s">
        <v>4465</v>
      </c>
      <c r="C54" s="66" t="s">
        <v>4494</v>
      </c>
      <c r="D54" s="62" t="s">
        <v>26</v>
      </c>
      <c r="E54" s="62" t="s">
        <v>26</v>
      </c>
      <c r="F54" s="60">
        <v>45747</v>
      </c>
      <c r="G54" s="62" t="s">
        <v>6347</v>
      </c>
      <c r="H54" s="66" t="s">
        <v>160</v>
      </c>
      <c r="I54" s="67" t="s">
        <v>4494</v>
      </c>
      <c r="J54" s="63">
        <v>127831.79619999998</v>
      </c>
      <c r="K54" s="63">
        <v>0</v>
      </c>
      <c r="L54" s="64">
        <v>127831.79619999998</v>
      </c>
    </row>
    <row r="55" spans="1:12" x14ac:dyDescent="0.25">
      <c r="A55" s="65">
        <v>45291</v>
      </c>
      <c r="B55" s="67" t="s">
        <v>4500</v>
      </c>
      <c r="C55" s="66" t="s">
        <v>4494</v>
      </c>
      <c r="D55" s="62" t="s">
        <v>26</v>
      </c>
      <c r="E55" s="62" t="s">
        <v>26</v>
      </c>
      <c r="F55" s="60">
        <v>45291</v>
      </c>
      <c r="G55" s="62" t="s">
        <v>6348</v>
      </c>
      <c r="H55" s="66" t="s">
        <v>160</v>
      </c>
      <c r="I55" s="67" t="s">
        <v>4494</v>
      </c>
      <c r="J55" s="63">
        <v>0</v>
      </c>
      <c r="K55" s="63">
        <v>0</v>
      </c>
      <c r="L55" s="64">
        <v>0</v>
      </c>
    </row>
    <row r="56" spans="1:12" x14ac:dyDescent="0.25">
      <c r="A56" s="65">
        <v>45291</v>
      </c>
      <c r="B56" s="67" t="s">
        <v>148</v>
      </c>
      <c r="C56" s="66" t="s">
        <v>4494</v>
      </c>
      <c r="D56" s="62" t="s">
        <v>26</v>
      </c>
      <c r="E56" s="62" t="s">
        <v>26</v>
      </c>
      <c r="F56" s="60">
        <v>45381</v>
      </c>
      <c r="G56" s="62" t="s">
        <v>6348</v>
      </c>
      <c r="H56" s="66" t="s">
        <v>160</v>
      </c>
      <c r="I56" s="67" t="s">
        <v>4494</v>
      </c>
      <c r="J56" s="63">
        <v>703807.9299999997</v>
      </c>
      <c r="K56" s="63">
        <v>0</v>
      </c>
      <c r="L56" s="64">
        <v>703807.9299999997</v>
      </c>
    </row>
    <row r="57" spans="1:12" x14ac:dyDescent="0.25">
      <c r="A57" s="65">
        <v>45291</v>
      </c>
      <c r="B57" s="68" t="s">
        <v>4468</v>
      </c>
      <c r="C57" s="66" t="s">
        <v>4494</v>
      </c>
      <c r="D57" s="62" t="s">
        <v>26</v>
      </c>
      <c r="E57" s="62" t="s">
        <v>26</v>
      </c>
      <c r="F57" s="60">
        <v>45351</v>
      </c>
      <c r="G57" s="62" t="s">
        <v>6348</v>
      </c>
      <c r="H57" s="66" t="s">
        <v>160</v>
      </c>
      <c r="I57" s="67" t="s">
        <v>4494</v>
      </c>
      <c r="J57" s="63">
        <v>-1447</v>
      </c>
      <c r="K57" s="63">
        <v>0</v>
      </c>
      <c r="L57" s="64">
        <v>-1447</v>
      </c>
    </row>
    <row r="58" spans="1:12" x14ac:dyDescent="0.25">
      <c r="A58" s="65">
        <v>45657</v>
      </c>
      <c r="B58" s="67" t="s">
        <v>1049</v>
      </c>
      <c r="C58" s="66" t="s">
        <v>4494</v>
      </c>
      <c r="D58" s="62" t="s">
        <v>26</v>
      </c>
      <c r="E58" s="62" t="s">
        <v>26</v>
      </c>
      <c r="F58" s="60">
        <v>45747</v>
      </c>
      <c r="G58" s="62" t="s">
        <v>6347</v>
      </c>
      <c r="H58" s="66" t="s">
        <v>160</v>
      </c>
      <c r="I58" s="67" t="s">
        <v>4494</v>
      </c>
      <c r="J58" s="63">
        <v>126421.15499999997</v>
      </c>
      <c r="K58" s="63">
        <v>0</v>
      </c>
      <c r="L58" s="64">
        <v>126421.15499999997</v>
      </c>
    </row>
    <row r="59" spans="1:12" x14ac:dyDescent="0.25">
      <c r="A59" s="65">
        <v>45657</v>
      </c>
      <c r="B59" s="67" t="s">
        <v>41</v>
      </c>
      <c r="C59" s="66" t="s">
        <v>4494</v>
      </c>
      <c r="D59" s="62" t="s">
        <v>26</v>
      </c>
      <c r="E59" s="62" t="s">
        <v>26</v>
      </c>
      <c r="F59" s="60">
        <v>45657</v>
      </c>
      <c r="G59" s="62" t="s">
        <v>26</v>
      </c>
      <c r="H59" s="66" t="s">
        <v>160</v>
      </c>
      <c r="I59" s="67" t="s">
        <v>4494</v>
      </c>
      <c r="J59" s="63">
        <v>-31356.479999999981</v>
      </c>
      <c r="K59" s="63">
        <v>0</v>
      </c>
      <c r="L59" s="64">
        <v>-31356.479999999981</v>
      </c>
    </row>
    <row r="60" spans="1:12" x14ac:dyDescent="0.25">
      <c r="A60" s="65">
        <v>45291</v>
      </c>
      <c r="B60" s="67" t="s">
        <v>921</v>
      </c>
      <c r="C60" s="66" t="s">
        <v>4494</v>
      </c>
      <c r="D60" s="62" t="s">
        <v>26</v>
      </c>
      <c r="E60" s="62" t="s">
        <v>26</v>
      </c>
      <c r="F60" s="60">
        <v>45351</v>
      </c>
      <c r="G60" s="62" t="s">
        <v>6348</v>
      </c>
      <c r="H60" s="66" t="s">
        <v>160</v>
      </c>
      <c r="I60" s="67" t="s">
        <v>4494</v>
      </c>
      <c r="J60" s="63">
        <v>47469.399999999994</v>
      </c>
      <c r="K60" s="63">
        <v>0</v>
      </c>
      <c r="L60" s="64">
        <v>47469.399999999994</v>
      </c>
    </row>
    <row r="61" spans="1:12" x14ac:dyDescent="0.25">
      <c r="A61" s="65">
        <v>45322</v>
      </c>
      <c r="B61" s="67" t="s">
        <v>162</v>
      </c>
      <c r="C61" s="66" t="s">
        <v>4494</v>
      </c>
      <c r="D61" s="62" t="s">
        <v>26</v>
      </c>
      <c r="E61" s="62" t="s">
        <v>26</v>
      </c>
      <c r="F61" s="60">
        <v>45412</v>
      </c>
      <c r="G61" s="62" t="s">
        <v>6348</v>
      </c>
      <c r="H61" s="66" t="s">
        <v>160</v>
      </c>
      <c r="I61" s="67" t="s">
        <v>4494</v>
      </c>
      <c r="J61" s="63">
        <v>31175.079999999725</v>
      </c>
      <c r="K61" s="63">
        <v>0</v>
      </c>
      <c r="L61" s="64">
        <v>31175.079999999725</v>
      </c>
    </row>
    <row r="62" spans="1:12" x14ac:dyDescent="0.25">
      <c r="A62" s="65">
        <v>45657</v>
      </c>
      <c r="B62" s="67" t="s">
        <v>163</v>
      </c>
      <c r="C62" s="66" t="s">
        <v>4494</v>
      </c>
      <c r="D62" s="62" t="s">
        <v>26</v>
      </c>
      <c r="E62" s="62" t="s">
        <v>26</v>
      </c>
      <c r="F62" s="60">
        <v>45657</v>
      </c>
      <c r="G62" s="62" t="s">
        <v>26</v>
      </c>
      <c r="H62" s="66" t="s">
        <v>160</v>
      </c>
      <c r="I62" s="67" t="s">
        <v>4494</v>
      </c>
      <c r="J62" s="63">
        <v>-9285.859999999986</v>
      </c>
      <c r="K62" s="63">
        <v>0</v>
      </c>
      <c r="L62" s="64">
        <v>-9285.859999999986</v>
      </c>
    </row>
    <row r="63" spans="1:12" x14ac:dyDescent="0.25">
      <c r="A63" s="65">
        <v>45291</v>
      </c>
      <c r="B63" s="67" t="s">
        <v>4501</v>
      </c>
      <c r="C63" s="66" t="s">
        <v>4494</v>
      </c>
      <c r="D63" s="62" t="s">
        <v>26</v>
      </c>
      <c r="E63" s="62" t="s">
        <v>26</v>
      </c>
      <c r="F63" s="60">
        <v>45291</v>
      </c>
      <c r="G63" s="62" t="s">
        <v>6348</v>
      </c>
      <c r="H63" s="66" t="s">
        <v>160</v>
      </c>
      <c r="I63" s="67" t="s">
        <v>4494</v>
      </c>
      <c r="J63" s="63">
        <v>108872.23999999999</v>
      </c>
      <c r="K63" s="63">
        <v>0</v>
      </c>
      <c r="L63" s="64">
        <v>108872.23999999999</v>
      </c>
    </row>
    <row r="64" spans="1:12" x14ac:dyDescent="0.25">
      <c r="A64" s="65">
        <v>45291</v>
      </c>
      <c r="B64" s="67" t="s">
        <v>922</v>
      </c>
      <c r="C64" s="66" t="s">
        <v>4494</v>
      </c>
      <c r="D64" s="62" t="s">
        <v>26</v>
      </c>
      <c r="E64" s="62" t="s">
        <v>26</v>
      </c>
      <c r="F64" s="60">
        <v>45351</v>
      </c>
      <c r="G64" s="62" t="s">
        <v>6348</v>
      </c>
      <c r="H64" s="66" t="s">
        <v>160</v>
      </c>
      <c r="I64" s="67" t="s">
        <v>4494</v>
      </c>
      <c r="J64" s="63">
        <v>14288.14</v>
      </c>
      <c r="K64" s="63">
        <v>0</v>
      </c>
      <c r="L64" s="64">
        <v>14288.14</v>
      </c>
    </row>
    <row r="65" spans="1:12" x14ac:dyDescent="0.25">
      <c r="A65" s="65">
        <v>45291</v>
      </c>
      <c r="B65" s="67" t="s">
        <v>923</v>
      </c>
      <c r="C65" s="66" t="s">
        <v>4494</v>
      </c>
      <c r="D65" s="62" t="s">
        <v>26</v>
      </c>
      <c r="E65" s="62" t="s">
        <v>26</v>
      </c>
      <c r="F65" s="60">
        <v>45381</v>
      </c>
      <c r="G65" s="62" t="s">
        <v>6348</v>
      </c>
      <c r="H65" s="66" t="s">
        <v>160</v>
      </c>
      <c r="I65" s="67" t="s">
        <v>4494</v>
      </c>
      <c r="J65" s="63">
        <v>0</v>
      </c>
      <c r="K65" s="63">
        <v>0</v>
      </c>
      <c r="L65" s="64">
        <v>0</v>
      </c>
    </row>
    <row r="66" spans="1:12" x14ac:dyDescent="0.25">
      <c r="A66" s="65">
        <v>45657</v>
      </c>
      <c r="B66" s="67" t="s">
        <v>204</v>
      </c>
      <c r="C66" s="66" t="s">
        <v>4494</v>
      </c>
      <c r="D66" s="62" t="s">
        <v>26</v>
      </c>
      <c r="E66" s="62" t="s">
        <v>26</v>
      </c>
      <c r="F66" s="60">
        <v>45657</v>
      </c>
      <c r="G66" s="62" t="s">
        <v>26</v>
      </c>
      <c r="H66" s="66" t="s">
        <v>160</v>
      </c>
      <c r="I66" s="67" t="s">
        <v>4494</v>
      </c>
      <c r="J66" s="63">
        <v>-26159.520000000019</v>
      </c>
      <c r="K66" s="63">
        <v>0</v>
      </c>
      <c r="L66" s="64">
        <v>-26159.520000000019</v>
      </c>
    </row>
    <row r="67" spans="1:12" x14ac:dyDescent="0.25">
      <c r="A67" s="65">
        <v>45291</v>
      </c>
      <c r="B67" s="67" t="s">
        <v>139</v>
      </c>
      <c r="C67" s="66" t="s">
        <v>4494</v>
      </c>
      <c r="D67" s="62" t="s">
        <v>26</v>
      </c>
      <c r="E67" s="62" t="s">
        <v>26</v>
      </c>
      <c r="F67" s="60">
        <v>45381</v>
      </c>
      <c r="G67" s="62" t="s">
        <v>6348</v>
      </c>
      <c r="H67" s="66" t="s">
        <v>160</v>
      </c>
      <c r="I67" s="67" t="s">
        <v>4494</v>
      </c>
      <c r="J67" s="63">
        <v>67747.100000000035</v>
      </c>
      <c r="K67" s="63">
        <v>0</v>
      </c>
      <c r="L67" s="64">
        <v>67747.100000000035</v>
      </c>
    </row>
    <row r="68" spans="1:12" x14ac:dyDescent="0.25">
      <c r="A68" s="65">
        <v>45291</v>
      </c>
      <c r="B68" s="67" t="s">
        <v>4471</v>
      </c>
      <c r="C68" s="66" t="s">
        <v>4494</v>
      </c>
      <c r="D68" s="62" t="s">
        <v>26</v>
      </c>
      <c r="E68" s="62" t="s">
        <v>26</v>
      </c>
      <c r="F68" s="60">
        <v>45381</v>
      </c>
      <c r="G68" s="62" t="s">
        <v>6348</v>
      </c>
      <c r="H68" s="66" t="s">
        <v>160</v>
      </c>
      <c r="I68" s="67" t="s">
        <v>4494</v>
      </c>
      <c r="J68" s="63">
        <v>-13135.499999999985</v>
      </c>
      <c r="K68" s="63">
        <v>0</v>
      </c>
      <c r="L68" s="64">
        <v>-13135.499999999985</v>
      </c>
    </row>
    <row r="69" spans="1:12" x14ac:dyDescent="0.25">
      <c r="A69" s="65">
        <v>45657</v>
      </c>
      <c r="B69" s="67" t="s">
        <v>70</v>
      </c>
      <c r="C69" s="66" t="s">
        <v>4494</v>
      </c>
      <c r="D69" s="62" t="s">
        <v>26</v>
      </c>
      <c r="E69" s="62" t="s">
        <v>26</v>
      </c>
      <c r="F69" s="60">
        <v>45657</v>
      </c>
      <c r="G69" s="62" t="s">
        <v>26</v>
      </c>
      <c r="H69" s="66" t="s">
        <v>160</v>
      </c>
      <c r="I69" s="67" t="s">
        <v>4494</v>
      </c>
      <c r="J69" s="63">
        <v>-32116.499999999942</v>
      </c>
      <c r="K69" s="63">
        <v>0</v>
      </c>
      <c r="L69" s="64">
        <v>-32116.499999999942</v>
      </c>
    </row>
    <row r="70" spans="1:12" x14ac:dyDescent="0.25">
      <c r="A70" s="65">
        <v>45657</v>
      </c>
      <c r="B70" s="67" t="s">
        <v>45</v>
      </c>
      <c r="C70" s="66" t="s">
        <v>4494</v>
      </c>
      <c r="D70" s="62" t="s">
        <v>26</v>
      </c>
      <c r="E70" s="62" t="s">
        <v>26</v>
      </c>
      <c r="F70" s="60">
        <v>45657</v>
      </c>
      <c r="G70" s="62" t="s">
        <v>26</v>
      </c>
      <c r="H70" s="66" t="s">
        <v>160</v>
      </c>
      <c r="I70" s="67" t="s">
        <v>4494</v>
      </c>
      <c r="J70" s="63">
        <v>-7704.3400000003166</v>
      </c>
      <c r="K70" s="63">
        <v>0</v>
      </c>
      <c r="L70" s="64">
        <v>-7704.3400000003166</v>
      </c>
    </row>
    <row r="71" spans="1:12" x14ac:dyDescent="0.25">
      <c r="A71" s="65">
        <v>45657</v>
      </c>
      <c r="B71" s="67" t="s">
        <v>71</v>
      </c>
      <c r="C71" s="66" t="s">
        <v>4494</v>
      </c>
      <c r="D71" s="62" t="s">
        <v>26</v>
      </c>
      <c r="E71" s="62" t="s">
        <v>26</v>
      </c>
      <c r="F71" s="60">
        <v>45657</v>
      </c>
      <c r="G71" s="62" t="s">
        <v>26</v>
      </c>
      <c r="H71" s="66" t="s">
        <v>160</v>
      </c>
      <c r="I71" s="67" t="s">
        <v>4494</v>
      </c>
      <c r="J71" s="63">
        <v>0</v>
      </c>
      <c r="K71" s="63">
        <v>0</v>
      </c>
      <c r="L71" s="64">
        <v>0</v>
      </c>
    </row>
    <row r="72" spans="1:12" x14ac:dyDescent="0.25">
      <c r="A72" s="65">
        <v>45657</v>
      </c>
      <c r="B72" s="67" t="s">
        <v>140</v>
      </c>
      <c r="C72" s="66" t="s">
        <v>4494</v>
      </c>
      <c r="D72" s="62" t="s">
        <v>26</v>
      </c>
      <c r="E72" s="62" t="s">
        <v>26</v>
      </c>
      <c r="F72" s="60">
        <v>45657</v>
      </c>
      <c r="G72" s="62" t="s">
        <v>26</v>
      </c>
      <c r="H72" s="66" t="s">
        <v>160</v>
      </c>
      <c r="I72" s="67" t="s">
        <v>4494</v>
      </c>
      <c r="J72" s="63">
        <v>-25939.820000000065</v>
      </c>
      <c r="K72" s="63">
        <v>0</v>
      </c>
      <c r="L72" s="64">
        <v>-25939.820000000065</v>
      </c>
    </row>
    <row r="73" spans="1:12" x14ac:dyDescent="0.25">
      <c r="A73" s="65">
        <v>45657</v>
      </c>
      <c r="B73" s="67" t="s">
        <v>6345</v>
      </c>
      <c r="C73" s="66" t="s">
        <v>4494</v>
      </c>
      <c r="D73" s="62" t="s">
        <v>26</v>
      </c>
      <c r="E73" s="62" t="s">
        <v>26</v>
      </c>
      <c r="F73" s="60">
        <v>45657</v>
      </c>
      <c r="G73" s="62" t="s">
        <v>26</v>
      </c>
      <c r="H73" s="66" t="s">
        <v>160</v>
      </c>
      <c r="I73" s="67" t="s">
        <v>4494</v>
      </c>
      <c r="J73" s="63">
        <v>-67638.41</v>
      </c>
      <c r="K73" s="63">
        <v>0</v>
      </c>
      <c r="L73" s="64">
        <v>-67638.41</v>
      </c>
    </row>
    <row r="74" spans="1:12" x14ac:dyDescent="0.25">
      <c r="A74" s="65">
        <v>45657</v>
      </c>
      <c r="B74" s="67" t="s">
        <v>925</v>
      </c>
      <c r="C74" s="66" t="s">
        <v>4494</v>
      </c>
      <c r="D74" s="62" t="s">
        <v>26</v>
      </c>
      <c r="E74" s="62" t="s">
        <v>26</v>
      </c>
      <c r="F74" s="60">
        <v>45747</v>
      </c>
      <c r="G74" s="62" t="s">
        <v>26</v>
      </c>
      <c r="H74" s="66" t="s">
        <v>160</v>
      </c>
      <c r="I74" s="67" t="s">
        <v>4494</v>
      </c>
      <c r="J74" s="63">
        <v>955.34</v>
      </c>
      <c r="K74" s="63">
        <v>0</v>
      </c>
      <c r="L74" s="64">
        <v>955.34</v>
      </c>
    </row>
    <row r="75" spans="1:12" x14ac:dyDescent="0.25">
      <c r="A75" s="65">
        <v>45657</v>
      </c>
      <c r="B75" s="67" t="s">
        <v>4485</v>
      </c>
      <c r="C75" s="66" t="s">
        <v>4494</v>
      </c>
      <c r="D75" s="62" t="s">
        <v>26</v>
      </c>
      <c r="E75" s="62" t="s">
        <v>26</v>
      </c>
      <c r="F75" s="60">
        <v>45657</v>
      </c>
      <c r="G75" s="62" t="s">
        <v>26</v>
      </c>
      <c r="H75" s="66" t="s">
        <v>160</v>
      </c>
      <c r="I75" s="67" t="s">
        <v>4494</v>
      </c>
      <c r="J75" s="63">
        <v>1018.7999999999302</v>
      </c>
      <c r="K75" s="63">
        <v>0</v>
      </c>
      <c r="L75" s="64">
        <v>1018.7999999999302</v>
      </c>
    </row>
    <row r="76" spans="1:12" x14ac:dyDescent="0.25">
      <c r="A76" s="65">
        <v>45657</v>
      </c>
      <c r="B76" s="67" t="s">
        <v>565</v>
      </c>
      <c r="C76" s="66" t="s">
        <v>4494</v>
      </c>
      <c r="D76" s="62" t="s">
        <v>26</v>
      </c>
      <c r="E76" s="62" t="s">
        <v>26</v>
      </c>
      <c r="F76" s="60">
        <v>45657</v>
      </c>
      <c r="G76" s="62" t="s">
        <v>26</v>
      </c>
      <c r="H76" s="66" t="s">
        <v>160</v>
      </c>
      <c r="I76" s="67" t="s">
        <v>4494</v>
      </c>
      <c r="J76" s="63">
        <v>-3373.9199999999837</v>
      </c>
      <c r="K76" s="63">
        <v>0</v>
      </c>
      <c r="L76" s="64">
        <v>-3373.9199999999837</v>
      </c>
    </row>
    <row r="77" spans="1:12" x14ac:dyDescent="0.25">
      <c r="A77" s="65">
        <v>45657</v>
      </c>
      <c r="B77" s="67" t="s">
        <v>141</v>
      </c>
      <c r="C77" s="66" t="s">
        <v>4494</v>
      </c>
      <c r="D77" s="62" t="s">
        <v>26</v>
      </c>
      <c r="E77" s="62" t="s">
        <v>26</v>
      </c>
      <c r="F77" s="60">
        <v>45657</v>
      </c>
      <c r="G77" s="62" t="s">
        <v>26</v>
      </c>
      <c r="H77" s="66" t="s">
        <v>160</v>
      </c>
      <c r="I77" s="67" t="s">
        <v>4494</v>
      </c>
      <c r="J77" s="63">
        <v>-87051.379999999888</v>
      </c>
      <c r="K77" s="63">
        <v>0</v>
      </c>
      <c r="L77" s="64">
        <v>-87051.379999999888</v>
      </c>
    </row>
    <row r="78" spans="1:12" x14ac:dyDescent="0.25">
      <c r="A78" s="65">
        <v>45657</v>
      </c>
      <c r="B78" s="67" t="s">
        <v>4461</v>
      </c>
      <c r="C78" s="66" t="s">
        <v>4494</v>
      </c>
      <c r="D78" s="62" t="s">
        <v>26</v>
      </c>
      <c r="E78" s="62" t="s">
        <v>26</v>
      </c>
      <c r="F78" s="60">
        <v>45657</v>
      </c>
      <c r="G78" s="62" t="s">
        <v>26</v>
      </c>
      <c r="H78" s="66" t="s">
        <v>160</v>
      </c>
      <c r="I78" s="67" t="s">
        <v>4494</v>
      </c>
      <c r="J78" s="63">
        <v>-2395.8000000000029</v>
      </c>
      <c r="K78" s="63">
        <v>0</v>
      </c>
      <c r="L78" s="64">
        <v>-2395.8000000000029</v>
      </c>
    </row>
    <row r="79" spans="1:12" x14ac:dyDescent="0.25">
      <c r="A79" s="65">
        <v>45659</v>
      </c>
      <c r="B79" s="67" t="s">
        <v>140</v>
      </c>
      <c r="C79" s="66" t="s">
        <v>4502</v>
      </c>
      <c r="D79" s="62" t="s">
        <v>26</v>
      </c>
      <c r="E79" s="62" t="s">
        <v>4503</v>
      </c>
      <c r="F79" s="60">
        <v>45659</v>
      </c>
      <c r="G79" s="62" t="s">
        <v>26</v>
      </c>
      <c r="H79" s="66" t="s">
        <v>160</v>
      </c>
      <c r="I79" s="67" t="s">
        <v>759</v>
      </c>
      <c r="J79" s="63">
        <v>50000</v>
      </c>
      <c r="K79" s="63"/>
      <c r="L79" s="64">
        <v>50000</v>
      </c>
    </row>
    <row r="80" spans="1:12" x14ac:dyDescent="0.25">
      <c r="A80" s="65">
        <v>45659</v>
      </c>
      <c r="B80" s="67" t="s">
        <v>140</v>
      </c>
      <c r="C80" s="66" t="s">
        <v>4497</v>
      </c>
      <c r="D80" s="62" t="s">
        <v>4447</v>
      </c>
      <c r="E80" s="62" t="s">
        <v>912</v>
      </c>
      <c r="F80" s="60">
        <v>45659</v>
      </c>
      <c r="G80" s="62" t="s">
        <v>26</v>
      </c>
      <c r="H80" s="66" t="s">
        <v>160</v>
      </c>
      <c r="I80" s="67" t="s">
        <v>4443</v>
      </c>
      <c r="J80" s="63"/>
      <c r="K80" s="63">
        <v>50000</v>
      </c>
      <c r="L80" s="64">
        <v>-50000</v>
      </c>
    </row>
    <row r="81" spans="1:12" x14ac:dyDescent="0.25">
      <c r="A81" s="81">
        <v>45664</v>
      </c>
      <c r="B81" s="69" t="s">
        <v>45</v>
      </c>
      <c r="C81" s="11" t="s">
        <v>4497</v>
      </c>
      <c r="D81" s="62" t="s">
        <v>4447</v>
      </c>
      <c r="E81" s="11" t="s">
        <v>912</v>
      </c>
      <c r="F81" s="60">
        <v>45664</v>
      </c>
      <c r="G81" s="82" t="s">
        <v>26</v>
      </c>
      <c r="H81" s="11" t="s">
        <v>160</v>
      </c>
      <c r="I81" s="69" t="s">
        <v>4444</v>
      </c>
      <c r="J81" s="78"/>
      <c r="K81" s="78">
        <v>80000</v>
      </c>
      <c r="L81" s="83">
        <v>-80000</v>
      </c>
    </row>
    <row r="82" spans="1:12" x14ac:dyDescent="0.25">
      <c r="A82" s="81">
        <v>45664</v>
      </c>
      <c r="B82" s="67" t="s">
        <v>565</v>
      </c>
      <c r="C82" s="11" t="s">
        <v>4497</v>
      </c>
      <c r="D82" s="62" t="s">
        <v>4447</v>
      </c>
      <c r="E82" s="11" t="s">
        <v>912</v>
      </c>
      <c r="F82" s="60">
        <v>45664</v>
      </c>
      <c r="G82" s="82" t="s">
        <v>26</v>
      </c>
      <c r="H82" s="11" t="s">
        <v>160</v>
      </c>
      <c r="I82" s="69" t="s">
        <v>4444</v>
      </c>
      <c r="J82" s="78"/>
      <c r="K82" s="78">
        <v>40000</v>
      </c>
      <c r="L82" s="83">
        <v>-40000</v>
      </c>
    </row>
    <row r="83" spans="1:12" x14ac:dyDescent="0.25">
      <c r="A83" s="81">
        <v>45664</v>
      </c>
      <c r="B83" s="67" t="s">
        <v>163</v>
      </c>
      <c r="C83" s="11" t="s">
        <v>4497</v>
      </c>
      <c r="D83" s="62" t="s">
        <v>4447</v>
      </c>
      <c r="E83" s="11" t="s">
        <v>912</v>
      </c>
      <c r="F83" s="60">
        <v>45664</v>
      </c>
      <c r="G83" s="82" t="s">
        <v>26</v>
      </c>
      <c r="H83" s="11" t="s">
        <v>160</v>
      </c>
      <c r="I83" s="69" t="s">
        <v>4444</v>
      </c>
      <c r="J83" s="78"/>
      <c r="K83" s="78">
        <v>110000</v>
      </c>
      <c r="L83" s="83">
        <v>-110000</v>
      </c>
    </row>
    <row r="84" spans="1:12" x14ac:dyDescent="0.25">
      <c r="A84" s="81">
        <v>45665</v>
      </c>
      <c r="B84" s="67" t="s">
        <v>4461</v>
      </c>
      <c r="C84" s="11" t="s">
        <v>4497</v>
      </c>
      <c r="D84" s="62" t="s">
        <v>4447</v>
      </c>
      <c r="E84" s="82" t="s">
        <v>912</v>
      </c>
      <c r="F84" s="60">
        <v>45665</v>
      </c>
      <c r="G84" s="82" t="s">
        <v>26</v>
      </c>
      <c r="H84" s="11" t="s">
        <v>160</v>
      </c>
      <c r="I84" s="69" t="s">
        <v>4445</v>
      </c>
      <c r="J84" s="78"/>
      <c r="K84" s="78">
        <v>30000</v>
      </c>
      <c r="L84" s="83">
        <v>-30000</v>
      </c>
    </row>
    <row r="85" spans="1:12" x14ac:dyDescent="0.25">
      <c r="A85" s="81">
        <v>45665</v>
      </c>
      <c r="B85" s="67" t="s">
        <v>4462</v>
      </c>
      <c r="C85" s="11" t="s">
        <v>4497</v>
      </c>
      <c r="D85" s="82" t="s">
        <v>4447</v>
      </c>
      <c r="E85" s="82" t="s">
        <v>919</v>
      </c>
      <c r="F85" s="60">
        <v>45665</v>
      </c>
      <c r="G85" s="82" t="s">
        <v>26</v>
      </c>
      <c r="H85" s="11" t="s">
        <v>157</v>
      </c>
      <c r="I85" s="69" t="s">
        <v>4418</v>
      </c>
      <c r="J85" s="78"/>
      <c r="K85" s="78">
        <v>4910.3999999999996</v>
      </c>
      <c r="L85" s="83">
        <v>-4910.3999999999996</v>
      </c>
    </row>
    <row r="86" spans="1:12" x14ac:dyDescent="0.25">
      <c r="A86" s="81">
        <v>45665</v>
      </c>
      <c r="B86" s="67" t="s">
        <v>4462</v>
      </c>
      <c r="C86" s="11" t="s">
        <v>4497</v>
      </c>
      <c r="D86" s="82" t="s">
        <v>4447</v>
      </c>
      <c r="E86" s="82" t="s">
        <v>919</v>
      </c>
      <c r="F86" s="60">
        <v>45665</v>
      </c>
      <c r="G86" s="82" t="s">
        <v>26</v>
      </c>
      <c r="H86" s="11" t="s">
        <v>157</v>
      </c>
      <c r="I86" s="69" t="s">
        <v>4419</v>
      </c>
      <c r="J86" s="78"/>
      <c r="K86" s="78">
        <v>1636.8</v>
      </c>
      <c r="L86" s="83">
        <v>-1636.8</v>
      </c>
    </row>
    <row r="87" spans="1:12" x14ac:dyDescent="0.25">
      <c r="A87" s="81">
        <v>45666</v>
      </c>
      <c r="B87" s="61" t="s">
        <v>146</v>
      </c>
      <c r="C87" s="11" t="s">
        <v>4497</v>
      </c>
      <c r="D87" s="11" t="s">
        <v>4498</v>
      </c>
      <c r="E87" s="82" t="s">
        <v>919</v>
      </c>
      <c r="F87" s="84">
        <v>45666</v>
      </c>
      <c r="G87" s="82" t="s">
        <v>26</v>
      </c>
      <c r="H87" s="11" t="s">
        <v>157</v>
      </c>
      <c r="I87" s="69" t="s">
        <v>4416</v>
      </c>
      <c r="J87" s="78"/>
      <c r="K87" s="78">
        <v>50000</v>
      </c>
      <c r="L87" s="83">
        <v>-50000</v>
      </c>
    </row>
    <row r="88" spans="1:12" x14ac:dyDescent="0.25">
      <c r="A88" s="81">
        <v>45666</v>
      </c>
      <c r="B88" s="67" t="s">
        <v>4465</v>
      </c>
      <c r="C88" s="66" t="s">
        <v>4502</v>
      </c>
      <c r="D88" s="62" t="s">
        <v>26</v>
      </c>
      <c r="E88" s="82" t="s">
        <v>1026</v>
      </c>
      <c r="F88" s="84">
        <v>45647</v>
      </c>
      <c r="G88" s="82" t="s">
        <v>26</v>
      </c>
      <c r="H88" s="11" t="s">
        <v>160</v>
      </c>
      <c r="I88" s="69" t="s">
        <v>158</v>
      </c>
      <c r="J88" s="78">
        <v>40000</v>
      </c>
      <c r="K88" s="78">
        <v>0</v>
      </c>
      <c r="L88" s="83">
        <v>40000</v>
      </c>
    </row>
    <row r="89" spans="1:12" x14ac:dyDescent="0.25">
      <c r="A89" s="81">
        <v>45666</v>
      </c>
      <c r="B89" s="67" t="s">
        <v>4465</v>
      </c>
      <c r="C89" s="11" t="s">
        <v>4497</v>
      </c>
      <c r="D89" s="82" t="s">
        <v>4498</v>
      </c>
      <c r="E89" s="82" t="s">
        <v>912</v>
      </c>
      <c r="F89" s="84">
        <v>45666</v>
      </c>
      <c r="G89" s="82" t="s">
        <v>26</v>
      </c>
      <c r="H89" s="11" t="s">
        <v>160</v>
      </c>
      <c r="I89" s="69" t="s">
        <v>4446</v>
      </c>
      <c r="J89" s="78"/>
      <c r="K89" s="78">
        <v>40000</v>
      </c>
      <c r="L89" s="83">
        <v>-40000</v>
      </c>
    </row>
    <row r="90" spans="1:12" x14ac:dyDescent="0.25">
      <c r="A90" s="81">
        <v>45666</v>
      </c>
      <c r="B90" s="67" t="s">
        <v>4439</v>
      </c>
      <c r="C90" s="11" t="s">
        <v>4497</v>
      </c>
      <c r="D90" s="11" t="s">
        <v>4498</v>
      </c>
      <c r="E90" s="82" t="s">
        <v>1026</v>
      </c>
      <c r="F90" s="84">
        <v>45685</v>
      </c>
      <c r="G90" s="82" t="s">
        <v>26</v>
      </c>
      <c r="H90" s="11" t="s">
        <v>157</v>
      </c>
      <c r="I90" s="69" t="s">
        <v>4420</v>
      </c>
      <c r="J90" s="78"/>
      <c r="K90" s="78">
        <v>792008.75</v>
      </c>
      <c r="L90" s="83">
        <v>-792008.75</v>
      </c>
    </row>
    <row r="91" spans="1:12" x14ac:dyDescent="0.25">
      <c r="A91" s="81">
        <v>45666</v>
      </c>
      <c r="B91" s="67" t="s">
        <v>41</v>
      </c>
      <c r="C91" s="11" t="s">
        <v>4497</v>
      </c>
      <c r="D91" s="62" t="s">
        <v>4447</v>
      </c>
      <c r="E91" s="82" t="s">
        <v>912</v>
      </c>
      <c r="F91" s="84">
        <v>45666</v>
      </c>
      <c r="G91" s="82" t="s">
        <v>26</v>
      </c>
      <c r="H91" s="11" t="s">
        <v>160</v>
      </c>
      <c r="I91" s="69" t="s">
        <v>4447</v>
      </c>
      <c r="J91" s="78"/>
      <c r="K91" s="78">
        <v>20000</v>
      </c>
      <c r="L91" s="83">
        <v>-20000</v>
      </c>
    </row>
    <row r="92" spans="1:12" x14ac:dyDescent="0.25">
      <c r="A92" s="81">
        <v>45667</v>
      </c>
      <c r="B92" s="69" t="s">
        <v>140</v>
      </c>
      <c r="C92" s="66" t="s">
        <v>4502</v>
      </c>
      <c r="D92" s="62" t="s">
        <v>4447</v>
      </c>
      <c r="E92" s="82" t="s">
        <v>4503</v>
      </c>
      <c r="F92" s="84">
        <v>45667</v>
      </c>
      <c r="G92" s="82" t="s">
        <v>26</v>
      </c>
      <c r="H92" s="11" t="s">
        <v>160</v>
      </c>
      <c r="I92" s="69" t="s">
        <v>4504</v>
      </c>
      <c r="J92" s="79"/>
      <c r="K92" s="79">
        <v>50000</v>
      </c>
      <c r="L92" s="83">
        <v>-50000</v>
      </c>
    </row>
    <row r="93" spans="1:12" x14ac:dyDescent="0.25">
      <c r="A93" s="81">
        <v>45667</v>
      </c>
      <c r="B93" s="61" t="s">
        <v>146</v>
      </c>
      <c r="C93" s="11" t="s">
        <v>4497</v>
      </c>
      <c r="D93" s="11" t="s">
        <v>4498</v>
      </c>
      <c r="E93" s="82" t="s">
        <v>919</v>
      </c>
      <c r="F93" s="84">
        <v>45667</v>
      </c>
      <c r="G93" s="82" t="s">
        <v>26</v>
      </c>
      <c r="H93" s="11" t="s">
        <v>157</v>
      </c>
      <c r="I93" s="69" t="s">
        <v>4416</v>
      </c>
      <c r="J93" s="78"/>
      <c r="K93" s="78">
        <v>45086.38</v>
      </c>
      <c r="L93" s="83">
        <v>-45086.38</v>
      </c>
    </row>
    <row r="94" spans="1:12" x14ac:dyDescent="0.25">
      <c r="A94" s="81">
        <v>45667</v>
      </c>
      <c r="B94" s="69" t="s">
        <v>140</v>
      </c>
      <c r="C94" s="66" t="s">
        <v>4502</v>
      </c>
      <c r="D94" s="62" t="s">
        <v>4447</v>
      </c>
      <c r="E94" s="82" t="s">
        <v>4503</v>
      </c>
      <c r="F94" s="84">
        <v>45667</v>
      </c>
      <c r="G94" s="82" t="s">
        <v>26</v>
      </c>
      <c r="H94" s="11" t="s">
        <v>160</v>
      </c>
      <c r="I94" s="69" t="s">
        <v>4504</v>
      </c>
      <c r="J94" s="79">
        <v>50000</v>
      </c>
      <c r="K94" s="79">
        <v>0</v>
      </c>
      <c r="L94" s="83">
        <v>50000</v>
      </c>
    </row>
    <row r="95" spans="1:12" x14ac:dyDescent="0.25">
      <c r="A95" s="81">
        <v>45667</v>
      </c>
      <c r="B95" s="69" t="s">
        <v>140</v>
      </c>
      <c r="C95" s="11" t="s">
        <v>4497</v>
      </c>
      <c r="D95" s="62" t="s">
        <v>4447</v>
      </c>
      <c r="E95" s="82" t="s">
        <v>912</v>
      </c>
      <c r="F95" s="84">
        <v>45667</v>
      </c>
      <c r="G95" s="82" t="s">
        <v>26</v>
      </c>
      <c r="H95" s="11" t="s">
        <v>160</v>
      </c>
      <c r="I95" s="69" t="s">
        <v>4448</v>
      </c>
      <c r="J95" s="79"/>
      <c r="K95" s="79">
        <v>50000</v>
      </c>
      <c r="L95" s="83">
        <v>-50000</v>
      </c>
    </row>
    <row r="96" spans="1:12" x14ac:dyDescent="0.25">
      <c r="A96" s="81">
        <v>45670</v>
      </c>
      <c r="B96" s="67" t="s">
        <v>4440</v>
      </c>
      <c r="C96" s="11" t="s">
        <v>4497</v>
      </c>
      <c r="D96" s="11" t="s">
        <v>4498</v>
      </c>
      <c r="E96" s="82" t="s">
        <v>1026</v>
      </c>
      <c r="F96" s="84">
        <v>45747</v>
      </c>
      <c r="G96" s="82" t="s">
        <v>26</v>
      </c>
      <c r="H96" s="11" t="s">
        <v>157</v>
      </c>
      <c r="I96" s="69" t="s">
        <v>4421</v>
      </c>
      <c r="J96" s="78"/>
      <c r="K96" s="78">
        <v>191769.95</v>
      </c>
      <c r="L96" s="83">
        <v>-191769.95</v>
      </c>
    </row>
    <row r="97" spans="1:12" x14ac:dyDescent="0.25">
      <c r="A97" s="81">
        <v>45670</v>
      </c>
      <c r="B97" s="67" t="s">
        <v>4440</v>
      </c>
      <c r="C97" s="11" t="s">
        <v>4497</v>
      </c>
      <c r="D97" s="11" t="s">
        <v>4498</v>
      </c>
      <c r="E97" s="82" t="s">
        <v>1026</v>
      </c>
      <c r="F97" s="84">
        <v>45762</v>
      </c>
      <c r="G97" s="82" t="s">
        <v>26</v>
      </c>
      <c r="H97" s="11" t="s">
        <v>157</v>
      </c>
      <c r="I97" s="69" t="s">
        <v>4422</v>
      </c>
      <c r="J97" s="78"/>
      <c r="K97" s="78">
        <v>191769.95</v>
      </c>
      <c r="L97" s="83">
        <v>-191769.95</v>
      </c>
    </row>
    <row r="98" spans="1:12" x14ac:dyDescent="0.25">
      <c r="A98" s="81">
        <v>45673</v>
      </c>
      <c r="B98" s="69" t="s">
        <v>66</v>
      </c>
      <c r="C98" s="11" t="s">
        <v>4495</v>
      </c>
      <c r="D98" s="62" t="s">
        <v>26</v>
      </c>
      <c r="E98" s="82" t="s">
        <v>1026</v>
      </c>
      <c r="F98" s="84">
        <v>45673</v>
      </c>
      <c r="G98" s="82" t="s">
        <v>26</v>
      </c>
      <c r="H98" s="11" t="s">
        <v>157</v>
      </c>
      <c r="I98" s="69" t="s">
        <v>143</v>
      </c>
      <c r="J98" s="78">
        <v>76110</v>
      </c>
      <c r="K98" s="78">
        <v>0</v>
      </c>
      <c r="L98" s="83">
        <v>76110</v>
      </c>
    </row>
    <row r="99" spans="1:12" x14ac:dyDescent="0.25">
      <c r="A99" s="81">
        <v>45673</v>
      </c>
      <c r="B99" s="69" t="s">
        <v>66</v>
      </c>
      <c r="C99" s="11" t="s">
        <v>4497</v>
      </c>
      <c r="D99" s="11" t="s">
        <v>4498</v>
      </c>
      <c r="E99" s="82" t="s">
        <v>1026</v>
      </c>
      <c r="F99" s="84">
        <v>45765</v>
      </c>
      <c r="G99" s="82" t="s">
        <v>26</v>
      </c>
      <c r="H99" s="11" t="s">
        <v>157</v>
      </c>
      <c r="I99" s="69" t="s">
        <v>4423</v>
      </c>
      <c r="J99" s="78"/>
      <c r="K99" s="78">
        <v>58619.28</v>
      </c>
      <c r="L99" s="83">
        <v>-58619.28</v>
      </c>
    </row>
    <row r="100" spans="1:12" x14ac:dyDescent="0.25">
      <c r="A100" s="81">
        <v>45674</v>
      </c>
      <c r="B100" s="69" t="s">
        <v>149</v>
      </c>
      <c r="C100" s="11" t="s">
        <v>4495</v>
      </c>
      <c r="D100" s="62" t="s">
        <v>26</v>
      </c>
      <c r="E100" s="82" t="s">
        <v>1026</v>
      </c>
      <c r="F100" s="84">
        <v>45672</v>
      </c>
      <c r="G100" s="82" t="s">
        <v>26</v>
      </c>
      <c r="H100" s="11" t="s">
        <v>157</v>
      </c>
      <c r="I100" s="69" t="s">
        <v>4505</v>
      </c>
      <c r="J100" s="78">
        <v>59376.1</v>
      </c>
      <c r="K100" s="78">
        <v>0</v>
      </c>
      <c r="L100" s="83">
        <v>59376.1</v>
      </c>
    </row>
    <row r="101" spans="1:12" x14ac:dyDescent="0.25">
      <c r="A101" s="81">
        <v>45674</v>
      </c>
      <c r="B101" s="61" t="s">
        <v>146</v>
      </c>
      <c r="C101" s="11" t="s">
        <v>4497</v>
      </c>
      <c r="D101" s="11" t="s">
        <v>4498</v>
      </c>
      <c r="E101" s="82" t="s">
        <v>919</v>
      </c>
      <c r="F101" s="84">
        <v>45674</v>
      </c>
      <c r="G101" s="82" t="s">
        <v>26</v>
      </c>
      <c r="H101" s="11" t="s">
        <v>157</v>
      </c>
      <c r="I101" s="69" t="s">
        <v>4416</v>
      </c>
      <c r="J101" s="78"/>
      <c r="K101" s="78">
        <v>60000</v>
      </c>
      <c r="L101" s="83">
        <v>-60000</v>
      </c>
    </row>
    <row r="102" spans="1:12" x14ac:dyDescent="0.25">
      <c r="A102" s="81">
        <v>45674</v>
      </c>
      <c r="B102" s="67" t="s">
        <v>70</v>
      </c>
      <c r="C102" s="11" t="s">
        <v>4497</v>
      </c>
      <c r="D102" s="62" t="s">
        <v>4447</v>
      </c>
      <c r="E102" s="82" t="s">
        <v>912</v>
      </c>
      <c r="F102" s="84">
        <v>45674</v>
      </c>
      <c r="G102" s="82" t="s">
        <v>26</v>
      </c>
      <c r="H102" s="11" t="s">
        <v>160</v>
      </c>
      <c r="I102" s="69" t="s">
        <v>4444</v>
      </c>
      <c r="J102" s="78"/>
      <c r="K102" s="78">
        <v>50000</v>
      </c>
      <c r="L102" s="83">
        <v>-50000</v>
      </c>
    </row>
    <row r="103" spans="1:12" x14ac:dyDescent="0.25">
      <c r="A103" s="81">
        <v>45677</v>
      </c>
      <c r="B103" s="67" t="s">
        <v>4465</v>
      </c>
      <c r="C103" s="11" t="s">
        <v>4497</v>
      </c>
      <c r="D103" s="11" t="s">
        <v>4498</v>
      </c>
      <c r="E103" s="82" t="s">
        <v>1026</v>
      </c>
      <c r="F103" s="84">
        <v>45751</v>
      </c>
      <c r="G103" s="82" t="s">
        <v>26</v>
      </c>
      <c r="H103" s="11" t="s">
        <v>157</v>
      </c>
      <c r="I103" s="69" t="s">
        <v>4424</v>
      </c>
      <c r="J103" s="78"/>
      <c r="K103" s="78">
        <v>92300</v>
      </c>
      <c r="L103" s="83">
        <v>-92300</v>
      </c>
    </row>
    <row r="104" spans="1:12" x14ac:dyDescent="0.25">
      <c r="A104" s="81">
        <v>45677</v>
      </c>
      <c r="B104" s="67" t="s">
        <v>4465</v>
      </c>
      <c r="C104" s="11" t="s">
        <v>4497</v>
      </c>
      <c r="D104" s="11" t="s">
        <v>4498</v>
      </c>
      <c r="E104" s="82" t="s">
        <v>1026</v>
      </c>
      <c r="F104" s="84">
        <v>45772</v>
      </c>
      <c r="G104" s="82" t="s">
        <v>26</v>
      </c>
      <c r="H104" s="11" t="s">
        <v>157</v>
      </c>
      <c r="I104" s="69" t="s">
        <v>4425</v>
      </c>
      <c r="J104" s="78"/>
      <c r="K104" s="78">
        <v>92725.37</v>
      </c>
      <c r="L104" s="83">
        <v>-92725.37</v>
      </c>
    </row>
    <row r="105" spans="1:12" x14ac:dyDescent="0.25">
      <c r="A105" s="81">
        <v>45677</v>
      </c>
      <c r="B105" s="67" t="s">
        <v>4465</v>
      </c>
      <c r="C105" s="11" t="s">
        <v>4497</v>
      </c>
      <c r="D105" s="11" t="s">
        <v>4498</v>
      </c>
      <c r="E105" s="82" t="s">
        <v>1026</v>
      </c>
      <c r="F105" s="84">
        <v>45768</v>
      </c>
      <c r="G105" s="82" t="s">
        <v>26</v>
      </c>
      <c r="H105" s="11" t="s">
        <v>157</v>
      </c>
      <c r="I105" s="69" t="s">
        <v>4426</v>
      </c>
      <c r="J105" s="78"/>
      <c r="K105" s="78">
        <v>92300</v>
      </c>
      <c r="L105" s="83">
        <v>-92300</v>
      </c>
    </row>
    <row r="106" spans="1:12" x14ac:dyDescent="0.25">
      <c r="A106" s="81">
        <v>45677</v>
      </c>
      <c r="B106" s="67" t="s">
        <v>4465</v>
      </c>
      <c r="C106" s="11" t="s">
        <v>4497</v>
      </c>
      <c r="D106" s="11" t="s">
        <v>4498</v>
      </c>
      <c r="E106" s="82" t="s">
        <v>1026</v>
      </c>
      <c r="F106" s="84">
        <v>45763</v>
      </c>
      <c r="G106" s="82" t="s">
        <v>26</v>
      </c>
      <c r="H106" s="11" t="s">
        <v>157</v>
      </c>
      <c r="I106" s="69" t="s">
        <v>4427</v>
      </c>
      <c r="J106" s="78"/>
      <c r="K106" s="78">
        <v>92300</v>
      </c>
      <c r="L106" s="83">
        <v>-92300</v>
      </c>
    </row>
    <row r="107" spans="1:12" x14ac:dyDescent="0.25">
      <c r="A107" s="81">
        <v>45677</v>
      </c>
      <c r="B107" s="67" t="s">
        <v>4465</v>
      </c>
      <c r="C107" s="11" t="s">
        <v>4497</v>
      </c>
      <c r="D107" s="11" t="s">
        <v>4498</v>
      </c>
      <c r="E107" s="82" t="s">
        <v>1026</v>
      </c>
      <c r="F107" s="84">
        <v>45757</v>
      </c>
      <c r="G107" s="82" t="s">
        <v>26</v>
      </c>
      <c r="H107" s="11" t="s">
        <v>157</v>
      </c>
      <c r="I107" s="69" t="s">
        <v>4428</v>
      </c>
      <c r="J107" s="78"/>
      <c r="K107" s="78">
        <v>92300</v>
      </c>
      <c r="L107" s="83">
        <v>-92300</v>
      </c>
    </row>
    <row r="108" spans="1:12" x14ac:dyDescent="0.25">
      <c r="A108" s="81">
        <v>45677</v>
      </c>
      <c r="B108" s="69" t="s">
        <v>45</v>
      </c>
      <c r="C108" s="11" t="s">
        <v>4497</v>
      </c>
      <c r="D108" s="62" t="s">
        <v>4447</v>
      </c>
      <c r="E108" s="82" t="s">
        <v>912</v>
      </c>
      <c r="F108" s="84">
        <v>45677</v>
      </c>
      <c r="G108" s="82" t="s">
        <v>26</v>
      </c>
      <c r="H108" s="11" t="s">
        <v>160</v>
      </c>
      <c r="I108" s="69" t="s">
        <v>4444</v>
      </c>
      <c r="J108" s="78"/>
      <c r="K108" s="78">
        <v>50000</v>
      </c>
      <c r="L108" s="83">
        <v>-50000</v>
      </c>
    </row>
    <row r="109" spans="1:12" x14ac:dyDescent="0.25">
      <c r="A109" s="81">
        <v>45678</v>
      </c>
      <c r="B109" s="67" t="s">
        <v>4465</v>
      </c>
      <c r="C109" s="11" t="s">
        <v>4497</v>
      </c>
      <c r="D109" s="82" t="s">
        <v>4498</v>
      </c>
      <c r="E109" s="82" t="s">
        <v>1026</v>
      </c>
      <c r="F109" s="84">
        <v>45759</v>
      </c>
      <c r="G109" s="82" t="s">
        <v>26</v>
      </c>
      <c r="H109" s="11" t="s">
        <v>160</v>
      </c>
      <c r="I109" s="69" t="s">
        <v>4449</v>
      </c>
      <c r="J109" s="78"/>
      <c r="K109" s="78">
        <v>40000</v>
      </c>
      <c r="L109" s="83">
        <v>-40000</v>
      </c>
    </row>
    <row r="110" spans="1:12" x14ac:dyDescent="0.25">
      <c r="A110" s="81">
        <v>45678</v>
      </c>
      <c r="B110" s="67" t="s">
        <v>4465</v>
      </c>
      <c r="C110" s="11" t="s">
        <v>4497</v>
      </c>
      <c r="D110" s="82" t="s">
        <v>4498</v>
      </c>
      <c r="E110" s="82" t="s">
        <v>1026</v>
      </c>
      <c r="F110" s="84">
        <v>45769</v>
      </c>
      <c r="G110" s="82" t="s">
        <v>26</v>
      </c>
      <c r="H110" s="11" t="s">
        <v>160</v>
      </c>
      <c r="I110" s="69" t="s">
        <v>4450</v>
      </c>
      <c r="J110" s="78"/>
      <c r="K110" s="78">
        <v>40000</v>
      </c>
      <c r="L110" s="83">
        <v>-40000</v>
      </c>
    </row>
    <row r="111" spans="1:12" x14ac:dyDescent="0.25">
      <c r="A111" s="81">
        <v>45678</v>
      </c>
      <c r="B111" s="67" t="s">
        <v>4465</v>
      </c>
      <c r="C111" s="11" t="s">
        <v>4497</v>
      </c>
      <c r="D111" s="82" t="s">
        <v>4498</v>
      </c>
      <c r="E111" s="82" t="s">
        <v>1026</v>
      </c>
      <c r="F111" s="84">
        <v>45777</v>
      </c>
      <c r="G111" s="82" t="s">
        <v>26</v>
      </c>
      <c r="H111" s="11" t="s">
        <v>160</v>
      </c>
      <c r="I111" s="69" t="s">
        <v>4451</v>
      </c>
      <c r="J111" s="78"/>
      <c r="K111" s="78">
        <v>47832.19</v>
      </c>
      <c r="L111" s="83">
        <v>-47832.19</v>
      </c>
    </row>
    <row r="112" spans="1:12" x14ac:dyDescent="0.25">
      <c r="A112" s="81">
        <v>45678</v>
      </c>
      <c r="B112" s="67" t="s">
        <v>565</v>
      </c>
      <c r="C112" s="11" t="s">
        <v>4497</v>
      </c>
      <c r="D112" s="62" t="s">
        <v>4447</v>
      </c>
      <c r="E112" s="82" t="s">
        <v>912</v>
      </c>
      <c r="F112" s="84">
        <v>45678</v>
      </c>
      <c r="G112" s="82" t="s">
        <v>26</v>
      </c>
      <c r="H112" s="11" t="s">
        <v>160</v>
      </c>
      <c r="I112" s="69" t="s">
        <v>4444</v>
      </c>
      <c r="J112" s="78"/>
      <c r="K112" s="78">
        <v>40000</v>
      </c>
      <c r="L112" s="83">
        <v>-40000</v>
      </c>
    </row>
    <row r="113" spans="1:12" x14ac:dyDescent="0.25">
      <c r="A113" s="81">
        <v>45678</v>
      </c>
      <c r="B113" s="69" t="s">
        <v>4466</v>
      </c>
      <c r="C113" s="11" t="s">
        <v>4497</v>
      </c>
      <c r="D113" s="82" t="s">
        <v>4447</v>
      </c>
      <c r="E113" s="82" t="s">
        <v>919</v>
      </c>
      <c r="F113" s="84">
        <v>45678</v>
      </c>
      <c r="G113" s="82" t="s">
        <v>26</v>
      </c>
      <c r="H113" s="11" t="s">
        <v>157</v>
      </c>
      <c r="I113" s="69" t="s">
        <v>4429</v>
      </c>
      <c r="J113" s="78"/>
      <c r="K113" s="78">
        <v>72000</v>
      </c>
      <c r="L113" s="83">
        <v>-72000</v>
      </c>
    </row>
    <row r="114" spans="1:12" x14ac:dyDescent="0.25">
      <c r="A114" s="81">
        <v>45679</v>
      </c>
      <c r="B114" s="67" t="s">
        <v>4441</v>
      </c>
      <c r="C114" s="11" t="s">
        <v>4497</v>
      </c>
      <c r="D114" s="62" t="s">
        <v>4447</v>
      </c>
      <c r="E114" s="82" t="s">
        <v>912</v>
      </c>
      <c r="F114" s="84">
        <v>45679</v>
      </c>
      <c r="G114" s="82" t="s">
        <v>26</v>
      </c>
      <c r="H114" s="11" t="s">
        <v>160</v>
      </c>
      <c r="I114" s="69" t="s">
        <v>4452</v>
      </c>
      <c r="J114" s="78"/>
      <c r="K114" s="78">
        <v>12600</v>
      </c>
      <c r="L114" s="83">
        <v>-12600</v>
      </c>
    </row>
    <row r="115" spans="1:12" x14ac:dyDescent="0.25">
      <c r="A115" s="81">
        <v>45679</v>
      </c>
      <c r="B115" s="67" t="s">
        <v>4441</v>
      </c>
      <c r="C115" s="11" t="s">
        <v>4497</v>
      </c>
      <c r="D115" s="62" t="s">
        <v>4447</v>
      </c>
      <c r="E115" s="82" t="s">
        <v>912</v>
      </c>
      <c r="F115" s="84">
        <v>45679</v>
      </c>
      <c r="G115" s="82" t="s">
        <v>26</v>
      </c>
      <c r="H115" s="11" t="s">
        <v>160</v>
      </c>
      <c r="I115" s="69" t="s">
        <v>4453</v>
      </c>
      <c r="J115" s="78"/>
      <c r="K115" s="78">
        <v>12600</v>
      </c>
      <c r="L115" s="83">
        <v>-12600</v>
      </c>
    </row>
    <row r="116" spans="1:12" x14ac:dyDescent="0.25">
      <c r="A116" s="81">
        <v>45679</v>
      </c>
      <c r="B116" s="67" t="s">
        <v>41</v>
      </c>
      <c r="C116" s="11" t="s">
        <v>4497</v>
      </c>
      <c r="D116" s="62" t="s">
        <v>4447</v>
      </c>
      <c r="E116" s="82" t="s">
        <v>912</v>
      </c>
      <c r="F116" s="84">
        <v>45679</v>
      </c>
      <c r="G116" s="82" t="s">
        <v>26</v>
      </c>
      <c r="H116" s="11" t="s">
        <v>160</v>
      </c>
      <c r="I116" s="69" t="s">
        <v>4444</v>
      </c>
      <c r="J116" s="78"/>
      <c r="K116" s="78">
        <v>20000</v>
      </c>
      <c r="L116" s="83">
        <v>-20000</v>
      </c>
    </row>
    <row r="117" spans="1:12" x14ac:dyDescent="0.25">
      <c r="A117" s="81">
        <v>45680</v>
      </c>
      <c r="B117" s="69" t="s">
        <v>140</v>
      </c>
      <c r="C117" s="66" t="s">
        <v>4502</v>
      </c>
      <c r="D117" s="62" t="s">
        <v>4447</v>
      </c>
      <c r="E117" s="82" t="s">
        <v>4503</v>
      </c>
      <c r="F117" s="84">
        <v>45680</v>
      </c>
      <c r="G117" s="82" t="s">
        <v>26</v>
      </c>
      <c r="H117" s="11" t="s">
        <v>160</v>
      </c>
      <c r="I117" s="69" t="s">
        <v>4506</v>
      </c>
      <c r="J117" s="79"/>
      <c r="K117" s="79">
        <v>50000</v>
      </c>
      <c r="L117" s="83">
        <v>-50000</v>
      </c>
    </row>
    <row r="118" spans="1:12" x14ac:dyDescent="0.25">
      <c r="A118" s="81">
        <v>45680</v>
      </c>
      <c r="B118" s="69" t="s">
        <v>140</v>
      </c>
      <c r="C118" s="11" t="s">
        <v>4502</v>
      </c>
      <c r="D118" s="62" t="s">
        <v>4447</v>
      </c>
      <c r="E118" s="82" t="s">
        <v>4503</v>
      </c>
      <c r="F118" s="84">
        <v>45690</v>
      </c>
      <c r="G118" s="82" t="s">
        <v>26</v>
      </c>
      <c r="H118" s="11" t="s">
        <v>160</v>
      </c>
      <c r="I118" s="69" t="s">
        <v>4507</v>
      </c>
      <c r="J118" s="79"/>
      <c r="K118" s="79">
        <v>50000</v>
      </c>
      <c r="L118" s="83">
        <v>-50000</v>
      </c>
    </row>
    <row r="119" spans="1:12" x14ac:dyDescent="0.25">
      <c r="A119" s="81">
        <v>45681</v>
      </c>
      <c r="B119" s="67" t="s">
        <v>163</v>
      </c>
      <c r="C119" s="11" t="s">
        <v>4497</v>
      </c>
      <c r="D119" s="62" t="s">
        <v>4447</v>
      </c>
      <c r="E119" s="82" t="s">
        <v>912</v>
      </c>
      <c r="F119" s="84">
        <v>45681</v>
      </c>
      <c r="G119" s="82" t="s">
        <v>26</v>
      </c>
      <c r="H119" s="11" t="s">
        <v>160</v>
      </c>
      <c r="I119" s="69" t="s">
        <v>4444</v>
      </c>
      <c r="J119" s="78"/>
      <c r="K119" s="78">
        <v>70000</v>
      </c>
      <c r="L119" s="83">
        <v>-70000</v>
      </c>
    </row>
    <row r="120" spans="1:12" x14ac:dyDescent="0.25">
      <c r="A120" s="81">
        <v>45681</v>
      </c>
      <c r="B120" s="67" t="s">
        <v>41</v>
      </c>
      <c r="C120" s="11" t="s">
        <v>4497</v>
      </c>
      <c r="D120" s="62" t="s">
        <v>4447</v>
      </c>
      <c r="E120" s="82" t="s">
        <v>912</v>
      </c>
      <c r="F120" s="84">
        <v>45681</v>
      </c>
      <c r="G120" s="82" t="s">
        <v>26</v>
      </c>
      <c r="H120" s="11" t="s">
        <v>160</v>
      </c>
      <c r="I120" s="69" t="s">
        <v>4444</v>
      </c>
      <c r="J120" s="78"/>
      <c r="K120" s="78">
        <v>20000</v>
      </c>
      <c r="L120" s="83">
        <v>-20000</v>
      </c>
    </row>
    <row r="121" spans="1:12" x14ac:dyDescent="0.25">
      <c r="A121" s="81">
        <v>45680</v>
      </c>
      <c r="B121" s="69" t="s">
        <v>140</v>
      </c>
      <c r="C121" s="66" t="s">
        <v>4502</v>
      </c>
      <c r="D121" s="62" t="s">
        <v>4447</v>
      </c>
      <c r="E121" s="82" t="s">
        <v>4503</v>
      </c>
      <c r="F121" s="84">
        <v>45680</v>
      </c>
      <c r="G121" s="82" t="s">
        <v>26</v>
      </c>
      <c r="H121" s="11" t="s">
        <v>160</v>
      </c>
      <c r="I121" s="69" t="s">
        <v>4506</v>
      </c>
      <c r="J121" s="79">
        <v>50000</v>
      </c>
      <c r="K121" s="79"/>
      <c r="L121" s="83">
        <v>50000</v>
      </c>
    </row>
    <row r="122" spans="1:12" x14ac:dyDescent="0.25">
      <c r="A122" s="81">
        <v>45680</v>
      </c>
      <c r="B122" s="69" t="s">
        <v>140</v>
      </c>
      <c r="C122" s="11" t="s">
        <v>4497</v>
      </c>
      <c r="D122" s="62" t="s">
        <v>4447</v>
      </c>
      <c r="E122" s="82" t="s">
        <v>912</v>
      </c>
      <c r="F122" s="84">
        <v>45680</v>
      </c>
      <c r="G122" s="82" t="s">
        <v>26</v>
      </c>
      <c r="H122" s="11" t="s">
        <v>160</v>
      </c>
      <c r="I122" s="69" t="s">
        <v>4454</v>
      </c>
      <c r="J122" s="79"/>
      <c r="K122" s="79">
        <v>50000</v>
      </c>
      <c r="L122" s="83">
        <v>-50000</v>
      </c>
    </row>
    <row r="123" spans="1:12" x14ac:dyDescent="0.25">
      <c r="A123" s="81">
        <v>45681</v>
      </c>
      <c r="B123" s="67" t="s">
        <v>4440</v>
      </c>
      <c r="C123" s="66" t="s">
        <v>4502</v>
      </c>
      <c r="D123" s="62" t="s">
        <v>26</v>
      </c>
      <c r="E123" s="82" t="s">
        <v>1026</v>
      </c>
      <c r="F123" s="84">
        <v>45688</v>
      </c>
      <c r="G123" s="82" t="s">
        <v>26</v>
      </c>
      <c r="H123" s="11" t="s">
        <v>157</v>
      </c>
      <c r="I123" s="69" t="s">
        <v>142</v>
      </c>
      <c r="J123" s="78">
        <v>172945.02</v>
      </c>
      <c r="K123" s="78">
        <v>0</v>
      </c>
      <c r="L123" s="83">
        <v>172945.02</v>
      </c>
    </row>
    <row r="124" spans="1:12" x14ac:dyDescent="0.25">
      <c r="A124" s="81">
        <v>45681</v>
      </c>
      <c r="B124" s="67" t="s">
        <v>4440</v>
      </c>
      <c r="C124" s="11" t="s">
        <v>4497</v>
      </c>
      <c r="D124" s="11" t="s">
        <v>4498</v>
      </c>
      <c r="E124" s="82" t="s">
        <v>1026</v>
      </c>
      <c r="F124" s="84">
        <v>45703</v>
      </c>
      <c r="G124" s="82" t="s">
        <v>26</v>
      </c>
      <c r="H124" s="11" t="s">
        <v>157</v>
      </c>
      <c r="I124" s="69" t="s">
        <v>4430</v>
      </c>
      <c r="J124" s="78"/>
      <c r="K124" s="78">
        <v>172945.02</v>
      </c>
      <c r="L124" s="83">
        <v>-172945.02</v>
      </c>
    </row>
    <row r="125" spans="1:12" x14ac:dyDescent="0.25">
      <c r="A125" s="81">
        <v>45681</v>
      </c>
      <c r="B125" s="67" t="s">
        <v>4440</v>
      </c>
      <c r="C125" s="11" t="s">
        <v>4497</v>
      </c>
      <c r="D125" s="11" t="s">
        <v>4498</v>
      </c>
      <c r="E125" s="82" t="s">
        <v>1026</v>
      </c>
      <c r="F125" s="84">
        <v>45703</v>
      </c>
      <c r="G125" s="82" t="s">
        <v>26</v>
      </c>
      <c r="H125" s="11" t="s">
        <v>157</v>
      </c>
      <c r="I125" s="69" t="s">
        <v>4431</v>
      </c>
      <c r="J125" s="78"/>
      <c r="K125" s="78">
        <v>106577.4</v>
      </c>
      <c r="L125" s="83">
        <v>-106577.4</v>
      </c>
    </row>
    <row r="126" spans="1:12" x14ac:dyDescent="0.25">
      <c r="A126" s="81">
        <v>45684</v>
      </c>
      <c r="B126" s="69" t="s">
        <v>45</v>
      </c>
      <c r="C126" s="11" t="s">
        <v>4497</v>
      </c>
      <c r="D126" s="62" t="s">
        <v>4447</v>
      </c>
      <c r="E126" s="82" t="s">
        <v>912</v>
      </c>
      <c r="F126" s="84">
        <v>45684</v>
      </c>
      <c r="G126" s="82" t="s">
        <v>26</v>
      </c>
      <c r="H126" s="11" t="s">
        <v>160</v>
      </c>
      <c r="I126" s="69" t="s">
        <v>4444</v>
      </c>
      <c r="J126" s="78"/>
      <c r="K126" s="78">
        <v>60000</v>
      </c>
      <c r="L126" s="83">
        <v>-60000</v>
      </c>
    </row>
    <row r="127" spans="1:12" x14ac:dyDescent="0.25">
      <c r="A127" s="81">
        <v>45685</v>
      </c>
      <c r="B127" s="67" t="s">
        <v>4463</v>
      </c>
      <c r="C127" s="11" t="s">
        <v>4497</v>
      </c>
      <c r="D127" s="11" t="s">
        <v>4498</v>
      </c>
      <c r="E127" s="82" t="s">
        <v>1026</v>
      </c>
      <c r="F127" s="84">
        <v>45747</v>
      </c>
      <c r="G127" s="82" t="s">
        <v>26</v>
      </c>
      <c r="H127" s="11" t="s">
        <v>157</v>
      </c>
      <c r="I127" s="69" t="s">
        <v>4432</v>
      </c>
      <c r="J127" s="78"/>
      <c r="K127" s="78">
        <v>69619.48</v>
      </c>
      <c r="L127" s="83">
        <v>-69619.48</v>
      </c>
    </row>
    <row r="128" spans="1:12" x14ac:dyDescent="0.25">
      <c r="A128" s="81">
        <v>45685</v>
      </c>
      <c r="B128" s="67" t="s">
        <v>4463</v>
      </c>
      <c r="C128" s="11" t="s">
        <v>4497</v>
      </c>
      <c r="D128" s="11" t="s">
        <v>4498</v>
      </c>
      <c r="E128" s="82" t="s">
        <v>1026</v>
      </c>
      <c r="F128" s="84">
        <v>45758</v>
      </c>
      <c r="G128" s="82" t="s">
        <v>26</v>
      </c>
      <c r="H128" s="11" t="s">
        <v>157</v>
      </c>
      <c r="I128" s="69" t="s">
        <v>4433</v>
      </c>
      <c r="J128" s="78"/>
      <c r="K128" s="78">
        <v>69619.48</v>
      </c>
      <c r="L128" s="83">
        <v>-69619.48</v>
      </c>
    </row>
    <row r="129" spans="1:12" x14ac:dyDescent="0.25">
      <c r="A129" s="81">
        <v>45685</v>
      </c>
      <c r="B129" s="67" t="s">
        <v>4463</v>
      </c>
      <c r="C129" s="11" t="s">
        <v>4497</v>
      </c>
      <c r="D129" s="11" t="s">
        <v>4498</v>
      </c>
      <c r="E129" s="82" t="s">
        <v>1026</v>
      </c>
      <c r="F129" s="84">
        <v>45777</v>
      </c>
      <c r="G129" s="82" t="s">
        <v>26</v>
      </c>
      <c r="H129" s="11" t="s">
        <v>157</v>
      </c>
      <c r="I129" s="69" t="s">
        <v>4434</v>
      </c>
      <c r="J129" s="78"/>
      <c r="K129" s="78">
        <v>69619.48</v>
      </c>
      <c r="L129" s="83">
        <v>-69619.48</v>
      </c>
    </row>
    <row r="130" spans="1:12" x14ac:dyDescent="0.25">
      <c r="A130" s="81">
        <v>45685</v>
      </c>
      <c r="B130" s="67" t="s">
        <v>41</v>
      </c>
      <c r="C130" s="11" t="s">
        <v>4497</v>
      </c>
      <c r="D130" s="62" t="s">
        <v>4447</v>
      </c>
      <c r="E130" s="82" t="s">
        <v>912</v>
      </c>
      <c r="F130" s="84">
        <v>45685</v>
      </c>
      <c r="G130" s="82" t="s">
        <v>26</v>
      </c>
      <c r="H130" s="11" t="s">
        <v>160</v>
      </c>
      <c r="I130" s="69" t="s">
        <v>4444</v>
      </c>
      <c r="J130" s="78"/>
      <c r="K130" s="78">
        <v>20000</v>
      </c>
      <c r="L130" s="83">
        <v>-20000</v>
      </c>
    </row>
    <row r="131" spans="1:12" x14ac:dyDescent="0.25">
      <c r="A131" s="81">
        <v>45685</v>
      </c>
      <c r="B131" s="61" t="s">
        <v>146</v>
      </c>
      <c r="C131" s="11" t="s">
        <v>4497</v>
      </c>
      <c r="D131" s="11" t="s">
        <v>4498</v>
      </c>
      <c r="E131" s="82" t="s">
        <v>919</v>
      </c>
      <c r="F131" s="84">
        <v>45685</v>
      </c>
      <c r="G131" s="82" t="s">
        <v>26</v>
      </c>
      <c r="H131" s="11" t="s">
        <v>157</v>
      </c>
      <c r="I131" s="69" t="s">
        <v>4435</v>
      </c>
      <c r="J131" s="78"/>
      <c r="K131" s="78">
        <v>60000</v>
      </c>
      <c r="L131" s="83">
        <v>-60000</v>
      </c>
    </row>
    <row r="132" spans="1:12" x14ac:dyDescent="0.25">
      <c r="A132" s="81">
        <v>45686</v>
      </c>
      <c r="B132" s="67" t="s">
        <v>4441</v>
      </c>
      <c r="C132" s="11" t="s">
        <v>4497</v>
      </c>
      <c r="D132" s="82" t="s">
        <v>4498</v>
      </c>
      <c r="E132" s="82" t="s">
        <v>919</v>
      </c>
      <c r="F132" s="84">
        <v>45686</v>
      </c>
      <c r="G132" s="82" t="s">
        <v>26</v>
      </c>
      <c r="H132" s="11" t="s">
        <v>157</v>
      </c>
      <c r="I132" s="69" t="s">
        <v>4436</v>
      </c>
      <c r="J132" s="78"/>
      <c r="K132" s="78">
        <v>80000</v>
      </c>
      <c r="L132" s="83">
        <v>-80000</v>
      </c>
    </row>
    <row r="133" spans="1:12" x14ac:dyDescent="0.25">
      <c r="A133" s="81">
        <v>45687</v>
      </c>
      <c r="B133" s="67" t="s">
        <v>4440</v>
      </c>
      <c r="C133" s="11" t="s">
        <v>4497</v>
      </c>
      <c r="D133" s="82" t="s">
        <v>4498</v>
      </c>
      <c r="E133" s="82" t="s">
        <v>1026</v>
      </c>
      <c r="F133" s="84">
        <v>45777</v>
      </c>
      <c r="G133" s="82" t="s">
        <v>26</v>
      </c>
      <c r="H133" s="11" t="s">
        <v>157</v>
      </c>
      <c r="I133" s="69" t="s">
        <v>4437</v>
      </c>
      <c r="J133" s="78"/>
      <c r="K133" s="78">
        <v>269033.57</v>
      </c>
      <c r="L133" s="83">
        <v>-269033.57</v>
      </c>
    </row>
    <row r="134" spans="1:12" x14ac:dyDescent="0.25">
      <c r="A134" s="81">
        <v>45687</v>
      </c>
      <c r="B134" s="67" t="s">
        <v>41</v>
      </c>
      <c r="C134" s="11" t="s">
        <v>4497</v>
      </c>
      <c r="D134" s="82" t="s">
        <v>4447</v>
      </c>
      <c r="E134" s="82" t="s">
        <v>912</v>
      </c>
      <c r="F134" s="84">
        <v>45687</v>
      </c>
      <c r="G134" s="82" t="s">
        <v>26</v>
      </c>
      <c r="H134" s="11" t="s">
        <v>160</v>
      </c>
      <c r="I134" s="69" t="s">
        <v>4444</v>
      </c>
      <c r="J134" s="78"/>
      <c r="K134" s="78">
        <v>20000</v>
      </c>
      <c r="L134" s="83">
        <v>-20000</v>
      </c>
    </row>
    <row r="135" spans="1:12" x14ac:dyDescent="0.25">
      <c r="A135" s="81">
        <v>45687</v>
      </c>
      <c r="B135" s="67" t="s">
        <v>163</v>
      </c>
      <c r="C135" s="11" t="s">
        <v>4497</v>
      </c>
      <c r="D135" s="82" t="s">
        <v>4447</v>
      </c>
      <c r="E135" s="82" t="s">
        <v>912</v>
      </c>
      <c r="F135" s="84">
        <v>45687</v>
      </c>
      <c r="G135" s="82" t="s">
        <v>26</v>
      </c>
      <c r="H135" s="11" t="s">
        <v>160</v>
      </c>
      <c r="I135" s="69" t="s">
        <v>4444</v>
      </c>
      <c r="J135" s="78"/>
      <c r="K135" s="78">
        <v>20000</v>
      </c>
      <c r="L135" s="83">
        <v>-20000</v>
      </c>
    </row>
    <row r="136" spans="1:12" x14ac:dyDescent="0.25">
      <c r="A136" s="81">
        <v>45687</v>
      </c>
      <c r="B136" s="69" t="s">
        <v>4459</v>
      </c>
      <c r="C136" s="11" t="s">
        <v>4497</v>
      </c>
      <c r="D136" s="82" t="s">
        <v>4447</v>
      </c>
      <c r="E136" s="82" t="s">
        <v>919</v>
      </c>
      <c r="F136" s="84">
        <v>45687</v>
      </c>
      <c r="G136" s="82" t="s">
        <v>26</v>
      </c>
      <c r="H136" s="11" t="s">
        <v>157</v>
      </c>
      <c r="I136" s="69" t="s">
        <v>4438</v>
      </c>
      <c r="J136" s="78"/>
      <c r="K136" s="78">
        <v>19776</v>
      </c>
      <c r="L136" s="83">
        <v>-19776</v>
      </c>
    </row>
    <row r="137" spans="1:12" x14ac:dyDescent="0.25">
      <c r="A137" s="81">
        <v>45688</v>
      </c>
      <c r="B137" s="67" t="s">
        <v>141</v>
      </c>
      <c r="C137" s="11" t="s">
        <v>4497</v>
      </c>
      <c r="D137" s="82" t="s">
        <v>4447</v>
      </c>
      <c r="E137" s="82" t="s">
        <v>912</v>
      </c>
      <c r="F137" s="84">
        <v>45688</v>
      </c>
      <c r="G137" s="82" t="s">
        <v>26</v>
      </c>
      <c r="H137" s="11" t="s">
        <v>160</v>
      </c>
      <c r="I137" s="69" t="s">
        <v>4444</v>
      </c>
      <c r="J137" s="78"/>
      <c r="K137" s="78">
        <v>10000</v>
      </c>
      <c r="L137" s="83">
        <v>-10000</v>
      </c>
    </row>
    <row r="138" spans="1:12" x14ac:dyDescent="0.25">
      <c r="A138" s="81">
        <v>45689</v>
      </c>
      <c r="B138" s="67" t="s">
        <v>41</v>
      </c>
      <c r="C138" s="11" t="s">
        <v>4497</v>
      </c>
      <c r="D138" s="82" t="s">
        <v>4447</v>
      </c>
      <c r="E138" s="82" t="s">
        <v>912</v>
      </c>
      <c r="F138" s="84">
        <v>45688</v>
      </c>
      <c r="G138" s="82" t="s">
        <v>26</v>
      </c>
      <c r="H138" s="11" t="s">
        <v>160</v>
      </c>
      <c r="I138" s="69" t="s">
        <v>4444</v>
      </c>
      <c r="J138" s="78"/>
      <c r="K138" s="78">
        <v>20000</v>
      </c>
      <c r="L138" s="83">
        <v>-20000</v>
      </c>
    </row>
    <row r="139" spans="1:12" x14ac:dyDescent="0.25">
      <c r="A139" s="81">
        <v>45691</v>
      </c>
      <c r="B139" s="67" t="s">
        <v>4465</v>
      </c>
      <c r="C139" s="11" t="s">
        <v>4502</v>
      </c>
      <c r="D139" s="82" t="s">
        <v>4498</v>
      </c>
      <c r="E139" s="82" t="s">
        <v>1026</v>
      </c>
      <c r="F139" s="84">
        <v>45656</v>
      </c>
      <c r="G139" s="82" t="s">
        <v>26</v>
      </c>
      <c r="H139" s="11" t="s">
        <v>160</v>
      </c>
      <c r="I139" s="69" t="s">
        <v>159</v>
      </c>
      <c r="J139" s="78">
        <v>47082</v>
      </c>
      <c r="K139" s="78">
        <v>0</v>
      </c>
      <c r="L139" s="83">
        <v>47082</v>
      </c>
    </row>
    <row r="140" spans="1:12" x14ac:dyDescent="0.25">
      <c r="A140" s="81">
        <v>45691</v>
      </c>
      <c r="B140" s="67" t="s">
        <v>4465</v>
      </c>
      <c r="C140" s="11" t="s">
        <v>4497</v>
      </c>
      <c r="D140" s="82" t="s">
        <v>4498</v>
      </c>
      <c r="E140" s="82" t="s">
        <v>912</v>
      </c>
      <c r="F140" s="84">
        <v>45691</v>
      </c>
      <c r="G140" s="82" t="s">
        <v>26</v>
      </c>
      <c r="H140" s="11" t="s">
        <v>160</v>
      </c>
      <c r="I140" s="69" t="s">
        <v>4508</v>
      </c>
      <c r="J140" s="78"/>
      <c r="K140" s="78">
        <v>47082</v>
      </c>
      <c r="L140" s="83">
        <v>-47082</v>
      </c>
    </row>
    <row r="141" spans="1:12" x14ac:dyDescent="0.25">
      <c r="A141" s="81">
        <v>45691</v>
      </c>
      <c r="B141" s="67" t="s">
        <v>4478</v>
      </c>
      <c r="C141" s="11" t="s">
        <v>4495</v>
      </c>
      <c r="D141" s="82" t="s">
        <v>4498</v>
      </c>
      <c r="E141" s="82" t="s">
        <v>1026</v>
      </c>
      <c r="F141" s="84">
        <v>45687</v>
      </c>
      <c r="G141" s="82" t="s">
        <v>26</v>
      </c>
      <c r="H141" s="11" t="s">
        <v>157</v>
      </c>
      <c r="I141" s="69" t="s">
        <v>4509</v>
      </c>
      <c r="J141" s="78">
        <v>60850.51</v>
      </c>
      <c r="K141" s="78">
        <v>0</v>
      </c>
      <c r="L141" s="83">
        <v>60850.51</v>
      </c>
    </row>
    <row r="142" spans="1:12" x14ac:dyDescent="0.25">
      <c r="A142" s="81">
        <v>45691</v>
      </c>
      <c r="B142" s="67" t="s">
        <v>4440</v>
      </c>
      <c r="C142" s="11" t="s">
        <v>4495</v>
      </c>
      <c r="D142" s="82" t="s">
        <v>4498</v>
      </c>
      <c r="E142" s="82" t="s">
        <v>1026</v>
      </c>
      <c r="F142" s="84">
        <v>45687</v>
      </c>
      <c r="G142" s="82" t="s">
        <v>26</v>
      </c>
      <c r="H142" s="11" t="s">
        <v>157</v>
      </c>
      <c r="I142" s="69" t="s">
        <v>4510</v>
      </c>
      <c r="J142" s="78">
        <v>172945.02</v>
      </c>
      <c r="K142" s="78">
        <v>0</v>
      </c>
      <c r="L142" s="83">
        <v>172945.02</v>
      </c>
    </row>
    <row r="143" spans="1:12" x14ac:dyDescent="0.25">
      <c r="A143" s="81">
        <v>45691</v>
      </c>
      <c r="B143" s="69" t="s">
        <v>66</v>
      </c>
      <c r="C143" s="11" t="s">
        <v>4497</v>
      </c>
      <c r="D143" s="82" t="s">
        <v>4498</v>
      </c>
      <c r="E143" s="82" t="s">
        <v>919</v>
      </c>
      <c r="F143" s="84">
        <v>45691</v>
      </c>
      <c r="G143" s="82" t="s">
        <v>26</v>
      </c>
      <c r="H143" s="11" t="s">
        <v>157</v>
      </c>
      <c r="I143" s="69" t="s">
        <v>4511</v>
      </c>
      <c r="J143" s="78"/>
      <c r="K143" s="78">
        <v>40000</v>
      </c>
      <c r="L143" s="83">
        <v>-40000</v>
      </c>
    </row>
    <row r="144" spans="1:12" x14ac:dyDescent="0.25">
      <c r="A144" s="81">
        <v>45691</v>
      </c>
      <c r="B144" s="67" t="s">
        <v>141</v>
      </c>
      <c r="C144" s="11" t="s">
        <v>4497</v>
      </c>
      <c r="D144" s="82" t="s">
        <v>4447</v>
      </c>
      <c r="E144" s="82" t="s">
        <v>912</v>
      </c>
      <c r="F144" s="84">
        <v>45691</v>
      </c>
      <c r="G144" s="82"/>
      <c r="H144" s="11" t="s">
        <v>160</v>
      </c>
      <c r="I144" s="69" t="s">
        <v>4444</v>
      </c>
      <c r="J144" s="78"/>
      <c r="K144" s="78">
        <v>20000</v>
      </c>
      <c r="L144" s="83">
        <v>-20000</v>
      </c>
    </row>
    <row r="145" spans="1:12" x14ac:dyDescent="0.25">
      <c r="A145" s="81">
        <v>45692</v>
      </c>
      <c r="B145" s="69" t="s">
        <v>140</v>
      </c>
      <c r="C145" s="11" t="s">
        <v>4502</v>
      </c>
      <c r="D145" s="62" t="s">
        <v>4447</v>
      </c>
      <c r="E145" s="82" t="s">
        <v>4503</v>
      </c>
      <c r="F145" s="84">
        <v>45690</v>
      </c>
      <c r="G145" s="82" t="s">
        <v>26</v>
      </c>
      <c r="H145" s="11" t="s">
        <v>160</v>
      </c>
      <c r="I145" s="69" t="s">
        <v>4507</v>
      </c>
      <c r="J145" s="79">
        <v>50000</v>
      </c>
      <c r="K145" s="79"/>
      <c r="L145" s="83">
        <v>50000</v>
      </c>
    </row>
    <row r="146" spans="1:12" x14ac:dyDescent="0.25">
      <c r="A146" s="81">
        <v>45692</v>
      </c>
      <c r="B146" s="69" t="s">
        <v>140</v>
      </c>
      <c r="C146" s="11" t="s">
        <v>4497</v>
      </c>
      <c r="D146" s="82" t="s">
        <v>4447</v>
      </c>
      <c r="E146" s="82" t="s">
        <v>912</v>
      </c>
      <c r="F146" s="84">
        <v>45690</v>
      </c>
      <c r="G146" s="82" t="s">
        <v>26</v>
      </c>
      <c r="H146" s="11" t="s">
        <v>160</v>
      </c>
      <c r="I146" s="69" t="s">
        <v>4512</v>
      </c>
      <c r="J146" s="78"/>
      <c r="K146" s="78">
        <v>50000</v>
      </c>
      <c r="L146" s="83">
        <v>-50000</v>
      </c>
    </row>
    <row r="147" spans="1:12" x14ac:dyDescent="0.25">
      <c r="A147" s="81">
        <v>45688</v>
      </c>
      <c r="B147" s="67" t="s">
        <v>4462</v>
      </c>
      <c r="C147" s="11" t="s">
        <v>4513</v>
      </c>
      <c r="D147" s="82" t="s">
        <v>4447</v>
      </c>
      <c r="E147" s="82" t="s">
        <v>26</v>
      </c>
      <c r="F147" s="84">
        <v>45688</v>
      </c>
      <c r="G147" s="82" t="s">
        <v>6348</v>
      </c>
      <c r="H147" s="11" t="s">
        <v>157</v>
      </c>
      <c r="I147" s="69" t="s">
        <v>4514</v>
      </c>
      <c r="J147" s="78">
        <v>4910.3999999999996</v>
      </c>
      <c r="K147" s="78">
        <v>0</v>
      </c>
      <c r="L147" s="83">
        <v>4910.3999999999996</v>
      </c>
    </row>
    <row r="148" spans="1:12" x14ac:dyDescent="0.25">
      <c r="A148" s="81">
        <v>45688</v>
      </c>
      <c r="B148" s="67" t="s">
        <v>4462</v>
      </c>
      <c r="C148" s="11" t="s">
        <v>4513</v>
      </c>
      <c r="D148" s="82" t="s">
        <v>4447</v>
      </c>
      <c r="E148" s="82" t="s">
        <v>26</v>
      </c>
      <c r="F148" s="84">
        <v>45688</v>
      </c>
      <c r="G148" s="82" t="s">
        <v>6348</v>
      </c>
      <c r="H148" s="11" t="s">
        <v>157</v>
      </c>
      <c r="I148" s="69" t="s">
        <v>4515</v>
      </c>
      <c r="J148" s="78">
        <v>1488</v>
      </c>
      <c r="K148" s="78">
        <v>0</v>
      </c>
      <c r="L148" s="83">
        <v>1488</v>
      </c>
    </row>
    <row r="149" spans="1:12" x14ac:dyDescent="0.25">
      <c r="A149" s="81">
        <v>45688</v>
      </c>
      <c r="B149" s="61" t="s">
        <v>146</v>
      </c>
      <c r="C149" s="11" t="s">
        <v>4513</v>
      </c>
      <c r="D149" s="82" t="s">
        <v>4498</v>
      </c>
      <c r="E149" s="82" t="s">
        <v>26</v>
      </c>
      <c r="F149" s="84">
        <v>45778</v>
      </c>
      <c r="G149" s="82" t="s">
        <v>6347</v>
      </c>
      <c r="H149" s="11" t="s">
        <v>157</v>
      </c>
      <c r="I149" s="69" t="s">
        <v>4516</v>
      </c>
      <c r="J149" s="78">
        <v>180245.52</v>
      </c>
      <c r="K149" s="78">
        <v>0</v>
      </c>
      <c r="L149" s="83">
        <v>180245.52</v>
      </c>
    </row>
    <row r="150" spans="1:12" x14ac:dyDescent="0.25">
      <c r="A150" s="81">
        <v>45688</v>
      </c>
      <c r="B150" s="69" t="s">
        <v>66</v>
      </c>
      <c r="C150" s="11" t="s">
        <v>4513</v>
      </c>
      <c r="D150" s="82" t="s">
        <v>4498</v>
      </c>
      <c r="E150" s="82" t="s">
        <v>26</v>
      </c>
      <c r="F150" s="84">
        <v>45778</v>
      </c>
      <c r="G150" s="82" t="s">
        <v>6347</v>
      </c>
      <c r="H150" s="11" t="s">
        <v>157</v>
      </c>
      <c r="I150" s="69" t="s">
        <v>4517</v>
      </c>
      <c r="J150" s="78">
        <v>107895.12000000001</v>
      </c>
      <c r="K150" s="78">
        <v>0</v>
      </c>
      <c r="L150" s="83">
        <v>107895.12000000001</v>
      </c>
    </row>
    <row r="151" spans="1:12" x14ac:dyDescent="0.25">
      <c r="A151" s="81">
        <v>45688</v>
      </c>
      <c r="B151" s="69" t="s">
        <v>4466</v>
      </c>
      <c r="C151" s="11" t="s">
        <v>4513</v>
      </c>
      <c r="D151" s="82" t="s">
        <v>4447</v>
      </c>
      <c r="E151" s="82" t="s">
        <v>26</v>
      </c>
      <c r="F151" s="84">
        <v>45688</v>
      </c>
      <c r="G151" s="82" t="s">
        <v>6348</v>
      </c>
      <c r="H151" s="11" t="s">
        <v>157</v>
      </c>
      <c r="I151" s="69" t="s">
        <v>4518</v>
      </c>
      <c r="J151" s="78">
        <v>32359.559999999998</v>
      </c>
      <c r="K151" s="78">
        <v>0</v>
      </c>
      <c r="L151" s="83">
        <v>32359.559999999998</v>
      </c>
    </row>
    <row r="152" spans="1:12" x14ac:dyDescent="0.25">
      <c r="A152" s="81">
        <v>45688</v>
      </c>
      <c r="B152" s="67" t="s">
        <v>4465</v>
      </c>
      <c r="C152" s="11" t="s">
        <v>4513</v>
      </c>
      <c r="D152" s="82" t="s">
        <v>4498</v>
      </c>
      <c r="E152" s="82" t="s">
        <v>26</v>
      </c>
      <c r="F152" s="84">
        <v>45778</v>
      </c>
      <c r="G152" s="82" t="s">
        <v>6347</v>
      </c>
      <c r="H152" s="11" t="s">
        <v>157</v>
      </c>
      <c r="I152" s="69" t="s">
        <v>4518</v>
      </c>
      <c r="J152" s="78">
        <v>204829.03199999998</v>
      </c>
      <c r="K152" s="78">
        <v>0</v>
      </c>
      <c r="L152" s="83">
        <v>204829.03199999998</v>
      </c>
    </row>
    <row r="153" spans="1:12" x14ac:dyDescent="0.25">
      <c r="A153" s="81">
        <v>45688</v>
      </c>
      <c r="B153" s="67" t="s">
        <v>4440</v>
      </c>
      <c r="C153" s="11" t="s">
        <v>4513</v>
      </c>
      <c r="D153" s="82" t="s">
        <v>4498</v>
      </c>
      <c r="E153" s="82" t="s">
        <v>26</v>
      </c>
      <c r="F153" s="84">
        <v>45808</v>
      </c>
      <c r="G153" s="82" t="s">
        <v>6347</v>
      </c>
      <c r="H153" s="11" t="s">
        <v>157</v>
      </c>
      <c r="I153" s="69" t="s">
        <v>4519</v>
      </c>
      <c r="J153" s="78">
        <v>438436.17599999998</v>
      </c>
      <c r="K153" s="78">
        <v>0</v>
      </c>
      <c r="L153" s="83">
        <v>438436.17599999998</v>
      </c>
    </row>
    <row r="154" spans="1:12" x14ac:dyDescent="0.25">
      <c r="A154" s="81">
        <v>45688</v>
      </c>
      <c r="B154" s="69" t="s">
        <v>4459</v>
      </c>
      <c r="C154" s="11" t="s">
        <v>4513</v>
      </c>
      <c r="D154" s="82" t="s">
        <v>4447</v>
      </c>
      <c r="E154" s="82" t="s">
        <v>26</v>
      </c>
      <c r="F154" s="84">
        <v>45688</v>
      </c>
      <c r="G154" s="82" t="s">
        <v>6348</v>
      </c>
      <c r="H154" s="11" t="s">
        <v>157</v>
      </c>
      <c r="I154" s="69" t="s">
        <v>4520</v>
      </c>
      <c r="J154" s="78">
        <v>3991.5839999999998</v>
      </c>
      <c r="K154" s="78">
        <v>0</v>
      </c>
      <c r="L154" s="83">
        <v>3991.5839999999998</v>
      </c>
    </row>
    <row r="155" spans="1:12" x14ac:dyDescent="0.25">
      <c r="A155" s="81">
        <v>45688</v>
      </c>
      <c r="B155" s="67" t="s">
        <v>4463</v>
      </c>
      <c r="C155" s="11" t="s">
        <v>4513</v>
      </c>
      <c r="D155" s="82" t="s">
        <v>4498</v>
      </c>
      <c r="E155" s="82" t="s">
        <v>26</v>
      </c>
      <c r="F155" s="84">
        <v>45808</v>
      </c>
      <c r="G155" s="82" t="s">
        <v>6347</v>
      </c>
      <c r="H155" s="11" t="s">
        <v>157</v>
      </c>
      <c r="I155" s="69" t="s">
        <v>4521</v>
      </c>
      <c r="J155" s="78">
        <v>259063.34399999998</v>
      </c>
      <c r="K155" s="78">
        <v>0</v>
      </c>
      <c r="L155" s="83">
        <v>259063.34399999998</v>
      </c>
    </row>
    <row r="156" spans="1:12" x14ac:dyDescent="0.25">
      <c r="A156" s="81">
        <v>45688</v>
      </c>
      <c r="B156" s="67" t="s">
        <v>4441</v>
      </c>
      <c r="C156" s="11" t="s">
        <v>4513</v>
      </c>
      <c r="D156" s="82" t="s">
        <v>4498</v>
      </c>
      <c r="E156" s="82" t="s">
        <v>26</v>
      </c>
      <c r="F156" s="84">
        <v>45748</v>
      </c>
      <c r="G156" s="82" t="s">
        <v>6347</v>
      </c>
      <c r="H156" s="11" t="s">
        <v>157</v>
      </c>
      <c r="I156" s="69" t="s">
        <v>4522</v>
      </c>
      <c r="J156" s="78">
        <v>3755.14</v>
      </c>
      <c r="K156" s="78">
        <v>0</v>
      </c>
      <c r="L156" s="83">
        <v>3755.14</v>
      </c>
    </row>
    <row r="157" spans="1:12" x14ac:dyDescent="0.25">
      <c r="A157" s="81">
        <v>45688</v>
      </c>
      <c r="B157" s="67" t="s">
        <v>4439</v>
      </c>
      <c r="C157" s="11" t="s">
        <v>4513</v>
      </c>
      <c r="D157" s="82" t="s">
        <v>4498</v>
      </c>
      <c r="E157" s="82" t="s">
        <v>26</v>
      </c>
      <c r="F157" s="84">
        <v>45748</v>
      </c>
      <c r="G157" s="82" t="s">
        <v>6347</v>
      </c>
      <c r="H157" s="11" t="s">
        <v>157</v>
      </c>
      <c r="I157" s="69" t="s">
        <v>4523</v>
      </c>
      <c r="J157" s="78">
        <v>1169003.4720000001</v>
      </c>
      <c r="K157" s="78">
        <v>0</v>
      </c>
      <c r="L157" s="83">
        <v>1169003.4720000001</v>
      </c>
    </row>
    <row r="158" spans="1:12" x14ac:dyDescent="0.25">
      <c r="A158" s="81">
        <v>45688</v>
      </c>
      <c r="B158" s="67" t="s">
        <v>4441</v>
      </c>
      <c r="C158" s="11" t="s">
        <v>4524</v>
      </c>
      <c r="D158" s="82" t="s">
        <v>4447</v>
      </c>
      <c r="E158" s="82" t="s">
        <v>26</v>
      </c>
      <c r="F158" s="84">
        <v>45688</v>
      </c>
      <c r="G158" s="82" t="s">
        <v>6348</v>
      </c>
      <c r="H158" s="11" t="s">
        <v>160</v>
      </c>
      <c r="I158" s="69" t="s">
        <v>4525</v>
      </c>
      <c r="J158" s="78">
        <v>32387.4</v>
      </c>
      <c r="K158" s="78">
        <v>0</v>
      </c>
      <c r="L158" s="83">
        <v>32387.4</v>
      </c>
    </row>
    <row r="159" spans="1:12" x14ac:dyDescent="0.25">
      <c r="A159" s="81">
        <v>45688</v>
      </c>
      <c r="B159" s="67" t="s">
        <v>4461</v>
      </c>
      <c r="C159" s="11" t="s">
        <v>4524</v>
      </c>
      <c r="D159" s="82" t="s">
        <v>4447</v>
      </c>
      <c r="E159" s="82" t="s">
        <v>26</v>
      </c>
      <c r="F159" s="84">
        <v>45688</v>
      </c>
      <c r="G159" s="82" t="s">
        <v>6348</v>
      </c>
      <c r="H159" s="11" t="s">
        <v>160</v>
      </c>
      <c r="I159" s="69" t="s">
        <v>4525</v>
      </c>
      <c r="J159" s="78">
        <v>12476.4</v>
      </c>
      <c r="K159" s="78">
        <v>0</v>
      </c>
      <c r="L159" s="83">
        <v>12476.4</v>
      </c>
    </row>
    <row r="160" spans="1:12" x14ac:dyDescent="0.25">
      <c r="A160" s="81">
        <v>45688</v>
      </c>
      <c r="B160" s="67" t="s">
        <v>141</v>
      </c>
      <c r="C160" s="11" t="s">
        <v>4524</v>
      </c>
      <c r="D160" s="82" t="s">
        <v>4447</v>
      </c>
      <c r="E160" s="82" t="s">
        <v>26</v>
      </c>
      <c r="F160" s="84">
        <v>45688</v>
      </c>
      <c r="G160" s="82" t="s">
        <v>6348</v>
      </c>
      <c r="H160" s="11" t="s">
        <v>160</v>
      </c>
      <c r="I160" s="69" t="s">
        <v>4525</v>
      </c>
      <c r="J160" s="78">
        <v>250935.5</v>
      </c>
      <c r="K160" s="78">
        <v>0</v>
      </c>
      <c r="L160" s="83">
        <v>250935.5</v>
      </c>
    </row>
    <row r="161" spans="1:12" x14ac:dyDescent="0.25">
      <c r="A161" s="81">
        <v>45688</v>
      </c>
      <c r="B161" s="69" t="s">
        <v>140</v>
      </c>
      <c r="C161" s="11" t="s">
        <v>4524</v>
      </c>
      <c r="D161" s="82" t="s">
        <v>4447</v>
      </c>
      <c r="E161" s="82" t="s">
        <v>26</v>
      </c>
      <c r="F161" s="84">
        <v>45688</v>
      </c>
      <c r="G161" s="82" t="s">
        <v>6348</v>
      </c>
      <c r="H161" s="11" t="s">
        <v>160</v>
      </c>
      <c r="I161" s="69" t="s">
        <v>4525</v>
      </c>
      <c r="J161" s="78">
        <v>232090.9</v>
      </c>
      <c r="K161" s="78">
        <v>0</v>
      </c>
      <c r="L161" s="83">
        <v>232090.9</v>
      </c>
    </row>
    <row r="162" spans="1:12" x14ac:dyDescent="0.25">
      <c r="A162" s="81">
        <v>45688</v>
      </c>
      <c r="B162" s="67" t="s">
        <v>565</v>
      </c>
      <c r="C162" s="11" t="s">
        <v>4524</v>
      </c>
      <c r="D162" s="82" t="s">
        <v>4447</v>
      </c>
      <c r="E162" s="82" t="s">
        <v>26</v>
      </c>
      <c r="F162" s="84">
        <v>45688</v>
      </c>
      <c r="G162" s="82" t="s">
        <v>6348</v>
      </c>
      <c r="H162" s="11" t="s">
        <v>160</v>
      </c>
      <c r="I162" s="69" t="s">
        <v>4525</v>
      </c>
      <c r="J162" s="78">
        <v>91557.5</v>
      </c>
      <c r="K162" s="78">
        <v>0</v>
      </c>
      <c r="L162" s="83">
        <v>91557.5</v>
      </c>
    </row>
    <row r="163" spans="1:12" x14ac:dyDescent="0.25">
      <c r="A163" s="81">
        <v>45688</v>
      </c>
      <c r="B163" s="67" t="s">
        <v>163</v>
      </c>
      <c r="C163" s="11" t="s">
        <v>4524</v>
      </c>
      <c r="D163" s="82" t="s">
        <v>4447</v>
      </c>
      <c r="E163" s="82" t="s">
        <v>26</v>
      </c>
      <c r="F163" s="84">
        <v>45688</v>
      </c>
      <c r="G163" s="82" t="s">
        <v>6348</v>
      </c>
      <c r="H163" s="11" t="s">
        <v>160</v>
      </c>
      <c r="I163" s="69" t="s">
        <v>4525</v>
      </c>
      <c r="J163" s="78">
        <v>214630</v>
      </c>
      <c r="K163" s="78">
        <v>0</v>
      </c>
      <c r="L163" s="83">
        <v>214630</v>
      </c>
    </row>
    <row r="164" spans="1:12" x14ac:dyDescent="0.25">
      <c r="A164" s="81">
        <v>45688</v>
      </c>
      <c r="B164" s="69" t="s">
        <v>36</v>
      </c>
      <c r="C164" s="11" t="s">
        <v>4524</v>
      </c>
      <c r="D164" s="82" t="s">
        <v>4447</v>
      </c>
      <c r="E164" s="82" t="s">
        <v>26</v>
      </c>
      <c r="F164" s="84">
        <v>45688</v>
      </c>
      <c r="G164" s="82" t="s">
        <v>6348</v>
      </c>
      <c r="H164" s="11" t="s">
        <v>160</v>
      </c>
      <c r="I164" s="69" t="s">
        <v>4525</v>
      </c>
      <c r="J164" s="78">
        <v>62799.64</v>
      </c>
      <c r="K164" s="78">
        <v>0</v>
      </c>
      <c r="L164" s="83">
        <v>62799.64</v>
      </c>
    </row>
    <row r="165" spans="1:12" x14ac:dyDescent="0.25">
      <c r="A165" s="81">
        <v>45688</v>
      </c>
      <c r="B165" s="67" t="s">
        <v>70</v>
      </c>
      <c r="C165" s="11" t="s">
        <v>4524</v>
      </c>
      <c r="D165" s="82" t="s">
        <v>4447</v>
      </c>
      <c r="E165" s="82" t="s">
        <v>26</v>
      </c>
      <c r="F165" s="84">
        <v>45688</v>
      </c>
      <c r="G165" s="82" t="s">
        <v>6348</v>
      </c>
      <c r="H165" s="11" t="s">
        <v>160</v>
      </c>
      <c r="I165" s="69" t="s">
        <v>4525</v>
      </c>
      <c r="J165" s="78">
        <v>80500</v>
      </c>
      <c r="K165" s="78">
        <v>0</v>
      </c>
      <c r="L165" s="83">
        <v>80500</v>
      </c>
    </row>
    <row r="166" spans="1:12" x14ac:dyDescent="0.25">
      <c r="A166" s="81">
        <v>45688</v>
      </c>
      <c r="B166" s="67" t="s">
        <v>4464</v>
      </c>
      <c r="C166" s="11" t="s">
        <v>4524</v>
      </c>
      <c r="D166" s="82" t="s">
        <v>4447</v>
      </c>
      <c r="E166" s="82" t="s">
        <v>26</v>
      </c>
      <c r="F166" s="84">
        <v>45688</v>
      </c>
      <c r="G166" s="82" t="s">
        <v>6348</v>
      </c>
      <c r="H166" s="11" t="s">
        <v>160</v>
      </c>
      <c r="I166" s="69" t="s">
        <v>4525</v>
      </c>
      <c r="J166" s="78">
        <v>8817.2000000000007</v>
      </c>
      <c r="K166" s="78">
        <v>0</v>
      </c>
      <c r="L166" s="83">
        <v>8817.2000000000007</v>
      </c>
    </row>
    <row r="167" spans="1:12" x14ac:dyDescent="0.25">
      <c r="A167" s="81">
        <v>45688</v>
      </c>
      <c r="B167" s="67" t="s">
        <v>6345</v>
      </c>
      <c r="C167" s="11" t="s">
        <v>4524</v>
      </c>
      <c r="D167" s="82" t="s">
        <v>4447</v>
      </c>
      <c r="E167" s="82" t="s">
        <v>26</v>
      </c>
      <c r="F167" s="84">
        <v>45688</v>
      </c>
      <c r="G167" s="82" t="s">
        <v>6348</v>
      </c>
      <c r="H167" s="11" t="s">
        <v>160</v>
      </c>
      <c r="I167" s="69" t="s">
        <v>4525</v>
      </c>
      <c r="J167" s="78">
        <v>25826.799999999999</v>
      </c>
      <c r="K167" s="78">
        <v>0</v>
      </c>
      <c r="L167" s="83">
        <v>25826.799999999999</v>
      </c>
    </row>
    <row r="168" spans="1:12" x14ac:dyDescent="0.25">
      <c r="A168" s="81">
        <v>45688</v>
      </c>
      <c r="B168" s="67" t="s">
        <v>4465</v>
      </c>
      <c r="C168" s="11" t="s">
        <v>4524</v>
      </c>
      <c r="D168" s="82" t="s">
        <v>4498</v>
      </c>
      <c r="E168" s="82" t="s">
        <v>26</v>
      </c>
      <c r="F168" s="84">
        <v>45778</v>
      </c>
      <c r="G168" s="82" t="s">
        <v>6347</v>
      </c>
      <c r="H168" s="11" t="s">
        <v>160</v>
      </c>
      <c r="I168" s="69" t="s">
        <v>4525</v>
      </c>
      <c r="J168" s="78">
        <v>54991.05</v>
      </c>
      <c r="K168" s="78">
        <v>0</v>
      </c>
      <c r="L168" s="83">
        <v>54991.05</v>
      </c>
    </row>
    <row r="169" spans="1:12" x14ac:dyDescent="0.25">
      <c r="A169" s="81">
        <v>45688</v>
      </c>
      <c r="B169" s="67" t="s">
        <v>41</v>
      </c>
      <c r="C169" s="11" t="s">
        <v>4524</v>
      </c>
      <c r="D169" s="82" t="s">
        <v>4447</v>
      </c>
      <c r="E169" s="82" t="s">
        <v>26</v>
      </c>
      <c r="F169" s="84">
        <v>45688</v>
      </c>
      <c r="G169" s="82" t="s">
        <v>6348</v>
      </c>
      <c r="H169" s="11" t="s">
        <v>160</v>
      </c>
      <c r="I169" s="69" t="s">
        <v>4525</v>
      </c>
      <c r="J169" s="78">
        <v>248391.1</v>
      </c>
      <c r="K169" s="78">
        <v>0</v>
      </c>
      <c r="L169" s="83">
        <v>248391.1</v>
      </c>
    </row>
    <row r="170" spans="1:12" x14ac:dyDescent="0.25">
      <c r="A170" s="81">
        <v>45688</v>
      </c>
      <c r="B170" s="69" t="s">
        <v>45</v>
      </c>
      <c r="C170" s="11" t="s">
        <v>4524</v>
      </c>
      <c r="D170" s="82" t="s">
        <v>4447</v>
      </c>
      <c r="E170" s="82" t="s">
        <v>26</v>
      </c>
      <c r="F170" s="84">
        <v>45688</v>
      </c>
      <c r="G170" s="82" t="s">
        <v>6348</v>
      </c>
      <c r="H170" s="11" t="s">
        <v>160</v>
      </c>
      <c r="I170" s="69" t="s">
        <v>4525</v>
      </c>
      <c r="J170" s="78">
        <v>164866</v>
      </c>
      <c r="K170" s="78">
        <v>0</v>
      </c>
      <c r="L170" s="83">
        <v>164866</v>
      </c>
    </row>
    <row r="171" spans="1:12" x14ac:dyDescent="0.25">
      <c r="A171" s="81">
        <v>45688</v>
      </c>
      <c r="B171" s="69" t="s">
        <v>36</v>
      </c>
      <c r="C171" s="11" t="s">
        <v>4497</v>
      </c>
      <c r="D171" s="82" t="s">
        <v>4447</v>
      </c>
      <c r="E171" s="82" t="s">
        <v>912</v>
      </c>
      <c r="F171" s="84">
        <v>45688</v>
      </c>
      <c r="G171" s="82" t="s">
        <v>26</v>
      </c>
      <c r="H171" s="11" t="s">
        <v>160</v>
      </c>
      <c r="I171" s="69" t="s">
        <v>4455</v>
      </c>
      <c r="J171" s="78"/>
      <c r="K171" s="78">
        <v>62799.64</v>
      </c>
      <c r="L171" s="83">
        <v>-62799.64</v>
      </c>
    </row>
    <row r="172" spans="1:12" x14ac:dyDescent="0.25">
      <c r="A172" s="81">
        <v>45688</v>
      </c>
      <c r="B172" s="67" t="s">
        <v>141</v>
      </c>
      <c r="C172" s="11" t="s">
        <v>4497</v>
      </c>
      <c r="D172" s="82" t="s">
        <v>4447</v>
      </c>
      <c r="E172" s="82" t="s">
        <v>4442</v>
      </c>
      <c r="F172" s="84">
        <v>45688</v>
      </c>
      <c r="G172" s="82" t="s">
        <v>26</v>
      </c>
      <c r="H172" s="11" t="s">
        <v>160</v>
      </c>
      <c r="I172" s="69" t="s">
        <v>4456</v>
      </c>
      <c r="J172" s="78"/>
      <c r="K172" s="78">
        <v>160122.22400000005</v>
      </c>
      <c r="L172" s="83">
        <v>-160122.22400000005</v>
      </c>
    </row>
    <row r="173" spans="1:12" x14ac:dyDescent="0.25">
      <c r="A173" s="81">
        <v>45688</v>
      </c>
      <c r="B173" s="69" t="s">
        <v>140</v>
      </c>
      <c r="C173" s="11" t="s">
        <v>4497</v>
      </c>
      <c r="D173" s="82" t="s">
        <v>4447</v>
      </c>
      <c r="E173" s="82" t="s">
        <v>4442</v>
      </c>
      <c r="F173" s="84">
        <v>45688</v>
      </c>
      <c r="G173" s="82" t="s">
        <v>26</v>
      </c>
      <c r="H173" s="11" t="s">
        <v>160</v>
      </c>
      <c r="I173" s="69" t="s">
        <v>4456</v>
      </c>
      <c r="J173" s="78"/>
      <c r="K173" s="78">
        <v>78356.880000000019</v>
      </c>
      <c r="L173" s="83">
        <v>-78356.880000000019</v>
      </c>
    </row>
    <row r="174" spans="1:12" x14ac:dyDescent="0.25">
      <c r="A174" s="81">
        <v>45688</v>
      </c>
      <c r="B174" s="67" t="s">
        <v>565</v>
      </c>
      <c r="C174" s="11" t="s">
        <v>4497</v>
      </c>
      <c r="D174" s="82" t="s">
        <v>4447</v>
      </c>
      <c r="E174" s="82" t="s">
        <v>4442</v>
      </c>
      <c r="F174" s="84">
        <v>45688</v>
      </c>
      <c r="G174" s="82" t="s">
        <v>26</v>
      </c>
      <c r="H174" s="11" t="s">
        <v>160</v>
      </c>
      <c r="I174" s="69" t="s">
        <v>4456</v>
      </c>
      <c r="J174" s="78"/>
      <c r="K174" s="78">
        <v>26766.179999999997</v>
      </c>
      <c r="L174" s="83">
        <v>-26766.179999999997</v>
      </c>
    </row>
    <row r="175" spans="1:12" x14ac:dyDescent="0.25">
      <c r="A175" s="81">
        <v>45688</v>
      </c>
      <c r="B175" s="67" t="s">
        <v>70</v>
      </c>
      <c r="C175" s="11" t="s">
        <v>4497</v>
      </c>
      <c r="D175" s="82" t="s">
        <v>4447</v>
      </c>
      <c r="E175" s="82" t="s">
        <v>4442</v>
      </c>
      <c r="F175" s="84">
        <v>45688</v>
      </c>
      <c r="G175" s="82" t="s">
        <v>26</v>
      </c>
      <c r="H175" s="11" t="s">
        <v>160</v>
      </c>
      <c r="I175" s="69" t="s">
        <v>4456</v>
      </c>
      <c r="J175" s="78"/>
      <c r="K175" s="78">
        <v>9342.7199999999993</v>
      </c>
      <c r="L175" s="83">
        <v>-9342.7199999999993</v>
      </c>
    </row>
    <row r="176" spans="1:12" x14ac:dyDescent="0.25">
      <c r="A176" s="81">
        <v>45688</v>
      </c>
      <c r="B176" s="67" t="s">
        <v>6345</v>
      </c>
      <c r="C176" s="11" t="s">
        <v>4497</v>
      </c>
      <c r="D176" s="82" t="s">
        <v>4447</v>
      </c>
      <c r="E176" s="82" t="s">
        <v>4442</v>
      </c>
      <c r="F176" s="84">
        <v>45688</v>
      </c>
      <c r="G176" s="82" t="s">
        <v>26</v>
      </c>
      <c r="H176" s="11" t="s">
        <v>160</v>
      </c>
      <c r="I176" s="69" t="s">
        <v>4456</v>
      </c>
      <c r="J176" s="78"/>
      <c r="K176" s="78">
        <v>13192.14</v>
      </c>
      <c r="L176" s="83">
        <v>-13192.14</v>
      </c>
    </row>
    <row r="177" spans="1:12" x14ac:dyDescent="0.25">
      <c r="A177" s="81">
        <v>45688</v>
      </c>
      <c r="B177" s="67" t="s">
        <v>41</v>
      </c>
      <c r="C177" s="11" t="s">
        <v>4497</v>
      </c>
      <c r="D177" s="82" t="s">
        <v>4447</v>
      </c>
      <c r="E177" s="82" t="s">
        <v>4442</v>
      </c>
      <c r="F177" s="84">
        <v>45688</v>
      </c>
      <c r="G177" s="82" t="s">
        <v>26</v>
      </c>
      <c r="H177" s="11" t="s">
        <v>160</v>
      </c>
      <c r="I177" s="69" t="s">
        <v>4456</v>
      </c>
      <c r="J177" s="78"/>
      <c r="K177" s="78">
        <v>102282.90999999999</v>
      </c>
      <c r="L177" s="83">
        <v>-102282.90999999999</v>
      </c>
    </row>
    <row r="178" spans="1:12" x14ac:dyDescent="0.25">
      <c r="A178" s="81">
        <v>45688</v>
      </c>
      <c r="B178" s="67" t="s">
        <v>1049</v>
      </c>
      <c r="C178" s="11" t="s">
        <v>4497</v>
      </c>
      <c r="D178" s="82" t="s">
        <v>4498</v>
      </c>
      <c r="E178" s="82" t="s">
        <v>4442</v>
      </c>
      <c r="F178" s="84">
        <v>45688</v>
      </c>
      <c r="G178" s="82" t="s">
        <v>26</v>
      </c>
      <c r="H178" s="11" t="s">
        <v>160</v>
      </c>
      <c r="I178" s="69" t="s">
        <v>4456</v>
      </c>
      <c r="J178" s="78"/>
      <c r="K178" s="78">
        <v>102282.91</v>
      </c>
      <c r="L178" s="83">
        <v>-102282.91</v>
      </c>
    </row>
    <row r="179" spans="1:12" x14ac:dyDescent="0.25">
      <c r="A179" s="81">
        <v>45688</v>
      </c>
      <c r="B179" s="69" t="s">
        <v>45</v>
      </c>
      <c r="C179" s="11" t="s">
        <v>4497</v>
      </c>
      <c r="D179" s="82" t="s">
        <v>4447</v>
      </c>
      <c r="E179" s="82" t="s">
        <v>4442</v>
      </c>
      <c r="F179" s="84">
        <v>45688</v>
      </c>
      <c r="G179" s="82" t="s">
        <v>26</v>
      </c>
      <c r="H179" s="11" t="s">
        <v>160</v>
      </c>
      <c r="I179" s="69" t="s">
        <v>4456</v>
      </c>
      <c r="J179" s="78"/>
      <c r="K179" s="78">
        <v>6135.84</v>
      </c>
      <c r="L179" s="83">
        <v>-6135.84</v>
      </c>
    </row>
    <row r="180" spans="1:12" x14ac:dyDescent="0.25">
      <c r="A180" s="81">
        <v>45693</v>
      </c>
      <c r="B180" s="67" t="s">
        <v>163</v>
      </c>
      <c r="C180" s="11" t="s">
        <v>4497</v>
      </c>
      <c r="D180" s="82" t="s">
        <v>4447</v>
      </c>
      <c r="E180" s="82" t="s">
        <v>912</v>
      </c>
      <c r="F180" s="84">
        <v>45693</v>
      </c>
      <c r="G180" s="82" t="s">
        <v>26</v>
      </c>
      <c r="H180" s="11" t="s">
        <v>160</v>
      </c>
      <c r="I180" s="69" t="s">
        <v>4526</v>
      </c>
      <c r="J180" s="78"/>
      <c r="K180" s="78">
        <v>50000</v>
      </c>
      <c r="L180" s="83">
        <v>-50000</v>
      </c>
    </row>
    <row r="181" spans="1:12" x14ac:dyDescent="0.25">
      <c r="A181" s="81">
        <v>45693</v>
      </c>
      <c r="B181" s="67" t="s">
        <v>70</v>
      </c>
      <c r="C181" s="11" t="s">
        <v>4497</v>
      </c>
      <c r="D181" s="82" t="s">
        <v>4447</v>
      </c>
      <c r="E181" s="82" t="s">
        <v>912</v>
      </c>
      <c r="F181" s="84">
        <v>45693</v>
      </c>
      <c r="G181" s="82" t="s">
        <v>26</v>
      </c>
      <c r="H181" s="11" t="s">
        <v>160</v>
      </c>
      <c r="I181" s="69" t="s">
        <v>4447</v>
      </c>
      <c r="J181" s="78"/>
      <c r="K181" s="78">
        <v>50000</v>
      </c>
      <c r="L181" s="83">
        <v>-50000</v>
      </c>
    </row>
    <row r="182" spans="1:12" x14ac:dyDescent="0.25">
      <c r="A182" s="81">
        <v>45693</v>
      </c>
      <c r="B182" s="61" t="s">
        <v>146</v>
      </c>
      <c r="C182" s="11" t="s">
        <v>4497</v>
      </c>
      <c r="D182" s="82" t="s">
        <v>4498</v>
      </c>
      <c r="E182" s="82" t="s">
        <v>919</v>
      </c>
      <c r="F182" s="84">
        <v>45693</v>
      </c>
      <c r="G182" s="82" t="s">
        <v>26</v>
      </c>
      <c r="H182" s="11" t="s">
        <v>157</v>
      </c>
      <c r="I182" s="69" t="s">
        <v>4435</v>
      </c>
      <c r="J182" s="78"/>
      <c r="K182" s="78">
        <v>50000</v>
      </c>
      <c r="L182" s="83">
        <v>-50000</v>
      </c>
    </row>
    <row r="183" spans="1:12" x14ac:dyDescent="0.25">
      <c r="A183" s="81">
        <v>45694</v>
      </c>
      <c r="B183" s="67" t="s">
        <v>41</v>
      </c>
      <c r="C183" s="11" t="s">
        <v>4497</v>
      </c>
      <c r="D183" s="82" t="s">
        <v>4447</v>
      </c>
      <c r="E183" s="82" t="s">
        <v>912</v>
      </c>
      <c r="F183" s="84">
        <v>45694</v>
      </c>
      <c r="G183" s="82" t="s">
        <v>26</v>
      </c>
      <c r="H183" s="11" t="s">
        <v>160</v>
      </c>
      <c r="I183" s="69" t="s">
        <v>4526</v>
      </c>
      <c r="J183" s="78"/>
      <c r="K183" s="78">
        <v>20000</v>
      </c>
      <c r="L183" s="83">
        <v>-20000</v>
      </c>
    </row>
    <row r="184" spans="1:12" x14ac:dyDescent="0.25">
      <c r="A184" s="81">
        <v>45695</v>
      </c>
      <c r="B184" s="67" t="s">
        <v>141</v>
      </c>
      <c r="C184" s="11" t="s">
        <v>4497</v>
      </c>
      <c r="D184" s="82" t="s">
        <v>4447</v>
      </c>
      <c r="E184" s="82" t="s">
        <v>912</v>
      </c>
      <c r="F184" s="84">
        <v>45695</v>
      </c>
      <c r="G184" s="82" t="s">
        <v>26</v>
      </c>
      <c r="H184" s="11" t="s">
        <v>160</v>
      </c>
      <c r="I184" s="69" t="s">
        <v>4447</v>
      </c>
      <c r="J184" s="78"/>
      <c r="K184" s="78">
        <v>20000</v>
      </c>
      <c r="L184" s="83">
        <v>-20000</v>
      </c>
    </row>
    <row r="185" spans="1:12" x14ac:dyDescent="0.25">
      <c r="A185" s="81">
        <v>45695</v>
      </c>
      <c r="B185" s="67" t="s">
        <v>41</v>
      </c>
      <c r="C185" s="11" t="s">
        <v>4502</v>
      </c>
      <c r="D185" s="82" t="s">
        <v>4447</v>
      </c>
      <c r="E185" s="82" t="s">
        <v>4503</v>
      </c>
      <c r="F185" s="84">
        <v>45695</v>
      </c>
      <c r="G185" s="82" t="s">
        <v>26</v>
      </c>
      <c r="H185" s="11" t="s">
        <v>160</v>
      </c>
      <c r="I185" s="69" t="s">
        <v>4527</v>
      </c>
      <c r="J185" s="78"/>
      <c r="K185" s="78">
        <v>30000</v>
      </c>
      <c r="L185" s="83">
        <v>-30000</v>
      </c>
    </row>
    <row r="186" spans="1:12" x14ac:dyDescent="0.25">
      <c r="A186" s="81">
        <v>45698</v>
      </c>
      <c r="B186" s="67" t="s">
        <v>4439</v>
      </c>
      <c r="C186" s="11" t="s">
        <v>4497</v>
      </c>
      <c r="D186" s="82" t="s">
        <v>4498</v>
      </c>
      <c r="E186" s="82" t="s">
        <v>1026</v>
      </c>
      <c r="F186" s="84">
        <v>45714</v>
      </c>
      <c r="G186" s="82" t="s">
        <v>26</v>
      </c>
      <c r="H186" s="11" t="s">
        <v>157</v>
      </c>
      <c r="I186" s="69" t="s">
        <v>4528</v>
      </c>
      <c r="J186" s="78"/>
      <c r="K186" s="78">
        <v>1011886.51</v>
      </c>
      <c r="L186" s="83">
        <v>-1011886.51</v>
      </c>
    </row>
    <row r="187" spans="1:12" x14ac:dyDescent="0.25">
      <c r="A187" s="81">
        <v>45698</v>
      </c>
      <c r="B187" s="69" t="s">
        <v>140</v>
      </c>
      <c r="C187" s="11" t="s">
        <v>4502</v>
      </c>
      <c r="D187" s="82" t="s">
        <v>4447</v>
      </c>
      <c r="E187" s="82" t="s">
        <v>4503</v>
      </c>
      <c r="F187" s="84">
        <v>45695</v>
      </c>
      <c r="G187" s="82" t="s">
        <v>26</v>
      </c>
      <c r="H187" s="11" t="s">
        <v>160</v>
      </c>
      <c r="I187" s="69" t="s">
        <v>4529</v>
      </c>
      <c r="J187" s="78"/>
      <c r="K187" s="78">
        <v>50000</v>
      </c>
      <c r="L187" s="83">
        <v>-50000</v>
      </c>
    </row>
    <row r="188" spans="1:12" x14ac:dyDescent="0.25">
      <c r="A188" s="81">
        <v>45698</v>
      </c>
      <c r="B188" s="69" t="s">
        <v>66</v>
      </c>
      <c r="C188" s="11" t="s">
        <v>4497</v>
      </c>
      <c r="D188" s="82" t="s">
        <v>4498</v>
      </c>
      <c r="E188" s="82" t="s">
        <v>1026</v>
      </c>
      <c r="F188" s="84">
        <v>45786</v>
      </c>
      <c r="G188" s="82" t="s">
        <v>26</v>
      </c>
      <c r="H188" s="11" t="s">
        <v>157</v>
      </c>
      <c r="I188" s="69" t="s">
        <v>4530</v>
      </c>
      <c r="J188" s="78"/>
      <c r="K188" s="78">
        <v>47895.12</v>
      </c>
      <c r="L188" s="83">
        <v>-47895.12</v>
      </c>
    </row>
    <row r="189" spans="1:12" x14ac:dyDescent="0.25">
      <c r="A189" s="81">
        <v>45698</v>
      </c>
      <c r="B189" s="69" t="s">
        <v>66</v>
      </c>
      <c r="C189" s="11" t="s">
        <v>4497</v>
      </c>
      <c r="D189" s="82" t="s">
        <v>4498</v>
      </c>
      <c r="E189" s="82" t="s">
        <v>1026</v>
      </c>
      <c r="F189" s="84">
        <v>45793</v>
      </c>
      <c r="G189" s="82" t="s">
        <v>26</v>
      </c>
      <c r="H189" s="11" t="s">
        <v>157</v>
      </c>
      <c r="I189" s="69" t="s">
        <v>4531</v>
      </c>
      <c r="J189" s="78"/>
      <c r="K189" s="78">
        <v>60000</v>
      </c>
      <c r="L189" s="83">
        <v>-60000</v>
      </c>
    </row>
    <row r="190" spans="1:12" x14ac:dyDescent="0.25">
      <c r="A190" s="81">
        <v>45698</v>
      </c>
      <c r="B190" s="67" t="s">
        <v>4441</v>
      </c>
      <c r="C190" s="11" t="s">
        <v>4497</v>
      </c>
      <c r="D190" s="82" t="s">
        <v>4447</v>
      </c>
      <c r="E190" s="82" t="s">
        <v>912</v>
      </c>
      <c r="F190" s="84">
        <v>45698</v>
      </c>
      <c r="G190" s="82" t="s">
        <v>26</v>
      </c>
      <c r="H190" s="11" t="s">
        <v>160</v>
      </c>
      <c r="I190" s="69" t="s">
        <v>4447</v>
      </c>
      <c r="J190" s="78"/>
      <c r="K190" s="78">
        <v>16100</v>
      </c>
      <c r="L190" s="83">
        <v>-16100</v>
      </c>
    </row>
    <row r="191" spans="1:12" x14ac:dyDescent="0.25">
      <c r="A191" s="81">
        <v>45699</v>
      </c>
      <c r="B191" s="67" t="s">
        <v>163</v>
      </c>
      <c r="C191" s="11" t="s">
        <v>4497</v>
      </c>
      <c r="D191" s="82" t="s">
        <v>4447</v>
      </c>
      <c r="E191" s="82" t="s">
        <v>912</v>
      </c>
      <c r="F191" s="84">
        <v>45699</v>
      </c>
      <c r="G191" s="82" t="s">
        <v>26</v>
      </c>
      <c r="H191" s="11" t="s">
        <v>160</v>
      </c>
      <c r="I191" s="69" t="s">
        <v>4447</v>
      </c>
      <c r="J191" s="78"/>
      <c r="K191" s="78">
        <v>50000</v>
      </c>
      <c r="L191" s="83">
        <v>-50000</v>
      </c>
    </row>
    <row r="192" spans="1:12" x14ac:dyDescent="0.25">
      <c r="A192" s="81">
        <v>45698</v>
      </c>
      <c r="B192" s="69" t="s">
        <v>140</v>
      </c>
      <c r="C192" s="11" t="s">
        <v>4502</v>
      </c>
      <c r="D192" s="82" t="s">
        <v>4447</v>
      </c>
      <c r="E192" s="82" t="s">
        <v>4503</v>
      </c>
      <c r="F192" s="84">
        <v>45695</v>
      </c>
      <c r="G192" s="82" t="s">
        <v>26</v>
      </c>
      <c r="H192" s="11" t="s">
        <v>160</v>
      </c>
      <c r="I192" s="69" t="s">
        <v>4529</v>
      </c>
      <c r="J192" s="78">
        <v>50000</v>
      </c>
      <c r="K192" s="78"/>
      <c r="L192" s="83">
        <v>50000</v>
      </c>
    </row>
    <row r="193" spans="1:12" x14ac:dyDescent="0.25">
      <c r="A193" s="81">
        <v>45698</v>
      </c>
      <c r="B193" s="69" t="s">
        <v>140</v>
      </c>
      <c r="C193" s="11" t="s">
        <v>4497</v>
      </c>
      <c r="D193" s="82" t="s">
        <v>4447</v>
      </c>
      <c r="E193" s="82" t="s">
        <v>912</v>
      </c>
      <c r="F193" s="84">
        <v>45695</v>
      </c>
      <c r="G193" s="82" t="s">
        <v>26</v>
      </c>
      <c r="H193" s="11" t="s">
        <v>160</v>
      </c>
      <c r="I193" s="69" t="s">
        <v>4532</v>
      </c>
      <c r="J193" s="78"/>
      <c r="K193" s="78">
        <v>50000</v>
      </c>
      <c r="L193" s="83">
        <v>-50000</v>
      </c>
    </row>
    <row r="194" spans="1:12" x14ac:dyDescent="0.25">
      <c r="A194" s="81">
        <v>45695</v>
      </c>
      <c r="B194" s="67" t="s">
        <v>41</v>
      </c>
      <c r="C194" s="11" t="s">
        <v>4502</v>
      </c>
      <c r="D194" s="82" t="s">
        <v>4447</v>
      </c>
      <c r="E194" s="82" t="s">
        <v>4503</v>
      </c>
      <c r="F194" s="84">
        <v>45695</v>
      </c>
      <c r="G194" s="82" t="s">
        <v>26</v>
      </c>
      <c r="H194" s="11" t="s">
        <v>160</v>
      </c>
      <c r="I194" s="69" t="s">
        <v>4527</v>
      </c>
      <c r="J194" s="78">
        <v>30000</v>
      </c>
      <c r="K194" s="78"/>
      <c r="L194" s="83">
        <v>30000</v>
      </c>
    </row>
    <row r="195" spans="1:12" x14ac:dyDescent="0.25">
      <c r="A195" s="81">
        <v>45695</v>
      </c>
      <c r="B195" s="67" t="s">
        <v>41</v>
      </c>
      <c r="C195" s="11" t="s">
        <v>4497</v>
      </c>
      <c r="D195" s="82" t="s">
        <v>4447</v>
      </c>
      <c r="E195" s="82" t="s">
        <v>912</v>
      </c>
      <c r="F195" s="84">
        <v>45695</v>
      </c>
      <c r="G195" s="82" t="s">
        <v>26</v>
      </c>
      <c r="H195" s="11" t="s">
        <v>160</v>
      </c>
      <c r="I195" s="69" t="s">
        <v>4533</v>
      </c>
      <c r="J195" s="78"/>
      <c r="K195" s="78">
        <v>30000</v>
      </c>
      <c r="L195" s="83">
        <v>-30000</v>
      </c>
    </row>
    <row r="196" spans="1:12" x14ac:dyDescent="0.25">
      <c r="A196" s="81">
        <v>45700</v>
      </c>
      <c r="B196" s="67" t="s">
        <v>565</v>
      </c>
      <c r="C196" s="11" t="s">
        <v>4497</v>
      </c>
      <c r="D196" s="82" t="s">
        <v>4447</v>
      </c>
      <c r="E196" s="82" t="s">
        <v>912</v>
      </c>
      <c r="F196" s="84">
        <v>45700</v>
      </c>
      <c r="G196" s="82" t="s">
        <v>26</v>
      </c>
      <c r="H196" s="11" t="s">
        <v>160</v>
      </c>
      <c r="I196" s="69" t="s">
        <v>4534</v>
      </c>
      <c r="J196" s="78"/>
      <c r="K196" s="78">
        <v>50000</v>
      </c>
      <c r="L196" s="83">
        <v>-50000</v>
      </c>
    </row>
    <row r="197" spans="1:12" x14ac:dyDescent="0.25">
      <c r="A197" s="81">
        <v>45700</v>
      </c>
      <c r="B197" s="69" t="s">
        <v>45</v>
      </c>
      <c r="C197" s="11" t="s">
        <v>4497</v>
      </c>
      <c r="D197" s="82" t="s">
        <v>4447</v>
      </c>
      <c r="E197" s="82" t="s">
        <v>912</v>
      </c>
      <c r="F197" s="84">
        <v>45700</v>
      </c>
      <c r="G197" s="82" t="s">
        <v>26</v>
      </c>
      <c r="H197" s="11" t="s">
        <v>160</v>
      </c>
      <c r="I197" s="69" t="s">
        <v>4534</v>
      </c>
      <c r="J197" s="78"/>
      <c r="K197" s="78">
        <v>60000</v>
      </c>
      <c r="L197" s="83">
        <v>-60000</v>
      </c>
    </row>
    <row r="198" spans="1:12" x14ac:dyDescent="0.25">
      <c r="A198" s="81">
        <v>45702</v>
      </c>
      <c r="B198" s="67" t="s">
        <v>41</v>
      </c>
      <c r="C198" s="11" t="s">
        <v>4497</v>
      </c>
      <c r="D198" s="82" t="s">
        <v>4447</v>
      </c>
      <c r="E198" s="82" t="s">
        <v>912</v>
      </c>
      <c r="F198" s="84">
        <v>45702</v>
      </c>
      <c r="G198" s="82" t="s">
        <v>26</v>
      </c>
      <c r="H198" s="11" t="s">
        <v>160</v>
      </c>
      <c r="I198" s="69" t="s">
        <v>4534</v>
      </c>
      <c r="J198" s="78"/>
      <c r="K198" s="78">
        <v>20000</v>
      </c>
      <c r="L198" s="83">
        <v>-20000</v>
      </c>
    </row>
    <row r="199" spans="1:12" x14ac:dyDescent="0.25">
      <c r="A199" s="81">
        <v>45705</v>
      </c>
      <c r="B199" s="67" t="s">
        <v>4465</v>
      </c>
      <c r="C199" s="11" t="s">
        <v>4497</v>
      </c>
      <c r="D199" s="82" t="s">
        <v>4498</v>
      </c>
      <c r="E199" s="82" t="s">
        <v>1026</v>
      </c>
      <c r="F199" s="84">
        <v>45803</v>
      </c>
      <c r="G199" s="82" t="s">
        <v>26</v>
      </c>
      <c r="H199" s="11" t="s">
        <v>157</v>
      </c>
      <c r="I199" s="69" t="s">
        <v>4535</v>
      </c>
      <c r="J199" s="78"/>
      <c r="K199" s="78">
        <v>51829.03</v>
      </c>
      <c r="L199" s="83">
        <v>-51829.03</v>
      </c>
    </row>
    <row r="200" spans="1:12" x14ac:dyDescent="0.25">
      <c r="A200" s="81">
        <v>45705</v>
      </c>
      <c r="B200" s="67" t="s">
        <v>4465</v>
      </c>
      <c r="C200" s="11" t="s">
        <v>4497</v>
      </c>
      <c r="D200" s="82" t="s">
        <v>4498</v>
      </c>
      <c r="E200" s="82" t="s">
        <v>1026</v>
      </c>
      <c r="F200" s="84">
        <v>45796</v>
      </c>
      <c r="G200" s="82" t="s">
        <v>26</v>
      </c>
      <c r="H200" s="11" t="s">
        <v>157</v>
      </c>
      <c r="I200" s="69" t="s">
        <v>4536</v>
      </c>
      <c r="J200" s="78"/>
      <c r="K200" s="78">
        <v>51000</v>
      </c>
      <c r="L200" s="83">
        <v>-51000</v>
      </c>
    </row>
    <row r="201" spans="1:12" x14ac:dyDescent="0.25">
      <c r="A201" s="81">
        <v>45705</v>
      </c>
      <c r="B201" s="67" t="s">
        <v>4465</v>
      </c>
      <c r="C201" s="11" t="s">
        <v>4497</v>
      </c>
      <c r="D201" s="82" t="s">
        <v>4498</v>
      </c>
      <c r="E201" s="82" t="s">
        <v>1026</v>
      </c>
      <c r="F201" s="84">
        <v>45782</v>
      </c>
      <c r="G201" s="82" t="s">
        <v>26</v>
      </c>
      <c r="H201" s="11" t="s">
        <v>157</v>
      </c>
      <c r="I201" s="69" t="s">
        <v>4537</v>
      </c>
      <c r="J201" s="78"/>
      <c r="K201" s="78">
        <v>51000</v>
      </c>
      <c r="L201" s="83">
        <v>-51000</v>
      </c>
    </row>
    <row r="202" spans="1:12" x14ac:dyDescent="0.25">
      <c r="A202" s="81">
        <v>45705</v>
      </c>
      <c r="B202" s="67" t="s">
        <v>4465</v>
      </c>
      <c r="C202" s="11" t="s">
        <v>4497</v>
      </c>
      <c r="D202" s="82" t="s">
        <v>4498</v>
      </c>
      <c r="E202" s="82" t="s">
        <v>1026</v>
      </c>
      <c r="F202" s="84">
        <v>45789</v>
      </c>
      <c r="G202" s="82" t="s">
        <v>26</v>
      </c>
      <c r="H202" s="11" t="s">
        <v>157</v>
      </c>
      <c r="I202" s="69" t="s">
        <v>4538</v>
      </c>
      <c r="J202" s="78"/>
      <c r="K202" s="78">
        <v>51000</v>
      </c>
      <c r="L202" s="83">
        <v>-51000</v>
      </c>
    </row>
    <row r="203" spans="1:12" x14ac:dyDescent="0.25">
      <c r="A203" s="81">
        <v>45705</v>
      </c>
      <c r="B203" s="67" t="s">
        <v>4465</v>
      </c>
      <c r="C203" s="11" t="s">
        <v>4497</v>
      </c>
      <c r="D203" s="82" t="s">
        <v>4498</v>
      </c>
      <c r="E203" s="82" t="s">
        <v>1026</v>
      </c>
      <c r="F203" s="84">
        <v>45794</v>
      </c>
      <c r="G203" s="82" t="s">
        <v>26</v>
      </c>
      <c r="H203" s="11" t="s">
        <v>160</v>
      </c>
      <c r="I203" s="69" t="s">
        <v>4539</v>
      </c>
      <c r="J203" s="78"/>
      <c r="K203" s="78">
        <v>27000</v>
      </c>
      <c r="L203" s="83">
        <v>-27000</v>
      </c>
    </row>
    <row r="204" spans="1:12" x14ac:dyDescent="0.25">
      <c r="A204" s="81">
        <v>45705</v>
      </c>
      <c r="B204" s="67" t="s">
        <v>4465</v>
      </c>
      <c r="C204" s="11" t="s">
        <v>4497</v>
      </c>
      <c r="D204" s="82" t="s">
        <v>4498</v>
      </c>
      <c r="E204" s="82" t="s">
        <v>1026</v>
      </c>
      <c r="F204" s="84">
        <v>45808</v>
      </c>
      <c r="G204" s="82" t="s">
        <v>26</v>
      </c>
      <c r="H204" s="11" t="s">
        <v>160</v>
      </c>
      <c r="I204" s="69" t="s">
        <v>4540</v>
      </c>
      <c r="J204" s="78"/>
      <c r="K204" s="78">
        <v>27990</v>
      </c>
      <c r="L204" s="83">
        <v>-27990</v>
      </c>
    </row>
    <row r="205" spans="1:12" x14ac:dyDescent="0.25">
      <c r="A205" s="81">
        <v>45705</v>
      </c>
      <c r="B205" s="67" t="s">
        <v>4478</v>
      </c>
      <c r="C205" s="11" t="s">
        <v>4495</v>
      </c>
      <c r="D205" s="82" t="s">
        <v>4498</v>
      </c>
      <c r="E205" s="82" t="s">
        <v>1026</v>
      </c>
      <c r="F205" s="84">
        <v>45698</v>
      </c>
      <c r="G205" s="82" t="s">
        <v>26</v>
      </c>
      <c r="H205" s="11" t="s">
        <v>157</v>
      </c>
      <c r="I205" s="69" t="s">
        <v>145</v>
      </c>
      <c r="J205" s="78">
        <v>60850.51</v>
      </c>
      <c r="K205" s="78"/>
      <c r="L205" s="83">
        <v>60850.51</v>
      </c>
    </row>
    <row r="206" spans="1:12" x14ac:dyDescent="0.25">
      <c r="A206" s="81">
        <v>45705</v>
      </c>
      <c r="B206" s="69" t="s">
        <v>66</v>
      </c>
      <c r="C206" s="11" t="s">
        <v>4495</v>
      </c>
      <c r="D206" s="82" t="s">
        <v>4498</v>
      </c>
      <c r="E206" s="82" t="s">
        <v>1026</v>
      </c>
      <c r="F206" s="84">
        <v>45700</v>
      </c>
      <c r="G206" s="82" t="s">
        <v>26</v>
      </c>
      <c r="H206" s="11" t="s">
        <v>157</v>
      </c>
      <c r="I206" s="69" t="s">
        <v>144</v>
      </c>
      <c r="J206" s="78">
        <v>75450</v>
      </c>
      <c r="K206" s="78"/>
      <c r="L206" s="83">
        <v>75450</v>
      </c>
    </row>
    <row r="207" spans="1:12" x14ac:dyDescent="0.25">
      <c r="A207" s="81">
        <v>45705</v>
      </c>
      <c r="B207" s="69" t="s">
        <v>149</v>
      </c>
      <c r="C207" s="11" t="s">
        <v>4495</v>
      </c>
      <c r="D207" s="82" t="s">
        <v>4498</v>
      </c>
      <c r="E207" s="82" t="s">
        <v>1026</v>
      </c>
      <c r="F207" s="84">
        <v>45701</v>
      </c>
      <c r="G207" s="82" t="s">
        <v>26</v>
      </c>
      <c r="H207" s="11" t="s">
        <v>157</v>
      </c>
      <c r="I207" s="69" t="s">
        <v>4541</v>
      </c>
      <c r="J207" s="78">
        <v>37500</v>
      </c>
      <c r="K207" s="78"/>
      <c r="L207" s="83">
        <v>37500</v>
      </c>
    </row>
    <row r="208" spans="1:12" x14ac:dyDescent="0.25">
      <c r="A208" s="81">
        <v>45707</v>
      </c>
      <c r="B208" s="69" t="s">
        <v>140</v>
      </c>
      <c r="C208" s="11" t="s">
        <v>4497</v>
      </c>
      <c r="D208" s="82" t="s">
        <v>4447</v>
      </c>
      <c r="E208" s="82" t="s">
        <v>912</v>
      </c>
      <c r="F208" s="84">
        <v>45707</v>
      </c>
      <c r="G208" s="82" t="s">
        <v>26</v>
      </c>
      <c r="H208" s="11" t="s">
        <v>160</v>
      </c>
      <c r="I208" s="69" t="s">
        <v>4534</v>
      </c>
      <c r="J208" s="78"/>
      <c r="K208" s="78">
        <v>50000</v>
      </c>
      <c r="L208" s="83">
        <v>-50000</v>
      </c>
    </row>
    <row r="209" spans="1:12" x14ac:dyDescent="0.25">
      <c r="A209" s="81">
        <v>45709</v>
      </c>
      <c r="B209" s="67" t="s">
        <v>41</v>
      </c>
      <c r="C209" s="11" t="s">
        <v>4497</v>
      </c>
      <c r="D209" s="82" t="s">
        <v>4447</v>
      </c>
      <c r="E209" s="82" t="s">
        <v>912</v>
      </c>
      <c r="F209" s="84">
        <v>45709</v>
      </c>
      <c r="G209" s="82" t="s">
        <v>26</v>
      </c>
      <c r="H209" s="11" t="s">
        <v>160</v>
      </c>
      <c r="I209" s="69" t="s">
        <v>4534</v>
      </c>
      <c r="J209" s="78"/>
      <c r="K209" s="78">
        <v>13700</v>
      </c>
      <c r="L209" s="83">
        <v>-13700</v>
      </c>
    </row>
    <row r="210" spans="1:12" x14ac:dyDescent="0.25">
      <c r="A210" s="81">
        <v>45709</v>
      </c>
      <c r="B210" s="67" t="s">
        <v>41</v>
      </c>
      <c r="C210" s="11" t="s">
        <v>4497</v>
      </c>
      <c r="D210" s="82" t="s">
        <v>4447</v>
      </c>
      <c r="E210" s="82" t="s">
        <v>4503</v>
      </c>
      <c r="F210" s="84">
        <v>45708</v>
      </c>
      <c r="G210" s="82" t="s">
        <v>26</v>
      </c>
      <c r="H210" s="11" t="s">
        <v>160</v>
      </c>
      <c r="I210" s="69" t="s">
        <v>4542</v>
      </c>
      <c r="J210" s="78"/>
      <c r="K210" s="78">
        <v>6300</v>
      </c>
      <c r="L210" s="83">
        <v>-6300</v>
      </c>
    </row>
    <row r="211" spans="1:12" x14ac:dyDescent="0.25">
      <c r="A211" s="81">
        <v>45709</v>
      </c>
      <c r="B211" s="69" t="s">
        <v>149</v>
      </c>
      <c r="C211" s="11" t="s">
        <v>4495</v>
      </c>
      <c r="D211" s="82" t="s">
        <v>4498</v>
      </c>
      <c r="E211" s="82" t="s">
        <v>1026</v>
      </c>
      <c r="F211" s="84">
        <v>45707</v>
      </c>
      <c r="G211" s="82" t="s">
        <v>26</v>
      </c>
      <c r="H211" s="11" t="s">
        <v>157</v>
      </c>
      <c r="I211" s="69" t="s">
        <v>6346</v>
      </c>
      <c r="J211" s="78">
        <v>38189.949999999997</v>
      </c>
      <c r="K211" s="78"/>
      <c r="L211" s="83">
        <v>38189.949999999997</v>
      </c>
    </row>
    <row r="212" spans="1:12" x14ac:dyDescent="0.25">
      <c r="A212" s="81">
        <v>45709</v>
      </c>
      <c r="B212" s="69" t="s">
        <v>146</v>
      </c>
      <c r="C212" s="11" t="s">
        <v>4497</v>
      </c>
      <c r="D212" s="82" t="s">
        <v>4498</v>
      </c>
      <c r="E212" s="82" t="s">
        <v>919</v>
      </c>
      <c r="F212" s="84">
        <v>45709</v>
      </c>
      <c r="G212" s="82" t="s">
        <v>26</v>
      </c>
      <c r="H212" s="11" t="s">
        <v>157</v>
      </c>
      <c r="I212" s="69" t="s">
        <v>4435</v>
      </c>
      <c r="J212" s="78"/>
      <c r="K212" s="78">
        <v>51330.93</v>
      </c>
      <c r="L212" s="83">
        <v>-51330.93</v>
      </c>
    </row>
    <row r="213" spans="1:12" x14ac:dyDescent="0.25">
      <c r="A213" s="81">
        <v>45712</v>
      </c>
      <c r="B213" s="69" t="s">
        <v>163</v>
      </c>
      <c r="C213" s="11" t="s">
        <v>4497</v>
      </c>
      <c r="D213" s="82" t="s">
        <v>4447</v>
      </c>
      <c r="E213" s="82" t="s">
        <v>912</v>
      </c>
      <c r="F213" s="84">
        <v>45712</v>
      </c>
      <c r="G213" s="82" t="s">
        <v>26</v>
      </c>
      <c r="H213" s="11" t="s">
        <v>160</v>
      </c>
      <c r="I213" s="69" t="s">
        <v>4534</v>
      </c>
      <c r="J213" s="78"/>
      <c r="K213" s="78">
        <v>50000</v>
      </c>
      <c r="L213" s="83">
        <v>-50000</v>
      </c>
    </row>
    <row r="214" spans="1:12" x14ac:dyDescent="0.25">
      <c r="A214" s="81">
        <v>45713</v>
      </c>
      <c r="B214" s="69" t="s">
        <v>140</v>
      </c>
      <c r="C214" s="11" t="s">
        <v>4497</v>
      </c>
      <c r="D214" s="82" t="s">
        <v>4447</v>
      </c>
      <c r="E214" s="82" t="s">
        <v>4503</v>
      </c>
      <c r="F214" s="84">
        <v>45719</v>
      </c>
      <c r="G214" s="82" t="s">
        <v>26</v>
      </c>
      <c r="H214" s="11" t="s">
        <v>160</v>
      </c>
      <c r="I214" s="69" t="s">
        <v>6681</v>
      </c>
      <c r="J214" s="78"/>
      <c r="K214" s="78">
        <v>50000</v>
      </c>
      <c r="L214" s="83">
        <v>-50000</v>
      </c>
    </row>
    <row r="215" spans="1:12" x14ac:dyDescent="0.25">
      <c r="A215" s="81">
        <v>45713</v>
      </c>
      <c r="B215" s="69" t="s">
        <v>140</v>
      </c>
      <c r="C215" s="11" t="s">
        <v>4497</v>
      </c>
      <c r="D215" s="82" t="s">
        <v>4447</v>
      </c>
      <c r="E215" s="82" t="s">
        <v>4503</v>
      </c>
      <c r="F215" s="84">
        <v>45723</v>
      </c>
      <c r="G215" s="82" t="s">
        <v>26</v>
      </c>
      <c r="H215" s="11" t="s">
        <v>160</v>
      </c>
      <c r="I215" s="69" t="s">
        <v>6682</v>
      </c>
      <c r="J215" s="78"/>
      <c r="K215" s="78">
        <v>50000</v>
      </c>
      <c r="L215" s="83">
        <v>-50000</v>
      </c>
    </row>
    <row r="216" spans="1:12" x14ac:dyDescent="0.25">
      <c r="A216" s="81">
        <v>45713</v>
      </c>
      <c r="B216" s="69" t="s">
        <v>141</v>
      </c>
      <c r="C216" s="11" t="s">
        <v>4497</v>
      </c>
      <c r="D216" s="82" t="s">
        <v>4447</v>
      </c>
      <c r="E216" s="82" t="s">
        <v>912</v>
      </c>
      <c r="F216" s="84">
        <v>45713</v>
      </c>
      <c r="G216" s="82" t="s">
        <v>26</v>
      </c>
      <c r="H216" s="11" t="s">
        <v>160</v>
      </c>
      <c r="I216" s="69" t="s">
        <v>4534</v>
      </c>
      <c r="J216" s="78"/>
      <c r="K216" s="78">
        <v>10000</v>
      </c>
      <c r="L216" s="83">
        <v>-10000</v>
      </c>
    </row>
    <row r="217" spans="1:12" x14ac:dyDescent="0.25">
      <c r="A217" s="81">
        <v>45713</v>
      </c>
      <c r="B217" s="69" t="s">
        <v>45</v>
      </c>
      <c r="C217" s="11" t="s">
        <v>4497</v>
      </c>
      <c r="D217" s="82" t="s">
        <v>4447</v>
      </c>
      <c r="E217" s="82" t="s">
        <v>912</v>
      </c>
      <c r="F217" s="84">
        <v>45713</v>
      </c>
      <c r="G217" s="82" t="s">
        <v>26</v>
      </c>
      <c r="H217" s="11" t="s">
        <v>160</v>
      </c>
      <c r="I217" s="69" t="s">
        <v>4534</v>
      </c>
      <c r="J217" s="78"/>
      <c r="K217" s="78">
        <v>60000</v>
      </c>
      <c r="L217" s="83">
        <v>-60000</v>
      </c>
    </row>
    <row r="218" spans="1:12" x14ac:dyDescent="0.25">
      <c r="A218" s="81">
        <v>45714</v>
      </c>
      <c r="B218" s="69" t="s">
        <v>70</v>
      </c>
      <c r="C218" s="11" t="s">
        <v>4497</v>
      </c>
      <c r="D218" s="82" t="s">
        <v>4447</v>
      </c>
      <c r="E218" s="82" t="s">
        <v>912</v>
      </c>
      <c r="F218" s="84">
        <v>45714</v>
      </c>
      <c r="G218" s="82" t="s">
        <v>26</v>
      </c>
      <c r="H218" s="11" t="s">
        <v>160</v>
      </c>
      <c r="I218" s="69" t="s">
        <v>4534</v>
      </c>
      <c r="J218" s="78"/>
      <c r="K218" s="78">
        <v>50000</v>
      </c>
      <c r="L218" s="83">
        <v>-50000</v>
      </c>
    </row>
    <row r="219" spans="1:12" x14ac:dyDescent="0.25">
      <c r="A219" s="81">
        <v>45714</v>
      </c>
      <c r="B219" s="69" t="s">
        <v>4461</v>
      </c>
      <c r="C219" s="11" t="s">
        <v>4497</v>
      </c>
      <c r="D219" s="82" t="s">
        <v>4447</v>
      </c>
      <c r="E219" s="82" t="s">
        <v>912</v>
      </c>
      <c r="F219" s="84">
        <v>45714</v>
      </c>
      <c r="G219" s="82" t="s">
        <v>26</v>
      </c>
      <c r="H219" s="11" t="s">
        <v>160</v>
      </c>
      <c r="I219" s="69" t="s">
        <v>4534</v>
      </c>
      <c r="J219" s="78"/>
      <c r="K219" s="78">
        <v>15000</v>
      </c>
      <c r="L219" s="83">
        <v>-15000</v>
      </c>
    </row>
    <row r="220" spans="1:12" x14ac:dyDescent="0.25">
      <c r="A220" s="81">
        <v>45714</v>
      </c>
      <c r="B220" s="69" t="s">
        <v>4440</v>
      </c>
      <c r="C220" s="11" t="s">
        <v>4497</v>
      </c>
      <c r="D220" s="82" t="s">
        <v>4498</v>
      </c>
      <c r="E220" s="82" t="s">
        <v>1026</v>
      </c>
      <c r="F220" s="84">
        <v>45808</v>
      </c>
      <c r="G220" s="82" t="s">
        <v>26</v>
      </c>
      <c r="H220" s="11" t="s">
        <v>157</v>
      </c>
      <c r="I220" s="69" t="s">
        <v>6683</v>
      </c>
      <c r="J220" s="78"/>
      <c r="K220" s="78">
        <v>219218.01</v>
      </c>
      <c r="L220" s="83">
        <v>-219218.01</v>
      </c>
    </row>
    <row r="221" spans="1:12" x14ac:dyDescent="0.25">
      <c r="A221" s="81">
        <v>45714</v>
      </c>
      <c r="B221" s="69" t="s">
        <v>4440</v>
      </c>
      <c r="C221" s="11" t="s">
        <v>4497</v>
      </c>
      <c r="D221" s="82" t="s">
        <v>4498</v>
      </c>
      <c r="E221" s="82" t="s">
        <v>1026</v>
      </c>
      <c r="F221" s="84">
        <v>45808</v>
      </c>
      <c r="G221" s="82" t="s">
        <v>26</v>
      </c>
      <c r="H221" s="11" t="s">
        <v>157</v>
      </c>
      <c r="I221" s="69" t="s">
        <v>6684</v>
      </c>
      <c r="J221" s="78"/>
      <c r="K221" s="78">
        <v>219218.01</v>
      </c>
      <c r="L221" s="83">
        <v>-219218.01</v>
      </c>
    </row>
    <row r="222" spans="1:12" x14ac:dyDescent="0.25">
      <c r="A222" s="81">
        <v>45714</v>
      </c>
      <c r="B222" s="69" t="s">
        <v>4465</v>
      </c>
      <c r="C222" s="11" t="s">
        <v>4502</v>
      </c>
      <c r="D222" s="82" t="s">
        <v>4498</v>
      </c>
      <c r="E222" s="82" t="s">
        <v>1026</v>
      </c>
      <c r="F222" s="84">
        <v>45688</v>
      </c>
      <c r="G222" s="82" t="s">
        <v>26</v>
      </c>
      <c r="H222" s="11" t="s">
        <v>160</v>
      </c>
      <c r="I222" s="69" t="s">
        <v>6685</v>
      </c>
      <c r="J222" s="78">
        <v>63670.52</v>
      </c>
      <c r="K222" s="78"/>
      <c r="L222" s="83">
        <v>63670.52</v>
      </c>
    </row>
    <row r="223" spans="1:12" x14ac:dyDescent="0.25">
      <c r="A223" s="81">
        <v>45714</v>
      </c>
      <c r="B223" s="69" t="s">
        <v>4465</v>
      </c>
      <c r="C223" s="11" t="s">
        <v>4497</v>
      </c>
      <c r="D223" s="82" t="s">
        <v>4498</v>
      </c>
      <c r="E223" s="82" t="s">
        <v>912</v>
      </c>
      <c r="F223" s="84">
        <v>45714</v>
      </c>
      <c r="G223" s="82" t="s">
        <v>26</v>
      </c>
      <c r="H223" s="11" t="s">
        <v>160</v>
      </c>
      <c r="I223" s="69" t="s">
        <v>6686</v>
      </c>
      <c r="J223" s="78"/>
      <c r="K223" s="78">
        <v>63670.52</v>
      </c>
      <c r="L223" s="83">
        <v>-63670.52</v>
      </c>
    </row>
    <row r="224" spans="1:12" x14ac:dyDescent="0.25">
      <c r="A224" s="81">
        <v>45715</v>
      </c>
      <c r="B224" s="69" t="s">
        <v>146</v>
      </c>
      <c r="C224" s="11" t="s">
        <v>4497</v>
      </c>
      <c r="D224" s="82" t="s">
        <v>4498</v>
      </c>
      <c r="E224" s="82" t="s">
        <v>919</v>
      </c>
      <c r="F224" s="84">
        <v>45715</v>
      </c>
      <c r="G224" s="82" t="s">
        <v>26</v>
      </c>
      <c r="H224" s="11" t="s">
        <v>157</v>
      </c>
      <c r="I224" s="69" t="s">
        <v>4435</v>
      </c>
      <c r="J224" s="78"/>
      <c r="K224" s="78">
        <v>60000</v>
      </c>
      <c r="L224" s="83">
        <v>-60000</v>
      </c>
    </row>
    <row r="225" spans="1:12" x14ac:dyDescent="0.25">
      <c r="A225" s="81"/>
      <c r="B225" s="69"/>
      <c r="C225" s="11"/>
      <c r="D225" s="82"/>
      <c r="E225" s="82"/>
      <c r="F225" s="84"/>
      <c r="G225" s="82"/>
      <c r="H225" s="11"/>
      <c r="I225" s="69"/>
      <c r="J225" s="78"/>
      <c r="K225" s="78"/>
      <c r="L225" s="83"/>
    </row>
    <row r="226" spans="1:12" x14ac:dyDescent="0.25">
      <c r="A226" s="81"/>
      <c r="B226" s="69"/>
      <c r="C226" s="11"/>
      <c r="D226" s="82"/>
      <c r="E226" s="82"/>
      <c r="F226" s="84"/>
      <c r="G226" s="82"/>
      <c r="H226" s="11"/>
      <c r="I226" s="69"/>
      <c r="J226" s="78"/>
      <c r="K226" s="78"/>
      <c r="L226" s="83"/>
    </row>
    <row r="227" spans="1:12" x14ac:dyDescent="0.25">
      <c r="A227" s="81"/>
      <c r="B227" s="69"/>
      <c r="C227" s="11"/>
      <c r="D227" s="82"/>
      <c r="E227" s="82"/>
      <c r="F227" s="84"/>
      <c r="G227" s="82"/>
      <c r="H227" s="11"/>
      <c r="I227" s="69"/>
      <c r="J227" s="78"/>
      <c r="K227" s="78"/>
      <c r="L227" s="83"/>
    </row>
    <row r="228" spans="1:12" x14ac:dyDescent="0.25">
      <c r="A228" s="81"/>
      <c r="B228" s="69"/>
      <c r="C228" s="11"/>
      <c r="D228" s="82"/>
      <c r="E228" s="82"/>
      <c r="F228" s="84"/>
      <c r="G228" s="82"/>
      <c r="H228" s="11"/>
      <c r="I228" s="69"/>
      <c r="J228" s="78"/>
      <c r="K228" s="78"/>
      <c r="L228" s="83"/>
    </row>
    <row r="229" spans="1:12" x14ac:dyDescent="0.25">
      <c r="A229" s="81"/>
      <c r="B229" s="69"/>
      <c r="C229" s="11"/>
      <c r="D229" s="82"/>
      <c r="E229" s="82"/>
      <c r="F229" s="84"/>
      <c r="G229" s="82"/>
      <c r="H229" s="11"/>
      <c r="I229" s="69"/>
      <c r="J229" s="78"/>
      <c r="K229" s="78"/>
      <c r="L229" s="83"/>
    </row>
    <row r="230" spans="1:12" x14ac:dyDescent="0.25">
      <c r="A230" s="81"/>
      <c r="B230" s="69"/>
      <c r="C230" s="11"/>
      <c r="D230" s="82"/>
      <c r="E230" s="82"/>
      <c r="F230" s="84"/>
      <c r="G230" s="82"/>
      <c r="H230" s="11"/>
      <c r="I230" s="69"/>
      <c r="J230" s="78"/>
      <c r="K230" s="78"/>
      <c r="L230" s="83"/>
    </row>
    <row r="231" spans="1:12" x14ac:dyDescent="0.25">
      <c r="A231" s="81"/>
      <c r="B231" s="69"/>
      <c r="C231" s="11"/>
      <c r="D231" s="82"/>
      <c r="E231" s="82"/>
      <c r="F231" s="84"/>
      <c r="G231" s="82"/>
      <c r="H231" s="11"/>
      <c r="I231" s="69"/>
      <c r="J231" s="78"/>
      <c r="K231" s="78"/>
      <c r="L231" s="83"/>
    </row>
    <row r="232" spans="1:12" x14ac:dyDescent="0.25">
      <c r="A232" s="81"/>
      <c r="B232" s="69"/>
      <c r="C232" s="11"/>
      <c r="D232" s="82"/>
      <c r="E232" s="82"/>
      <c r="F232" s="84"/>
      <c r="G232" s="82"/>
      <c r="H232" s="11"/>
      <c r="I232" s="69"/>
      <c r="J232" s="78"/>
      <c r="K232" s="78"/>
      <c r="L232" s="83"/>
    </row>
    <row r="233" spans="1:12" x14ac:dyDescent="0.25">
      <c r="A233" s="81"/>
      <c r="B233" s="69"/>
      <c r="C233" s="11"/>
      <c r="D233" s="82"/>
      <c r="E233" s="82"/>
      <c r="F233" s="84"/>
      <c r="G233" s="82"/>
      <c r="H233" s="11"/>
      <c r="I233" s="69"/>
      <c r="J233" s="78"/>
      <c r="K233" s="78"/>
      <c r="L233" s="83"/>
    </row>
    <row r="234" spans="1:12" x14ac:dyDescent="0.25">
      <c r="A234" s="81"/>
      <c r="B234" s="69"/>
      <c r="C234" s="11"/>
      <c r="D234" s="82"/>
      <c r="E234" s="82"/>
      <c r="F234" s="84"/>
      <c r="G234" s="82"/>
      <c r="H234" s="11"/>
      <c r="I234" s="69"/>
      <c r="J234" s="78"/>
      <c r="K234" s="78"/>
      <c r="L234" s="83"/>
    </row>
    <row r="235" spans="1:12" x14ac:dyDescent="0.25">
      <c r="A235" s="81"/>
      <c r="B235" s="69"/>
      <c r="C235" s="11"/>
      <c r="D235" s="82"/>
      <c r="E235" s="82"/>
      <c r="F235" s="84"/>
      <c r="G235" s="82"/>
      <c r="H235" s="11"/>
      <c r="I235" s="69"/>
      <c r="J235" s="78"/>
      <c r="K235" s="78"/>
      <c r="L235" s="83"/>
    </row>
    <row r="236" spans="1:12" x14ac:dyDescent="0.25">
      <c r="A236" s="81"/>
      <c r="B236" s="69"/>
      <c r="C236" s="11"/>
      <c r="D236" s="82"/>
      <c r="E236" s="82"/>
      <c r="F236" s="84"/>
      <c r="G236" s="82"/>
      <c r="H236" s="11"/>
      <c r="I236" s="69"/>
      <c r="J236" s="78"/>
      <c r="K236" s="78"/>
      <c r="L236" s="83"/>
    </row>
    <row r="237" spans="1:12" x14ac:dyDescent="0.25">
      <c r="A237" s="81"/>
      <c r="B237" s="69"/>
      <c r="C237" s="11"/>
      <c r="D237" s="82"/>
      <c r="E237" s="82"/>
      <c r="F237" s="84"/>
      <c r="G237" s="82"/>
      <c r="H237" s="11"/>
      <c r="I237" s="69"/>
      <c r="J237" s="78"/>
      <c r="K237" s="78"/>
      <c r="L237" s="83"/>
    </row>
    <row r="238" spans="1:12" x14ac:dyDescent="0.25">
      <c r="A238" s="81"/>
      <c r="B238" s="69"/>
      <c r="C238" s="11"/>
      <c r="D238" s="82"/>
      <c r="E238" s="82"/>
      <c r="F238" s="84"/>
      <c r="G238" s="82"/>
      <c r="H238" s="11"/>
      <c r="I238" s="69"/>
      <c r="J238" s="78"/>
      <c r="K238" s="78"/>
      <c r="L238" s="83"/>
    </row>
    <row r="239" spans="1:12" x14ac:dyDescent="0.25">
      <c r="A239" s="81"/>
      <c r="B239" s="69"/>
      <c r="C239" s="11"/>
      <c r="D239" s="82"/>
      <c r="E239" s="82"/>
      <c r="F239" s="84"/>
      <c r="G239" s="82"/>
      <c r="H239" s="11"/>
      <c r="I239" s="69"/>
      <c r="J239" s="78"/>
      <c r="K239" s="78"/>
      <c r="L239" s="83"/>
    </row>
    <row r="240" spans="1:12" x14ac:dyDescent="0.25">
      <c r="A240" s="81"/>
      <c r="B240" s="69"/>
      <c r="C240" s="11"/>
      <c r="D240" s="82"/>
      <c r="E240" s="82"/>
      <c r="F240" s="84"/>
      <c r="G240" s="82"/>
      <c r="H240" s="11"/>
      <c r="I240" s="69"/>
      <c r="J240" s="78"/>
      <c r="K240" s="78"/>
      <c r="L240" s="83"/>
    </row>
    <row r="241" spans="1:12" x14ac:dyDescent="0.25">
      <c r="A241" s="81"/>
      <c r="B241" s="69"/>
      <c r="C241" s="11"/>
      <c r="D241" s="82"/>
      <c r="E241" s="82"/>
      <c r="F241" s="84"/>
      <c r="G241" s="82"/>
      <c r="H241" s="11"/>
      <c r="I241" s="69"/>
      <c r="J241" s="78"/>
      <c r="K241" s="78"/>
      <c r="L241" s="83"/>
    </row>
    <row r="242" spans="1:12" x14ac:dyDescent="0.25">
      <c r="A242" s="81"/>
      <c r="B242" s="69"/>
      <c r="C242" s="11"/>
      <c r="D242" s="82"/>
      <c r="E242" s="82"/>
      <c r="F242" s="84"/>
      <c r="G242" s="82"/>
      <c r="H242" s="11"/>
      <c r="I242" s="69"/>
      <c r="J242" s="78"/>
      <c r="K242" s="78"/>
      <c r="L242" s="83"/>
    </row>
    <row r="243" spans="1:12" x14ac:dyDescent="0.25">
      <c r="A243" s="81"/>
      <c r="B243" s="69"/>
      <c r="C243" s="11"/>
      <c r="D243" s="82"/>
      <c r="E243" s="82"/>
      <c r="F243" s="84"/>
      <c r="G243" s="82"/>
      <c r="H243" s="11"/>
      <c r="I243" s="69"/>
      <c r="J243" s="78"/>
      <c r="K243" s="78"/>
      <c r="L243" s="83"/>
    </row>
    <row r="244" spans="1:12" x14ac:dyDescent="0.25">
      <c r="A244" s="81"/>
      <c r="B244" s="69"/>
      <c r="C244" s="11"/>
      <c r="D244" s="82"/>
      <c r="E244" s="82"/>
      <c r="F244" s="84"/>
      <c r="G244" s="82"/>
      <c r="H244" s="11"/>
      <c r="I244" s="69"/>
      <c r="J244" s="78"/>
      <c r="K244" s="78"/>
      <c r="L244" s="83"/>
    </row>
    <row r="245" spans="1:12" x14ac:dyDescent="0.25">
      <c r="A245" s="81"/>
      <c r="B245" s="69"/>
      <c r="C245" s="11"/>
      <c r="D245" s="82"/>
      <c r="E245" s="82"/>
      <c r="F245" s="84"/>
      <c r="G245" s="82"/>
      <c r="H245" s="11"/>
      <c r="I245" s="69"/>
      <c r="J245" s="78"/>
      <c r="K245" s="78"/>
      <c r="L245" s="83"/>
    </row>
    <row r="246" spans="1:12" x14ac:dyDescent="0.25">
      <c r="A246" s="81"/>
      <c r="B246" s="69"/>
      <c r="C246" s="11"/>
      <c r="D246" s="82"/>
      <c r="E246" s="82"/>
      <c r="F246" s="84"/>
      <c r="G246" s="82"/>
      <c r="H246" s="11"/>
      <c r="I246" s="69"/>
      <c r="J246" s="78"/>
      <c r="K246" s="78"/>
      <c r="L246" s="83"/>
    </row>
    <row r="247" spans="1:12" x14ac:dyDescent="0.25">
      <c r="A247" s="81"/>
      <c r="B247" s="69"/>
      <c r="C247" s="11"/>
      <c r="D247" s="82"/>
      <c r="E247" s="82"/>
      <c r="F247" s="84"/>
      <c r="G247" s="82"/>
      <c r="H247" s="11"/>
      <c r="I247" s="69"/>
      <c r="J247" s="78"/>
      <c r="K247" s="78"/>
      <c r="L247" s="83"/>
    </row>
    <row r="248" spans="1:12" x14ac:dyDescent="0.25">
      <c r="A248" s="81"/>
      <c r="B248" s="69"/>
      <c r="C248" s="11"/>
      <c r="D248" s="82"/>
      <c r="E248" s="82"/>
      <c r="F248" s="84"/>
      <c r="G248" s="82"/>
      <c r="H248" s="11"/>
      <c r="I248" s="69"/>
      <c r="J248" s="78"/>
      <c r="K248" s="78"/>
      <c r="L248" s="83"/>
    </row>
    <row r="249" spans="1:12" x14ac:dyDescent="0.25">
      <c r="A249" s="81"/>
      <c r="B249" s="69"/>
      <c r="C249" s="11"/>
      <c r="D249" s="82"/>
      <c r="E249" s="82"/>
      <c r="F249" s="84"/>
      <c r="G249" s="82"/>
      <c r="H249" s="11"/>
      <c r="I249" s="69"/>
      <c r="J249" s="78"/>
      <c r="K249" s="78"/>
      <c r="L249" s="83"/>
    </row>
    <row r="250" spans="1:12" x14ac:dyDescent="0.25">
      <c r="A250" s="81"/>
      <c r="B250" s="69"/>
      <c r="C250" s="11"/>
      <c r="D250" s="82"/>
      <c r="E250" s="82"/>
      <c r="F250" s="84"/>
      <c r="G250" s="82"/>
      <c r="H250" s="11"/>
      <c r="I250" s="69"/>
      <c r="J250" s="78"/>
      <c r="K250" s="78"/>
      <c r="L250" s="83"/>
    </row>
    <row r="251" spans="1:12" x14ac:dyDescent="0.25">
      <c r="A251" s="81"/>
      <c r="B251" s="69"/>
      <c r="C251" s="11"/>
      <c r="D251" s="82"/>
      <c r="E251" s="82"/>
      <c r="F251" s="84"/>
      <c r="G251" s="82"/>
      <c r="H251" s="11"/>
      <c r="I251" s="69"/>
      <c r="J251" s="78"/>
      <c r="K251" s="78"/>
      <c r="L251" s="83"/>
    </row>
    <row r="252" spans="1:12" x14ac:dyDescent="0.25">
      <c r="A252" s="81"/>
      <c r="B252" s="69"/>
      <c r="C252" s="11"/>
      <c r="D252" s="82"/>
      <c r="E252" s="82"/>
      <c r="F252" s="84"/>
      <c r="G252" s="82"/>
      <c r="H252" s="11"/>
      <c r="I252" s="69"/>
      <c r="J252" s="78"/>
      <c r="K252" s="78"/>
      <c r="L252" s="83"/>
    </row>
    <row r="253" spans="1:12" x14ac:dyDescent="0.25">
      <c r="A253" s="81"/>
      <c r="B253" s="69"/>
      <c r="C253" s="11"/>
      <c r="D253" s="82"/>
      <c r="E253" s="82"/>
      <c r="F253" s="84"/>
      <c r="G253" s="82"/>
      <c r="H253" s="11"/>
      <c r="I253" s="69"/>
      <c r="J253" s="78"/>
      <c r="K253" s="78"/>
      <c r="L253" s="83"/>
    </row>
    <row r="254" spans="1:12" x14ac:dyDescent="0.25">
      <c r="A254" s="81"/>
      <c r="B254" s="69"/>
      <c r="C254" s="11"/>
      <c r="D254" s="82"/>
      <c r="E254" s="82"/>
      <c r="F254" s="84"/>
      <c r="G254" s="82"/>
      <c r="H254" s="11"/>
      <c r="I254" s="69"/>
      <c r="J254" s="78"/>
      <c r="K254" s="78"/>
      <c r="L254" s="83"/>
    </row>
    <row r="255" spans="1:12" x14ac:dyDescent="0.25">
      <c r="A255" s="81"/>
      <c r="B255" s="69"/>
      <c r="C255" s="11"/>
      <c r="D255" s="82"/>
      <c r="E255" s="82"/>
      <c r="F255" s="84"/>
      <c r="G255" s="82"/>
      <c r="H255" s="11"/>
      <c r="I255" s="69"/>
      <c r="J255" s="78"/>
      <c r="K255" s="78"/>
      <c r="L255" s="83"/>
    </row>
    <row r="256" spans="1:12" x14ac:dyDescent="0.25">
      <c r="A256" s="81"/>
      <c r="B256" s="69"/>
      <c r="C256" s="11"/>
      <c r="D256" s="82"/>
      <c r="E256" s="82"/>
      <c r="F256" s="84"/>
      <c r="G256" s="82"/>
      <c r="H256" s="11"/>
      <c r="I256" s="69"/>
      <c r="J256" s="78"/>
      <c r="K256" s="78"/>
      <c r="L256" s="83"/>
    </row>
    <row r="257" spans="1:12" x14ac:dyDescent="0.25">
      <c r="A257" s="81"/>
      <c r="B257" s="69"/>
      <c r="C257" s="11"/>
      <c r="D257" s="82"/>
      <c r="E257" s="82"/>
      <c r="F257" s="84"/>
      <c r="G257" s="82"/>
      <c r="H257" s="11"/>
      <c r="I257" s="69"/>
      <c r="J257" s="78"/>
      <c r="K257" s="78"/>
      <c r="L257" s="83"/>
    </row>
    <row r="258" spans="1:12" x14ac:dyDescent="0.25">
      <c r="A258" s="81"/>
      <c r="B258" s="69"/>
      <c r="C258" s="11"/>
      <c r="D258" s="82"/>
      <c r="E258" s="82"/>
      <c r="F258" s="84"/>
      <c r="G258" s="82"/>
      <c r="H258" s="11"/>
      <c r="I258" s="69"/>
      <c r="J258" s="78"/>
      <c r="K258" s="78"/>
      <c r="L258" s="83"/>
    </row>
    <row r="259" spans="1:12" x14ac:dyDescent="0.25">
      <c r="A259" s="81"/>
      <c r="B259" s="69"/>
      <c r="C259" s="11"/>
      <c r="D259" s="82"/>
      <c r="E259" s="82"/>
      <c r="F259" s="84"/>
      <c r="G259" s="82"/>
      <c r="H259" s="11"/>
      <c r="I259" s="69"/>
      <c r="J259" s="78"/>
      <c r="K259" s="78"/>
      <c r="L259" s="83"/>
    </row>
    <row r="260" spans="1:12" x14ac:dyDescent="0.25">
      <c r="A260" s="81"/>
      <c r="B260" s="69"/>
      <c r="C260" s="11"/>
      <c r="D260" s="82"/>
      <c r="E260" s="82"/>
      <c r="F260" s="84"/>
      <c r="G260" s="82"/>
      <c r="H260" s="11"/>
      <c r="I260" s="69"/>
      <c r="J260" s="78"/>
      <c r="K260" s="78"/>
      <c r="L260" s="83"/>
    </row>
    <row r="261" spans="1:12" x14ac:dyDescent="0.25">
      <c r="A261" s="81"/>
      <c r="B261" s="69"/>
      <c r="C261" s="11"/>
      <c r="D261" s="82"/>
      <c r="E261" s="82"/>
      <c r="F261" s="84"/>
      <c r="G261" s="82"/>
      <c r="H261" s="11"/>
      <c r="I261" s="69"/>
      <c r="J261" s="78"/>
      <c r="K261" s="78"/>
      <c r="L261" s="83"/>
    </row>
    <row r="262" spans="1:12" x14ac:dyDescent="0.25">
      <c r="A262" s="81"/>
      <c r="B262" s="69"/>
      <c r="C262" s="11"/>
      <c r="D262" s="82"/>
      <c r="E262" s="82"/>
      <c r="F262" s="84"/>
      <c r="G262" s="82"/>
      <c r="H262" s="11"/>
      <c r="I262" s="69"/>
      <c r="J262" s="78"/>
      <c r="K262" s="78"/>
      <c r="L262" s="83"/>
    </row>
    <row r="263" spans="1:12" x14ac:dyDescent="0.25">
      <c r="A263" s="81"/>
      <c r="B263" s="69"/>
      <c r="C263" s="11"/>
      <c r="D263" s="82"/>
      <c r="E263" s="82"/>
      <c r="F263" s="84"/>
      <c r="G263" s="82"/>
      <c r="H263" s="11"/>
      <c r="I263" s="69"/>
      <c r="J263" s="78"/>
      <c r="K263" s="78"/>
      <c r="L263" s="83"/>
    </row>
    <row r="264" spans="1:12" x14ac:dyDescent="0.25">
      <c r="A264" s="81"/>
      <c r="B264" s="69"/>
      <c r="C264" s="11"/>
      <c r="D264" s="82"/>
      <c r="E264" s="82"/>
      <c r="F264" s="84"/>
      <c r="G264" s="82"/>
      <c r="H264" s="11"/>
      <c r="I264" s="69"/>
      <c r="J264" s="78"/>
      <c r="K264" s="78"/>
      <c r="L264" s="83"/>
    </row>
    <row r="265" spans="1:12" x14ac:dyDescent="0.25">
      <c r="A265" s="81"/>
      <c r="B265" s="69"/>
      <c r="C265" s="11"/>
      <c r="D265" s="82"/>
      <c r="E265" s="82"/>
      <c r="F265" s="84"/>
      <c r="G265" s="82"/>
      <c r="H265" s="11"/>
      <c r="I265" s="69"/>
      <c r="J265" s="78"/>
      <c r="K265" s="78"/>
      <c r="L265" s="83"/>
    </row>
    <row r="266" spans="1:12" x14ac:dyDescent="0.25">
      <c r="A266" s="81"/>
      <c r="B266" s="69"/>
      <c r="C266" s="11"/>
      <c r="D266" s="82"/>
      <c r="E266" s="82"/>
      <c r="F266" s="84"/>
      <c r="G266" s="82"/>
      <c r="H266" s="11"/>
      <c r="I266" s="69"/>
      <c r="J266" s="78"/>
      <c r="K266" s="78"/>
      <c r="L266" s="83"/>
    </row>
    <row r="267" spans="1:12" x14ac:dyDescent="0.25">
      <c r="A267" s="81"/>
      <c r="B267" s="69"/>
      <c r="C267" s="11"/>
      <c r="D267" s="82"/>
      <c r="E267" s="82"/>
      <c r="F267" s="84"/>
      <c r="G267" s="82"/>
      <c r="H267" s="11"/>
      <c r="I267" s="69"/>
      <c r="J267" s="78"/>
      <c r="K267" s="78"/>
      <c r="L267" s="83"/>
    </row>
    <row r="268" spans="1:12" x14ac:dyDescent="0.25">
      <c r="A268" s="81"/>
      <c r="B268" s="69"/>
      <c r="C268" s="11"/>
      <c r="D268" s="82"/>
      <c r="E268" s="82"/>
      <c r="F268" s="84"/>
      <c r="G268" s="82"/>
      <c r="H268" s="11"/>
      <c r="I268" s="69"/>
      <c r="J268" s="78"/>
      <c r="K268" s="78"/>
      <c r="L268" s="83"/>
    </row>
    <row r="269" spans="1:12" x14ac:dyDescent="0.25">
      <c r="A269" s="81"/>
      <c r="B269" s="69"/>
      <c r="C269" s="11"/>
      <c r="D269" s="82"/>
      <c r="E269" s="82"/>
      <c r="F269" s="84"/>
      <c r="G269" s="82"/>
      <c r="H269" s="11"/>
      <c r="I269" s="69"/>
      <c r="J269" s="78"/>
      <c r="K269" s="78"/>
      <c r="L269" s="83"/>
    </row>
    <row r="270" spans="1:12" x14ac:dyDescent="0.25">
      <c r="A270" s="81"/>
      <c r="B270" s="69"/>
      <c r="C270" s="11"/>
      <c r="D270" s="82"/>
      <c r="E270" s="82"/>
      <c r="F270" s="84"/>
      <c r="G270" s="82"/>
      <c r="H270" s="11"/>
      <c r="I270" s="69"/>
      <c r="J270" s="78"/>
      <c r="K270" s="78"/>
      <c r="L270" s="83"/>
    </row>
    <row r="271" spans="1:12" x14ac:dyDescent="0.25">
      <c r="A271" s="81"/>
      <c r="B271" s="69"/>
      <c r="C271" s="11"/>
      <c r="D271" s="82"/>
      <c r="E271" s="82"/>
      <c r="F271" s="84"/>
      <c r="G271" s="82"/>
      <c r="H271" s="11"/>
      <c r="I271" s="69"/>
      <c r="J271" s="78"/>
      <c r="K271" s="78"/>
      <c r="L271" s="83"/>
    </row>
    <row r="272" spans="1:12" x14ac:dyDescent="0.25">
      <c r="A272" s="81"/>
      <c r="B272" s="69"/>
      <c r="C272" s="11"/>
      <c r="D272" s="82"/>
      <c r="E272" s="82"/>
      <c r="F272" s="84"/>
      <c r="G272" s="82"/>
      <c r="H272" s="11"/>
      <c r="I272" s="69"/>
      <c r="J272" s="78"/>
      <c r="K272" s="78"/>
      <c r="L272" s="83"/>
    </row>
    <row r="273" spans="1:12" x14ac:dyDescent="0.25">
      <c r="A273" s="81"/>
      <c r="B273" s="69"/>
      <c r="C273" s="11"/>
      <c r="D273" s="82"/>
      <c r="E273" s="82"/>
      <c r="F273" s="84"/>
      <c r="G273" s="82"/>
      <c r="H273" s="11"/>
      <c r="I273" s="69"/>
      <c r="J273" s="78"/>
      <c r="K273" s="78"/>
      <c r="L273" s="83"/>
    </row>
    <row r="274" spans="1:12" x14ac:dyDescent="0.25">
      <c r="A274" s="81"/>
      <c r="B274" s="69"/>
      <c r="C274" s="11"/>
      <c r="D274" s="82"/>
      <c r="E274" s="82"/>
      <c r="F274" s="84"/>
      <c r="G274" s="82"/>
      <c r="H274" s="11"/>
      <c r="I274" s="69"/>
      <c r="J274" s="78"/>
      <c r="K274" s="78"/>
      <c r="L274" s="83"/>
    </row>
    <row r="275" spans="1:12" x14ac:dyDescent="0.25">
      <c r="A275" s="81"/>
      <c r="B275" s="69"/>
      <c r="C275" s="11"/>
      <c r="D275" s="82"/>
      <c r="E275" s="82"/>
      <c r="F275" s="84"/>
      <c r="G275" s="82"/>
      <c r="H275" s="11"/>
      <c r="I275" s="69"/>
      <c r="J275" s="78"/>
      <c r="K275" s="78"/>
      <c r="L275" s="83"/>
    </row>
    <row r="276" spans="1:12" x14ac:dyDescent="0.25">
      <c r="A276" s="81"/>
      <c r="B276" s="69"/>
      <c r="C276" s="11"/>
      <c r="D276" s="82"/>
      <c r="E276" s="82"/>
      <c r="F276" s="84"/>
      <c r="G276" s="82"/>
      <c r="H276" s="11"/>
      <c r="I276" s="69"/>
      <c r="J276" s="78"/>
      <c r="K276" s="78"/>
      <c r="L276" s="83"/>
    </row>
    <row r="277" spans="1:12" x14ac:dyDescent="0.25">
      <c r="A277" s="81"/>
      <c r="B277" s="69"/>
      <c r="C277" s="11"/>
      <c r="D277" s="82"/>
      <c r="E277" s="82"/>
      <c r="F277" s="84"/>
      <c r="G277" s="82"/>
      <c r="H277" s="11"/>
      <c r="I277" s="69"/>
      <c r="J277" s="78"/>
      <c r="K277" s="78"/>
      <c r="L277" s="83"/>
    </row>
    <row r="278" spans="1:12" x14ac:dyDescent="0.25">
      <c r="A278" s="81"/>
      <c r="B278" s="69"/>
      <c r="C278" s="11"/>
      <c r="D278" s="82"/>
      <c r="E278" s="82"/>
      <c r="F278" s="84"/>
      <c r="G278" s="82"/>
      <c r="H278" s="11"/>
      <c r="I278" s="69"/>
      <c r="J278" s="78"/>
      <c r="K278" s="78"/>
      <c r="L278" s="83"/>
    </row>
    <row r="279" spans="1:12" x14ac:dyDescent="0.25">
      <c r="A279" s="81"/>
      <c r="B279" s="69"/>
      <c r="C279" s="11"/>
      <c r="D279" s="82"/>
      <c r="E279" s="82"/>
      <c r="F279" s="84"/>
      <c r="G279" s="82"/>
      <c r="H279" s="11"/>
      <c r="I279" s="69"/>
      <c r="J279" s="78"/>
      <c r="K279" s="78"/>
      <c r="L279" s="83"/>
    </row>
    <row r="280" spans="1:12" x14ac:dyDescent="0.25">
      <c r="A280" s="81"/>
      <c r="B280" s="69"/>
      <c r="C280" s="11"/>
      <c r="D280" s="82"/>
      <c r="E280" s="82"/>
      <c r="F280" s="84"/>
      <c r="G280" s="82"/>
      <c r="H280" s="11"/>
      <c r="I280" s="69"/>
      <c r="J280" s="78"/>
      <c r="K280" s="78"/>
      <c r="L280" s="83"/>
    </row>
    <row r="281" spans="1:12" x14ac:dyDescent="0.25">
      <c r="A281" s="81"/>
      <c r="B281" s="69"/>
      <c r="C281" s="11"/>
      <c r="D281" s="82"/>
      <c r="E281" s="82"/>
      <c r="F281" s="84"/>
      <c r="G281" s="82"/>
      <c r="H281" s="11"/>
      <c r="I281" s="69"/>
      <c r="J281" s="78"/>
      <c r="K281" s="78"/>
      <c r="L281" s="83"/>
    </row>
    <row r="282" spans="1:12" x14ac:dyDescent="0.25">
      <c r="A282" s="81"/>
      <c r="B282" s="69"/>
      <c r="C282" s="11"/>
      <c r="D282" s="82"/>
      <c r="E282" s="82"/>
      <c r="F282" s="84"/>
      <c r="G282" s="82"/>
      <c r="H282" s="11"/>
      <c r="I282" s="69"/>
      <c r="J282" s="78"/>
      <c r="K282" s="78"/>
      <c r="L282" s="83"/>
    </row>
    <row r="283" spans="1:12" x14ac:dyDescent="0.25">
      <c r="A283" s="81"/>
      <c r="B283" s="69"/>
      <c r="C283" s="11"/>
      <c r="D283" s="82"/>
      <c r="E283" s="82"/>
      <c r="F283" s="84"/>
      <c r="G283" s="82"/>
      <c r="H283" s="11"/>
      <c r="I283" s="69"/>
      <c r="J283" s="78"/>
      <c r="K283" s="78"/>
      <c r="L283" s="83"/>
    </row>
    <row r="284" spans="1:12" x14ac:dyDescent="0.25">
      <c r="A284" s="81"/>
      <c r="B284" s="69"/>
      <c r="C284" s="11"/>
      <c r="D284" s="82"/>
      <c r="E284" s="82"/>
      <c r="F284" s="84"/>
      <c r="G284" s="82"/>
      <c r="H284" s="11"/>
      <c r="I284" s="69"/>
      <c r="J284" s="78"/>
      <c r="K284" s="78"/>
      <c r="L284" s="83"/>
    </row>
    <row r="285" spans="1:12" x14ac:dyDescent="0.25">
      <c r="A285" s="81"/>
      <c r="B285" s="69"/>
      <c r="C285" s="11"/>
      <c r="D285" s="82"/>
      <c r="E285" s="82"/>
      <c r="F285" s="84"/>
      <c r="G285" s="82"/>
      <c r="H285" s="11"/>
      <c r="I285" s="69"/>
      <c r="J285" s="78"/>
      <c r="K285" s="78"/>
      <c r="L285" s="83"/>
    </row>
    <row r="286" spans="1:12" x14ac:dyDescent="0.25">
      <c r="A286" s="81"/>
      <c r="B286" s="69"/>
      <c r="C286" s="11"/>
      <c r="D286" s="82"/>
      <c r="E286" s="82"/>
      <c r="F286" s="84"/>
      <c r="G286" s="82"/>
      <c r="H286" s="11"/>
      <c r="I286" s="69"/>
      <c r="J286" s="78"/>
      <c r="K286" s="78"/>
      <c r="L286" s="83"/>
    </row>
    <row r="287" spans="1:12" x14ac:dyDescent="0.25">
      <c r="A287" s="81"/>
      <c r="B287" s="69"/>
      <c r="C287" s="11"/>
      <c r="D287" s="82"/>
      <c r="E287" s="82"/>
      <c r="F287" s="84"/>
      <c r="G287" s="82"/>
      <c r="H287" s="11"/>
      <c r="I287" s="69"/>
      <c r="J287" s="78"/>
      <c r="K287" s="78"/>
      <c r="L287" s="83"/>
    </row>
    <row r="288" spans="1:12" x14ac:dyDescent="0.25">
      <c r="A288" s="81"/>
      <c r="B288" s="69"/>
      <c r="C288" s="11"/>
      <c r="D288" s="82"/>
      <c r="E288" s="82"/>
      <c r="F288" s="84"/>
      <c r="G288" s="82"/>
      <c r="H288" s="11"/>
      <c r="I288" s="69"/>
      <c r="J288" s="78"/>
      <c r="K288" s="78"/>
      <c r="L288" s="83"/>
    </row>
    <row r="289" spans="1:12" x14ac:dyDescent="0.25">
      <c r="A289" s="81"/>
      <c r="B289" s="69"/>
      <c r="C289" s="11"/>
      <c r="D289" s="82"/>
      <c r="E289" s="82"/>
      <c r="F289" s="84"/>
      <c r="G289" s="82"/>
      <c r="H289" s="11"/>
      <c r="I289" s="69"/>
      <c r="J289" s="78"/>
      <c r="K289" s="78"/>
      <c r="L289" s="83"/>
    </row>
    <row r="290" spans="1:12" x14ac:dyDescent="0.25">
      <c r="A290" s="81"/>
      <c r="B290" s="69"/>
      <c r="C290" s="11"/>
      <c r="D290" s="82"/>
      <c r="E290" s="82"/>
      <c r="F290" s="84"/>
      <c r="G290" s="82"/>
      <c r="H290" s="11"/>
      <c r="I290" s="69"/>
      <c r="J290" s="78"/>
      <c r="K290" s="78"/>
      <c r="L290" s="83"/>
    </row>
    <row r="291" spans="1:12" x14ac:dyDescent="0.25">
      <c r="A291" s="81"/>
      <c r="B291" s="69"/>
      <c r="C291" s="11"/>
      <c r="D291" s="82"/>
      <c r="E291" s="82"/>
      <c r="F291" s="84"/>
      <c r="G291" s="82"/>
      <c r="H291" s="11"/>
      <c r="I291" s="69"/>
      <c r="J291" s="78"/>
      <c r="K291" s="78"/>
      <c r="L291" s="83"/>
    </row>
    <row r="292" spans="1:12" x14ac:dyDescent="0.25">
      <c r="A292" s="81"/>
      <c r="B292" s="69"/>
      <c r="C292" s="11"/>
      <c r="D292" s="82"/>
      <c r="E292" s="82"/>
      <c r="F292" s="84"/>
      <c r="G292" s="82"/>
      <c r="H292" s="11"/>
      <c r="I292" s="69"/>
      <c r="J292" s="78"/>
      <c r="K292" s="78"/>
      <c r="L292" s="83"/>
    </row>
    <row r="293" spans="1:12" x14ac:dyDescent="0.25">
      <c r="A293" s="81"/>
      <c r="B293" s="69"/>
      <c r="C293" s="11"/>
      <c r="D293" s="82"/>
      <c r="E293" s="82"/>
      <c r="F293" s="84"/>
      <c r="G293" s="82"/>
      <c r="H293" s="11"/>
      <c r="I293" s="69"/>
      <c r="J293" s="78"/>
      <c r="K293" s="78"/>
      <c r="L293" s="83"/>
    </row>
    <row r="294" spans="1:12" x14ac:dyDescent="0.25">
      <c r="A294" s="81"/>
      <c r="B294" s="69"/>
      <c r="C294" s="11"/>
      <c r="D294" s="82"/>
      <c r="E294" s="82"/>
      <c r="F294" s="84"/>
      <c r="G294" s="82"/>
      <c r="H294" s="11"/>
      <c r="I294" s="69"/>
      <c r="J294" s="78"/>
      <c r="K294" s="78"/>
      <c r="L294" s="83"/>
    </row>
    <row r="295" spans="1:12" x14ac:dyDescent="0.25">
      <c r="A295" s="81"/>
      <c r="B295" s="69"/>
      <c r="C295" s="11"/>
      <c r="D295" s="82"/>
      <c r="E295" s="82"/>
      <c r="F295" s="84"/>
      <c r="G295" s="82"/>
      <c r="H295" s="11"/>
      <c r="I295" s="69"/>
      <c r="J295" s="78"/>
      <c r="K295" s="78"/>
      <c r="L295" s="83"/>
    </row>
    <row r="296" spans="1:12" x14ac:dyDescent="0.25">
      <c r="A296" s="81"/>
      <c r="B296" s="69"/>
      <c r="C296" s="11"/>
      <c r="D296" s="82"/>
      <c r="E296" s="82"/>
      <c r="F296" s="84"/>
      <c r="G296" s="82"/>
      <c r="H296" s="11"/>
      <c r="I296" s="69"/>
      <c r="J296" s="78"/>
      <c r="K296" s="78"/>
      <c r="L296" s="83"/>
    </row>
    <row r="297" spans="1:12" x14ac:dyDescent="0.25">
      <c r="A297" s="81"/>
      <c r="B297" s="69"/>
      <c r="C297" s="11"/>
      <c r="D297" s="82"/>
      <c r="E297" s="82"/>
      <c r="F297" s="84"/>
      <c r="G297" s="82"/>
      <c r="H297" s="11"/>
      <c r="I297" s="69"/>
      <c r="J297" s="78"/>
      <c r="K297" s="78"/>
      <c r="L297" s="83"/>
    </row>
    <row r="298" spans="1:12" x14ac:dyDescent="0.25">
      <c r="A298" s="81"/>
      <c r="B298" s="69"/>
      <c r="C298" s="11"/>
      <c r="D298" s="82"/>
      <c r="E298" s="82"/>
      <c r="F298" s="84"/>
      <c r="G298" s="82"/>
      <c r="H298" s="11"/>
      <c r="I298" s="69"/>
      <c r="J298" s="78"/>
      <c r="K298" s="78"/>
      <c r="L298" s="83"/>
    </row>
    <row r="299" spans="1:12" x14ac:dyDescent="0.25">
      <c r="A299" s="81"/>
      <c r="B299" s="69"/>
      <c r="C299" s="11"/>
      <c r="D299" s="82"/>
      <c r="E299" s="82"/>
      <c r="F299" s="84"/>
      <c r="G299" s="82"/>
      <c r="H299" s="11"/>
      <c r="I299" s="69"/>
      <c r="J299" s="78"/>
      <c r="K299" s="78"/>
      <c r="L299" s="83"/>
    </row>
    <row r="300" spans="1:12" x14ac:dyDescent="0.25">
      <c r="A300" s="81"/>
      <c r="B300" s="69"/>
      <c r="C300" s="11"/>
      <c r="D300" s="82"/>
      <c r="E300" s="82"/>
      <c r="F300" s="84"/>
      <c r="G300" s="82"/>
      <c r="H300" s="11"/>
      <c r="I300" s="69"/>
      <c r="J300" s="78"/>
      <c r="K300" s="78"/>
      <c r="L300" s="83"/>
    </row>
    <row r="301" spans="1:12" x14ac:dyDescent="0.25">
      <c r="A301" s="81"/>
      <c r="B301" s="69"/>
      <c r="C301" s="11"/>
      <c r="D301" s="82"/>
      <c r="E301" s="82"/>
      <c r="F301" s="84"/>
      <c r="G301" s="82"/>
      <c r="H301" s="11"/>
      <c r="I301" s="69"/>
      <c r="J301" s="78"/>
      <c r="K301" s="78"/>
      <c r="L301" s="83"/>
    </row>
    <row r="302" spans="1:12" x14ac:dyDescent="0.25">
      <c r="A302" s="81"/>
      <c r="B302" s="69"/>
      <c r="C302" s="11"/>
      <c r="D302" s="82"/>
      <c r="E302" s="82"/>
      <c r="F302" s="84"/>
      <c r="G302" s="82"/>
      <c r="H302" s="11"/>
      <c r="I302" s="69"/>
      <c r="J302" s="78"/>
      <c r="K302" s="78"/>
      <c r="L302" s="83"/>
    </row>
    <row r="303" spans="1:12" x14ac:dyDescent="0.25">
      <c r="A303" s="81"/>
      <c r="B303" s="69"/>
      <c r="C303" s="11"/>
      <c r="D303" s="82"/>
      <c r="E303" s="82"/>
      <c r="F303" s="84"/>
      <c r="G303" s="82"/>
      <c r="H303" s="11"/>
      <c r="I303" s="69"/>
      <c r="J303" s="78"/>
      <c r="K303" s="78"/>
      <c r="L303" s="83"/>
    </row>
    <row r="304" spans="1:12" x14ac:dyDescent="0.25">
      <c r="A304" s="81"/>
      <c r="B304" s="69"/>
      <c r="C304" s="11"/>
      <c r="D304" s="82"/>
      <c r="E304" s="82"/>
      <c r="F304" s="84"/>
      <c r="G304" s="82"/>
      <c r="H304" s="11"/>
      <c r="I304" s="69"/>
      <c r="J304" s="78"/>
      <c r="K304" s="78"/>
      <c r="L304" s="83"/>
    </row>
    <row r="305" spans="1:12" x14ac:dyDescent="0.25">
      <c r="A305" s="81"/>
      <c r="B305" s="69"/>
      <c r="C305" s="11"/>
      <c r="D305" s="82"/>
      <c r="E305" s="82"/>
      <c r="F305" s="84"/>
      <c r="G305" s="82"/>
      <c r="H305" s="11"/>
      <c r="I305" s="69"/>
      <c r="J305" s="78"/>
      <c r="K305" s="78"/>
      <c r="L305" s="83"/>
    </row>
    <row r="306" spans="1:12" x14ac:dyDescent="0.25">
      <c r="A306" s="81"/>
      <c r="B306" s="69"/>
      <c r="C306" s="11"/>
      <c r="D306" s="82"/>
      <c r="E306" s="82"/>
      <c r="F306" s="84"/>
      <c r="G306" s="82"/>
      <c r="H306" s="11"/>
      <c r="I306" s="69"/>
      <c r="J306" s="78"/>
      <c r="K306" s="78"/>
      <c r="L306" s="83"/>
    </row>
    <row r="307" spans="1:12" x14ac:dyDescent="0.25">
      <c r="A307" s="81"/>
      <c r="B307" s="69"/>
      <c r="C307" s="11"/>
      <c r="D307" s="82"/>
      <c r="E307" s="82"/>
      <c r="F307" s="84"/>
      <c r="G307" s="82"/>
      <c r="H307" s="11"/>
      <c r="I307" s="69"/>
      <c r="J307" s="78"/>
      <c r="K307" s="78"/>
      <c r="L307" s="83"/>
    </row>
    <row r="308" spans="1:12" x14ac:dyDescent="0.25">
      <c r="A308" s="81"/>
      <c r="B308" s="69"/>
      <c r="C308" s="11"/>
      <c r="D308" s="82"/>
      <c r="E308" s="82"/>
      <c r="F308" s="84"/>
      <c r="G308" s="82"/>
      <c r="H308" s="11"/>
      <c r="I308" s="69"/>
      <c r="J308" s="78"/>
      <c r="K308" s="78"/>
      <c r="L308" s="83"/>
    </row>
    <row r="309" spans="1:12" x14ac:dyDescent="0.25">
      <c r="A309" s="81"/>
      <c r="B309" s="69"/>
      <c r="C309" s="11"/>
      <c r="D309" s="82"/>
      <c r="E309" s="82"/>
      <c r="F309" s="84"/>
      <c r="G309" s="82"/>
      <c r="H309" s="11"/>
      <c r="I309" s="69"/>
      <c r="J309" s="78"/>
      <c r="K309" s="78"/>
      <c r="L309" s="83"/>
    </row>
    <row r="310" spans="1:12" x14ac:dyDescent="0.25">
      <c r="A310" s="81"/>
      <c r="B310" s="69"/>
      <c r="C310" s="11"/>
      <c r="D310" s="82"/>
      <c r="E310" s="82"/>
      <c r="F310" s="84"/>
      <c r="G310" s="82"/>
      <c r="H310" s="11"/>
      <c r="I310" s="69"/>
      <c r="J310" s="78"/>
      <c r="K310" s="78"/>
      <c r="L310" s="83"/>
    </row>
    <row r="311" spans="1:12" x14ac:dyDescent="0.25">
      <c r="A311" s="81"/>
      <c r="B311" s="69"/>
      <c r="C311" s="11"/>
      <c r="D311" s="82"/>
      <c r="E311" s="82"/>
      <c r="F311" s="84"/>
      <c r="G311" s="82"/>
      <c r="H311" s="11"/>
      <c r="I311" s="69"/>
      <c r="J311" s="78"/>
      <c r="K311" s="78"/>
      <c r="L311" s="83"/>
    </row>
    <row r="312" spans="1:12" x14ac:dyDescent="0.25">
      <c r="A312" s="81"/>
      <c r="B312" s="69"/>
      <c r="C312" s="11"/>
      <c r="D312" s="82"/>
      <c r="E312" s="82"/>
      <c r="F312" s="84"/>
      <c r="G312" s="82"/>
      <c r="H312" s="11"/>
      <c r="I312" s="69"/>
      <c r="J312" s="78"/>
      <c r="K312" s="78"/>
      <c r="L312" s="83"/>
    </row>
    <row r="313" spans="1:12" x14ac:dyDescent="0.25">
      <c r="A313" s="81"/>
      <c r="B313" s="69"/>
      <c r="C313" s="11"/>
      <c r="D313" s="82"/>
      <c r="E313" s="82"/>
      <c r="F313" s="84"/>
      <c r="G313" s="82"/>
      <c r="H313" s="11"/>
      <c r="I313" s="69"/>
      <c r="J313" s="78"/>
      <c r="K313" s="78"/>
      <c r="L313" s="83"/>
    </row>
    <row r="314" spans="1:12" x14ac:dyDescent="0.25">
      <c r="A314" s="81"/>
      <c r="B314" s="69"/>
      <c r="C314" s="11"/>
      <c r="D314" s="82"/>
      <c r="E314" s="82"/>
      <c r="F314" s="84"/>
      <c r="G314" s="82"/>
      <c r="H314" s="11"/>
      <c r="I314" s="69"/>
      <c r="J314" s="78"/>
      <c r="K314" s="78"/>
      <c r="L314" s="83"/>
    </row>
    <row r="315" spans="1:12" x14ac:dyDescent="0.25">
      <c r="A315" s="81"/>
      <c r="B315" s="69"/>
      <c r="C315" s="11"/>
      <c r="D315" s="82"/>
      <c r="E315" s="82"/>
      <c r="F315" s="84"/>
      <c r="G315" s="82"/>
      <c r="H315" s="11"/>
      <c r="I315" s="69"/>
      <c r="J315" s="78"/>
      <c r="K315" s="78"/>
      <c r="L315" s="83"/>
    </row>
    <row r="316" spans="1:12" x14ac:dyDescent="0.25">
      <c r="A316" s="81"/>
      <c r="B316" s="69"/>
      <c r="C316" s="11"/>
      <c r="D316" s="82"/>
      <c r="E316" s="82"/>
      <c r="F316" s="84"/>
      <c r="G316" s="82"/>
      <c r="H316" s="11"/>
      <c r="I316" s="69"/>
      <c r="J316" s="78"/>
      <c r="K316" s="78"/>
      <c r="L316" s="83"/>
    </row>
    <row r="317" spans="1:12" x14ac:dyDescent="0.25">
      <c r="A317" s="81"/>
      <c r="B317" s="69"/>
      <c r="C317" s="11"/>
      <c r="D317" s="82"/>
      <c r="E317" s="82"/>
      <c r="F317" s="84"/>
      <c r="G317" s="82"/>
      <c r="H317" s="11"/>
      <c r="I317" s="69"/>
      <c r="J317" s="78"/>
      <c r="K317" s="78"/>
      <c r="L317" s="83"/>
    </row>
    <row r="318" spans="1:12" x14ac:dyDescent="0.25">
      <c r="A318" s="81"/>
      <c r="B318" s="69"/>
      <c r="C318" s="11"/>
      <c r="D318" s="82"/>
      <c r="E318" s="82"/>
      <c r="F318" s="84"/>
      <c r="G318" s="82"/>
      <c r="H318" s="11"/>
      <c r="I318" s="69"/>
      <c r="J318" s="78"/>
      <c r="K318" s="78"/>
      <c r="L318" s="83"/>
    </row>
    <row r="319" spans="1:12" x14ac:dyDescent="0.25">
      <c r="A319" s="81"/>
      <c r="B319" s="69"/>
      <c r="C319" s="11"/>
      <c r="D319" s="82"/>
      <c r="E319" s="82"/>
      <c r="F319" s="84"/>
      <c r="G319" s="82"/>
      <c r="H319" s="11"/>
      <c r="I319" s="69"/>
      <c r="J319" s="78"/>
      <c r="K319" s="78"/>
      <c r="L319" s="83"/>
    </row>
    <row r="320" spans="1:12" x14ac:dyDescent="0.25">
      <c r="A320" s="81"/>
      <c r="B320" s="69"/>
      <c r="C320" s="11"/>
      <c r="D320" s="82"/>
      <c r="E320" s="82"/>
      <c r="F320" s="84"/>
      <c r="G320" s="82"/>
      <c r="H320" s="11"/>
      <c r="I320" s="69"/>
      <c r="J320" s="78"/>
      <c r="K320" s="78"/>
      <c r="L320" s="83"/>
    </row>
    <row r="321" spans="1:12" x14ac:dyDescent="0.25">
      <c r="A321" s="81"/>
      <c r="B321" s="69"/>
      <c r="C321" s="11"/>
      <c r="D321" s="82"/>
      <c r="E321" s="82"/>
      <c r="F321" s="84"/>
      <c r="G321" s="82"/>
      <c r="H321" s="11"/>
      <c r="I321" s="69"/>
      <c r="J321" s="78"/>
      <c r="K321" s="78"/>
      <c r="L321" s="83"/>
    </row>
    <row r="322" spans="1:12" x14ac:dyDescent="0.25">
      <c r="A322" s="81"/>
      <c r="B322" s="69"/>
      <c r="C322" s="11"/>
      <c r="D322" s="82"/>
      <c r="E322" s="82"/>
      <c r="F322" s="84"/>
      <c r="G322" s="82"/>
      <c r="H322" s="11"/>
      <c r="I322" s="69"/>
      <c r="J322" s="78"/>
      <c r="K322" s="78"/>
      <c r="L322" s="83"/>
    </row>
    <row r="323" spans="1:12" x14ac:dyDescent="0.25">
      <c r="A323" s="81"/>
      <c r="B323" s="69"/>
      <c r="C323" s="11"/>
      <c r="D323" s="82"/>
      <c r="E323" s="82"/>
      <c r="F323" s="84"/>
      <c r="G323" s="82"/>
      <c r="H323" s="11"/>
      <c r="I323" s="69"/>
      <c r="J323" s="78"/>
      <c r="K323" s="78"/>
      <c r="L323" s="83"/>
    </row>
    <row r="324" spans="1:12" x14ac:dyDescent="0.25">
      <c r="A324" s="81"/>
      <c r="B324" s="69"/>
      <c r="C324" s="11"/>
      <c r="D324" s="82"/>
      <c r="E324" s="82"/>
      <c r="F324" s="84"/>
      <c r="G324" s="82"/>
      <c r="H324" s="11"/>
      <c r="I324" s="69"/>
      <c r="J324" s="78"/>
      <c r="K324" s="78"/>
      <c r="L324" s="83"/>
    </row>
    <row r="325" spans="1:12" x14ac:dyDescent="0.25">
      <c r="A325" s="81"/>
      <c r="B325" s="69"/>
      <c r="C325" s="11"/>
      <c r="D325" s="82"/>
      <c r="E325" s="82"/>
      <c r="F325" s="84"/>
      <c r="G325" s="82"/>
      <c r="H325" s="11"/>
      <c r="I325" s="69"/>
      <c r="J325" s="78"/>
      <c r="K325" s="78"/>
      <c r="L325" s="83"/>
    </row>
    <row r="326" spans="1:12" x14ac:dyDescent="0.25">
      <c r="A326" s="81"/>
      <c r="B326" s="69"/>
      <c r="C326" s="11"/>
      <c r="D326" s="82"/>
      <c r="E326" s="82"/>
      <c r="F326" s="84"/>
      <c r="G326" s="82"/>
      <c r="H326" s="11"/>
      <c r="I326" s="69"/>
      <c r="J326" s="78"/>
      <c r="K326" s="78"/>
      <c r="L326" s="83"/>
    </row>
    <row r="327" spans="1:12" x14ac:dyDescent="0.25">
      <c r="A327" s="81"/>
      <c r="B327" s="69"/>
      <c r="C327" s="11"/>
      <c r="D327" s="82"/>
      <c r="E327" s="82"/>
      <c r="F327" s="84"/>
      <c r="G327" s="82"/>
      <c r="H327" s="11"/>
      <c r="I327" s="69"/>
      <c r="J327" s="78"/>
      <c r="K327" s="78"/>
      <c r="L327" s="83"/>
    </row>
    <row r="328" spans="1:12" x14ac:dyDescent="0.25">
      <c r="A328" s="81"/>
      <c r="B328" s="69"/>
      <c r="C328" s="11"/>
      <c r="D328" s="82"/>
      <c r="E328" s="82"/>
      <c r="F328" s="84"/>
      <c r="G328" s="82"/>
      <c r="H328" s="11"/>
      <c r="I328" s="69"/>
      <c r="J328" s="78"/>
      <c r="K328" s="78"/>
      <c r="L328" s="83"/>
    </row>
    <row r="329" spans="1:12" x14ac:dyDescent="0.25">
      <c r="A329" s="81"/>
      <c r="B329" s="69"/>
      <c r="C329" s="11"/>
      <c r="D329" s="82"/>
      <c r="E329" s="82"/>
      <c r="F329" s="84"/>
      <c r="G329" s="82"/>
      <c r="H329" s="11"/>
      <c r="I329" s="69"/>
      <c r="J329" s="78"/>
      <c r="K329" s="78"/>
      <c r="L329" s="83"/>
    </row>
    <row r="330" spans="1:12" x14ac:dyDescent="0.25">
      <c r="A330" s="81"/>
      <c r="B330" s="69"/>
      <c r="C330" s="11"/>
      <c r="D330" s="82"/>
      <c r="E330" s="82"/>
      <c r="F330" s="84"/>
      <c r="G330" s="82"/>
      <c r="H330" s="11"/>
      <c r="I330" s="69"/>
      <c r="J330" s="78"/>
      <c r="K330" s="78"/>
      <c r="L330" s="83"/>
    </row>
    <row r="331" spans="1:12" x14ac:dyDescent="0.25">
      <c r="A331" s="81"/>
      <c r="B331" s="69"/>
      <c r="C331" s="11"/>
      <c r="D331" s="82"/>
      <c r="E331" s="82"/>
      <c r="F331" s="84"/>
      <c r="G331" s="82"/>
      <c r="H331" s="11"/>
      <c r="I331" s="69"/>
      <c r="J331" s="78"/>
      <c r="K331" s="78"/>
      <c r="L331" s="83"/>
    </row>
    <row r="332" spans="1:12" x14ac:dyDescent="0.25">
      <c r="A332" s="81"/>
      <c r="B332" s="69"/>
      <c r="C332" s="11"/>
      <c r="D332" s="82"/>
      <c r="E332" s="82"/>
      <c r="F332" s="84"/>
      <c r="G332" s="82"/>
      <c r="H332" s="11"/>
      <c r="I332" s="69"/>
      <c r="J332" s="78"/>
      <c r="K332" s="78"/>
      <c r="L332" s="83"/>
    </row>
    <row r="333" spans="1:12" x14ac:dyDescent="0.25">
      <c r="A333" s="81"/>
      <c r="B333" s="69"/>
      <c r="C333" s="11"/>
      <c r="D333" s="82"/>
      <c r="E333" s="82"/>
      <c r="F333" s="84"/>
      <c r="G333" s="82"/>
      <c r="H333" s="11"/>
      <c r="I333" s="69"/>
      <c r="J333" s="78"/>
      <c r="K333" s="78"/>
      <c r="L333" s="83"/>
    </row>
    <row r="334" spans="1:12" x14ac:dyDescent="0.25">
      <c r="A334" s="81"/>
      <c r="B334" s="69"/>
      <c r="C334" s="11"/>
      <c r="D334" s="82"/>
      <c r="E334" s="82"/>
      <c r="F334" s="84"/>
      <c r="G334" s="82"/>
      <c r="H334" s="11"/>
      <c r="I334" s="69"/>
      <c r="J334" s="78"/>
      <c r="K334" s="78"/>
      <c r="L334" s="83"/>
    </row>
    <row r="335" spans="1:12" x14ac:dyDescent="0.25">
      <c r="A335" s="81"/>
      <c r="B335" s="69"/>
      <c r="C335" s="11"/>
      <c r="D335" s="82"/>
      <c r="E335" s="82"/>
      <c r="F335" s="84"/>
      <c r="G335" s="82"/>
      <c r="H335" s="11"/>
      <c r="I335" s="69"/>
      <c r="J335" s="78"/>
      <c r="K335" s="78"/>
      <c r="L335" s="83"/>
    </row>
    <row r="336" spans="1:12" x14ac:dyDescent="0.25">
      <c r="A336" s="81"/>
      <c r="B336" s="69"/>
      <c r="C336" s="11"/>
      <c r="D336" s="82"/>
      <c r="E336" s="82"/>
      <c r="F336" s="84"/>
      <c r="G336" s="82"/>
      <c r="H336" s="11"/>
      <c r="I336" s="69"/>
      <c r="J336" s="78"/>
      <c r="K336" s="78"/>
      <c r="L336" s="83"/>
    </row>
    <row r="337" spans="1:12" x14ac:dyDescent="0.25">
      <c r="A337" s="81"/>
      <c r="B337" s="69"/>
      <c r="C337" s="11"/>
      <c r="D337" s="82"/>
      <c r="E337" s="82"/>
      <c r="F337" s="84"/>
      <c r="G337" s="82"/>
      <c r="H337" s="11"/>
      <c r="I337" s="69"/>
      <c r="J337" s="78"/>
      <c r="K337" s="78"/>
      <c r="L337" s="83"/>
    </row>
    <row r="338" spans="1:12" x14ac:dyDescent="0.25">
      <c r="A338" s="81"/>
      <c r="B338" s="69"/>
      <c r="C338" s="11"/>
      <c r="D338" s="82"/>
      <c r="E338" s="82"/>
      <c r="F338" s="84"/>
      <c r="G338" s="82"/>
      <c r="H338" s="11"/>
      <c r="I338" s="69"/>
      <c r="J338" s="78"/>
      <c r="K338" s="78"/>
      <c r="L338" s="83"/>
    </row>
    <row r="339" spans="1:12" x14ac:dyDescent="0.25">
      <c r="A339" s="81"/>
      <c r="B339" s="69"/>
      <c r="C339" s="11"/>
      <c r="D339" s="82"/>
      <c r="E339" s="82"/>
      <c r="F339" s="84"/>
      <c r="G339" s="82"/>
      <c r="H339" s="11"/>
      <c r="I339" s="69"/>
      <c r="J339" s="78"/>
      <c r="K339" s="78"/>
      <c r="L339" s="83"/>
    </row>
    <row r="340" spans="1:12" x14ac:dyDescent="0.25">
      <c r="A340" s="81"/>
      <c r="B340" s="69"/>
      <c r="C340" s="11"/>
      <c r="D340" s="82"/>
      <c r="E340" s="82"/>
      <c r="F340" s="84"/>
      <c r="G340" s="82"/>
      <c r="H340" s="11"/>
      <c r="I340" s="69"/>
      <c r="J340" s="78"/>
      <c r="K340" s="78"/>
      <c r="L340" s="83"/>
    </row>
    <row r="341" spans="1:12" x14ac:dyDescent="0.25">
      <c r="A341" s="81"/>
      <c r="B341" s="69"/>
      <c r="C341" s="11"/>
      <c r="D341" s="82"/>
      <c r="E341" s="82"/>
      <c r="F341" s="84"/>
      <c r="G341" s="82"/>
      <c r="H341" s="11"/>
      <c r="I341" s="69"/>
      <c r="J341" s="78"/>
      <c r="K341" s="78"/>
      <c r="L341" s="83"/>
    </row>
    <row r="342" spans="1:12" x14ac:dyDescent="0.25">
      <c r="A342" s="81"/>
      <c r="B342" s="69"/>
      <c r="C342" s="11"/>
      <c r="D342" s="82"/>
      <c r="E342" s="82"/>
      <c r="F342" s="84"/>
      <c r="G342" s="82"/>
      <c r="H342" s="11"/>
      <c r="I342" s="69"/>
      <c r="J342" s="78"/>
      <c r="K342" s="78"/>
      <c r="L342" s="83"/>
    </row>
    <row r="343" spans="1:12" x14ac:dyDescent="0.25">
      <c r="A343" s="81"/>
      <c r="B343" s="69"/>
      <c r="C343" s="11"/>
      <c r="D343" s="82"/>
      <c r="E343" s="82"/>
      <c r="F343" s="84"/>
      <c r="G343" s="82"/>
      <c r="H343" s="11"/>
      <c r="I343" s="69"/>
      <c r="J343" s="78"/>
      <c r="K343" s="78"/>
      <c r="L343" s="83"/>
    </row>
    <row r="344" spans="1:12" x14ac:dyDescent="0.25">
      <c r="A344" s="81"/>
      <c r="B344" s="69"/>
      <c r="C344" s="11"/>
      <c r="D344" s="82"/>
      <c r="E344" s="82"/>
      <c r="F344" s="84"/>
      <c r="G344" s="82"/>
      <c r="H344" s="11"/>
      <c r="I344" s="69"/>
      <c r="J344" s="78"/>
      <c r="K344" s="78"/>
      <c r="L344" s="83"/>
    </row>
    <row r="345" spans="1:12" x14ac:dyDescent="0.25">
      <c r="A345" s="81"/>
      <c r="B345" s="69"/>
      <c r="C345" s="11"/>
      <c r="D345" s="82"/>
      <c r="E345" s="82"/>
      <c r="F345" s="84"/>
      <c r="G345" s="82"/>
      <c r="H345" s="11"/>
      <c r="I345" s="69"/>
      <c r="J345" s="78"/>
      <c r="K345" s="78"/>
      <c r="L345" s="83"/>
    </row>
    <row r="346" spans="1:12" x14ac:dyDescent="0.25">
      <c r="A346" s="81"/>
      <c r="B346" s="69"/>
      <c r="C346" s="11"/>
      <c r="D346" s="82"/>
      <c r="E346" s="82"/>
      <c r="F346" s="84"/>
      <c r="G346" s="82"/>
      <c r="H346" s="11"/>
      <c r="I346" s="69"/>
      <c r="J346" s="78"/>
      <c r="K346" s="78"/>
      <c r="L346" s="83"/>
    </row>
    <row r="347" spans="1:12" x14ac:dyDescent="0.25">
      <c r="A347" s="81"/>
      <c r="B347" s="69"/>
      <c r="C347" s="11"/>
      <c r="D347" s="82"/>
      <c r="E347" s="82"/>
      <c r="F347" s="84"/>
      <c r="G347" s="82"/>
      <c r="H347" s="11"/>
      <c r="I347" s="69"/>
      <c r="J347" s="78"/>
      <c r="K347" s="78"/>
      <c r="L347" s="83"/>
    </row>
    <row r="348" spans="1:12" x14ac:dyDescent="0.25">
      <c r="A348" s="81"/>
      <c r="B348" s="69"/>
      <c r="C348" s="11"/>
      <c r="D348" s="82"/>
      <c r="E348" s="82"/>
      <c r="F348" s="84"/>
      <c r="G348" s="82"/>
      <c r="H348" s="11"/>
      <c r="I348" s="69"/>
      <c r="J348" s="78"/>
      <c r="K348" s="78"/>
      <c r="L348" s="83"/>
    </row>
    <row r="349" spans="1:12" x14ac:dyDescent="0.25">
      <c r="A349" s="81"/>
      <c r="B349" s="69"/>
      <c r="C349" s="11"/>
      <c r="D349" s="82"/>
      <c r="E349" s="82"/>
      <c r="F349" s="84"/>
      <c r="G349" s="82"/>
      <c r="H349" s="11"/>
      <c r="I349" s="69"/>
      <c r="J349" s="78"/>
      <c r="K349" s="78"/>
      <c r="L349" s="83"/>
    </row>
    <row r="350" spans="1:12" x14ac:dyDescent="0.25">
      <c r="A350" s="81"/>
      <c r="B350" s="69"/>
      <c r="C350" s="11"/>
      <c r="D350" s="82"/>
      <c r="E350" s="82"/>
      <c r="F350" s="84"/>
      <c r="G350" s="82"/>
      <c r="H350" s="11"/>
      <c r="I350" s="69"/>
      <c r="J350" s="78"/>
      <c r="K350" s="78"/>
      <c r="L350" s="83"/>
    </row>
    <row r="351" spans="1:12" x14ac:dyDescent="0.25">
      <c r="A351" s="81"/>
      <c r="B351" s="69"/>
      <c r="C351" s="11"/>
      <c r="D351" s="82"/>
      <c r="E351" s="82"/>
      <c r="F351" s="84"/>
      <c r="G351" s="82"/>
      <c r="H351" s="11"/>
      <c r="I351" s="69"/>
      <c r="J351" s="78"/>
      <c r="K351" s="78"/>
      <c r="L351" s="83"/>
    </row>
    <row r="352" spans="1:12" x14ac:dyDescent="0.25">
      <c r="A352" s="81"/>
      <c r="B352" s="69"/>
      <c r="C352" s="11"/>
      <c r="D352" s="82"/>
      <c r="E352" s="82"/>
      <c r="F352" s="84"/>
      <c r="G352" s="82"/>
      <c r="H352" s="11"/>
      <c r="I352" s="69"/>
      <c r="J352" s="78"/>
      <c r="K352" s="78"/>
      <c r="L352" s="83"/>
    </row>
    <row r="353" spans="1:12" x14ac:dyDescent="0.25">
      <c r="A353" s="81"/>
      <c r="B353" s="69"/>
      <c r="C353" s="11"/>
      <c r="D353" s="82"/>
      <c r="E353" s="82"/>
      <c r="F353" s="84"/>
      <c r="G353" s="82"/>
      <c r="H353" s="11"/>
      <c r="I353" s="69"/>
      <c r="J353" s="78"/>
      <c r="K353" s="78"/>
      <c r="L353" s="83"/>
    </row>
    <row r="354" spans="1:12" x14ac:dyDescent="0.25">
      <c r="A354" s="81"/>
      <c r="B354" s="69"/>
      <c r="C354" s="11"/>
      <c r="D354" s="82"/>
      <c r="E354" s="82"/>
      <c r="F354" s="84"/>
      <c r="G354" s="82"/>
      <c r="H354" s="11"/>
      <c r="I354" s="69"/>
      <c r="J354" s="78"/>
      <c r="K354" s="78"/>
      <c r="L354" s="83"/>
    </row>
    <row r="355" spans="1:12" x14ac:dyDescent="0.25">
      <c r="A355" s="81"/>
      <c r="B355" s="69"/>
      <c r="C355" s="11"/>
      <c r="D355" s="82"/>
      <c r="E355" s="82"/>
      <c r="F355" s="84"/>
      <c r="G355" s="82"/>
      <c r="H355" s="11"/>
      <c r="I355" s="69"/>
      <c r="J355" s="78"/>
      <c r="K355" s="78"/>
      <c r="L355" s="83"/>
    </row>
    <row r="356" spans="1:12" x14ac:dyDescent="0.25">
      <c r="A356" s="81"/>
      <c r="B356" s="69"/>
      <c r="C356" s="11"/>
      <c r="D356" s="82"/>
      <c r="E356" s="82"/>
      <c r="F356" s="84"/>
      <c r="G356" s="82"/>
      <c r="H356" s="11"/>
      <c r="I356" s="69"/>
      <c r="J356" s="78"/>
      <c r="K356" s="78"/>
      <c r="L356" s="83"/>
    </row>
    <row r="357" spans="1:12" x14ac:dyDescent="0.25">
      <c r="A357" s="81"/>
      <c r="B357" s="69"/>
      <c r="C357" s="11"/>
      <c r="D357" s="82"/>
      <c r="E357" s="82"/>
      <c r="F357" s="84"/>
      <c r="G357" s="82"/>
      <c r="H357" s="11"/>
      <c r="I357" s="69"/>
      <c r="J357" s="78"/>
      <c r="K357" s="78"/>
      <c r="L357" s="83"/>
    </row>
    <row r="358" spans="1:12" x14ac:dyDescent="0.25">
      <c r="A358" s="81"/>
      <c r="B358" s="69"/>
      <c r="C358" s="11"/>
      <c r="D358" s="82"/>
      <c r="E358" s="82"/>
      <c r="F358" s="84"/>
      <c r="G358" s="82"/>
      <c r="H358" s="11"/>
      <c r="I358" s="69"/>
      <c r="J358" s="78"/>
      <c r="K358" s="78"/>
      <c r="L358" s="83"/>
    </row>
    <row r="359" spans="1:12" x14ac:dyDescent="0.25">
      <c r="A359" s="81"/>
      <c r="B359" s="69"/>
      <c r="C359" s="11"/>
      <c r="D359" s="82"/>
      <c r="E359" s="82"/>
      <c r="F359" s="84"/>
      <c r="G359" s="82"/>
      <c r="H359" s="11"/>
      <c r="I359" s="69"/>
      <c r="J359" s="78"/>
      <c r="K359" s="78"/>
      <c r="L359" s="83"/>
    </row>
    <row r="360" spans="1:12" x14ac:dyDescent="0.25">
      <c r="A360" s="81"/>
      <c r="B360" s="69"/>
      <c r="C360" s="11"/>
      <c r="D360" s="82"/>
      <c r="E360" s="82"/>
      <c r="F360" s="84"/>
      <c r="G360" s="82"/>
      <c r="H360" s="11"/>
      <c r="I360" s="69"/>
      <c r="J360" s="78"/>
      <c r="K360" s="78"/>
      <c r="L360" s="83"/>
    </row>
    <row r="361" spans="1:12" x14ac:dyDescent="0.25">
      <c r="A361" s="81"/>
      <c r="B361" s="69"/>
      <c r="C361" s="11"/>
      <c r="D361" s="82"/>
      <c r="E361" s="82"/>
      <c r="F361" s="84"/>
      <c r="G361" s="82"/>
      <c r="H361" s="11"/>
      <c r="I361" s="69"/>
      <c r="J361" s="78"/>
      <c r="K361" s="78"/>
      <c r="L361" s="83"/>
    </row>
    <row r="362" spans="1:12" x14ac:dyDescent="0.25">
      <c r="A362" s="81"/>
      <c r="B362" s="69"/>
      <c r="C362" s="11"/>
      <c r="D362" s="82"/>
      <c r="E362" s="82"/>
      <c r="F362" s="84"/>
      <c r="G362" s="82"/>
      <c r="H362" s="11"/>
      <c r="I362" s="69"/>
      <c r="J362" s="78"/>
      <c r="K362" s="78"/>
      <c r="L362" s="83"/>
    </row>
    <row r="363" spans="1:12" x14ac:dyDescent="0.25">
      <c r="A363" s="81"/>
      <c r="B363" s="69"/>
      <c r="C363" s="11"/>
      <c r="D363" s="82"/>
      <c r="E363" s="82"/>
      <c r="F363" s="84"/>
      <c r="G363" s="82"/>
      <c r="H363" s="11"/>
      <c r="I363" s="69"/>
      <c r="J363" s="78"/>
      <c r="K363" s="78"/>
      <c r="L363" s="83"/>
    </row>
    <row r="364" spans="1:12" x14ac:dyDescent="0.25">
      <c r="A364" s="81"/>
      <c r="B364" s="69"/>
      <c r="C364" s="11"/>
      <c r="D364" s="82"/>
      <c r="E364" s="82"/>
      <c r="F364" s="84"/>
      <c r="G364" s="82"/>
      <c r="H364" s="11"/>
      <c r="I364" s="69"/>
      <c r="J364" s="78"/>
      <c r="K364" s="78"/>
      <c r="L364" s="83"/>
    </row>
    <row r="365" spans="1:12" x14ac:dyDescent="0.25">
      <c r="A365" s="81"/>
      <c r="B365" s="69"/>
      <c r="C365" s="11"/>
      <c r="D365" s="82"/>
      <c r="E365" s="82"/>
      <c r="F365" s="84"/>
      <c r="G365" s="82"/>
      <c r="H365" s="11"/>
      <c r="I365" s="69"/>
      <c r="J365" s="78"/>
      <c r="K365" s="78"/>
      <c r="L365" s="83"/>
    </row>
    <row r="366" spans="1:12" x14ac:dyDescent="0.25">
      <c r="A366" s="81"/>
      <c r="B366" s="69"/>
      <c r="C366" s="11"/>
      <c r="D366" s="82"/>
      <c r="E366" s="82"/>
      <c r="F366" s="84"/>
      <c r="G366" s="82"/>
      <c r="H366" s="11"/>
      <c r="I366" s="69"/>
      <c r="J366" s="78"/>
      <c r="K366" s="78"/>
      <c r="L366" s="83"/>
    </row>
    <row r="367" spans="1:12" x14ac:dyDescent="0.25">
      <c r="A367" s="81"/>
      <c r="B367" s="69"/>
      <c r="C367" s="11"/>
      <c r="D367" s="82"/>
      <c r="E367" s="82"/>
      <c r="F367" s="84"/>
      <c r="G367" s="82"/>
      <c r="H367" s="11"/>
      <c r="I367" s="69"/>
      <c r="J367" s="78"/>
      <c r="K367" s="78"/>
      <c r="L367" s="83"/>
    </row>
    <row r="368" spans="1:12" x14ac:dyDescent="0.25">
      <c r="A368" s="81"/>
      <c r="B368" s="69"/>
      <c r="C368" s="11"/>
      <c r="D368" s="82"/>
      <c r="E368" s="82"/>
      <c r="F368" s="84"/>
      <c r="G368" s="82"/>
      <c r="H368" s="11"/>
      <c r="I368" s="69"/>
      <c r="J368" s="78"/>
      <c r="K368" s="78"/>
      <c r="L368" s="83"/>
    </row>
    <row r="369" spans="1:12" x14ac:dyDescent="0.25">
      <c r="A369" s="81"/>
      <c r="B369" s="69"/>
      <c r="C369" s="11"/>
      <c r="D369" s="82"/>
      <c r="E369" s="82"/>
      <c r="F369" s="84"/>
      <c r="G369" s="82"/>
      <c r="H369" s="11"/>
      <c r="I369" s="69"/>
      <c r="J369" s="78"/>
      <c r="K369" s="78"/>
      <c r="L369" s="83"/>
    </row>
    <row r="370" spans="1:12" x14ac:dyDescent="0.25">
      <c r="A370" s="81"/>
      <c r="B370" s="69"/>
      <c r="C370" s="11"/>
      <c r="D370" s="82"/>
      <c r="E370" s="82"/>
      <c r="F370" s="84"/>
      <c r="G370" s="82"/>
      <c r="H370" s="11"/>
      <c r="I370" s="69"/>
      <c r="J370" s="78"/>
      <c r="K370" s="78"/>
      <c r="L370" s="83"/>
    </row>
    <row r="371" spans="1:12" x14ac:dyDescent="0.25">
      <c r="A371" s="81"/>
      <c r="B371" s="69"/>
      <c r="C371" s="11"/>
      <c r="D371" s="82"/>
      <c r="E371" s="82"/>
      <c r="F371" s="84"/>
      <c r="G371" s="82"/>
      <c r="H371" s="11"/>
      <c r="I371" s="69"/>
      <c r="J371" s="78"/>
      <c r="K371" s="78"/>
      <c r="L371" s="83"/>
    </row>
    <row r="372" spans="1:12" x14ac:dyDescent="0.25">
      <c r="A372" s="81"/>
      <c r="B372" s="69"/>
      <c r="C372" s="11"/>
      <c r="D372" s="82"/>
      <c r="E372" s="82"/>
      <c r="F372" s="84"/>
      <c r="G372" s="82"/>
      <c r="H372" s="11"/>
      <c r="I372" s="69"/>
      <c r="J372" s="78"/>
      <c r="K372" s="78"/>
      <c r="L372" s="83"/>
    </row>
    <row r="373" spans="1:12" x14ac:dyDescent="0.25">
      <c r="A373" s="81"/>
      <c r="B373" s="69"/>
      <c r="C373" s="11"/>
      <c r="D373" s="82"/>
      <c r="E373" s="82"/>
      <c r="F373" s="84"/>
      <c r="G373" s="82"/>
      <c r="H373" s="11"/>
      <c r="I373" s="69"/>
      <c r="J373" s="78"/>
      <c r="K373" s="78"/>
      <c r="L373" s="83"/>
    </row>
    <row r="374" spans="1:12" x14ac:dyDescent="0.25">
      <c r="A374" s="81"/>
      <c r="B374" s="69"/>
      <c r="C374" s="11"/>
      <c r="D374" s="82"/>
      <c r="E374" s="82"/>
      <c r="F374" s="84"/>
      <c r="G374" s="82"/>
      <c r="H374" s="11"/>
      <c r="I374" s="69"/>
      <c r="J374" s="78"/>
      <c r="K374" s="78"/>
      <c r="L374" s="83"/>
    </row>
    <row r="375" spans="1:12" x14ac:dyDescent="0.25">
      <c r="A375" s="81"/>
      <c r="B375" s="69"/>
      <c r="C375" s="11"/>
      <c r="D375" s="82"/>
      <c r="E375" s="82"/>
      <c r="F375" s="84"/>
      <c r="G375" s="82"/>
      <c r="H375" s="11"/>
      <c r="I375" s="69"/>
      <c r="J375" s="78"/>
      <c r="K375" s="78"/>
      <c r="L375" s="83"/>
    </row>
    <row r="376" spans="1:12" x14ac:dyDescent="0.25">
      <c r="A376" s="81"/>
      <c r="B376" s="69"/>
      <c r="C376" s="11"/>
      <c r="D376" s="82"/>
      <c r="E376" s="82"/>
      <c r="F376" s="84"/>
      <c r="G376" s="82"/>
      <c r="H376" s="11"/>
      <c r="I376" s="69"/>
      <c r="J376" s="78"/>
      <c r="K376" s="78"/>
      <c r="L376" s="83"/>
    </row>
    <row r="377" spans="1:12" x14ac:dyDescent="0.25">
      <c r="A377" s="81"/>
      <c r="B377" s="69"/>
      <c r="C377" s="11"/>
      <c r="D377" s="82"/>
      <c r="E377" s="82"/>
      <c r="F377" s="84"/>
      <c r="G377" s="82"/>
      <c r="H377" s="11"/>
      <c r="I377" s="69"/>
      <c r="J377" s="78"/>
      <c r="K377" s="78"/>
      <c r="L377" s="83"/>
    </row>
    <row r="378" spans="1:12" x14ac:dyDescent="0.25">
      <c r="A378" s="81"/>
      <c r="B378" s="69"/>
      <c r="C378" s="11"/>
      <c r="D378" s="82"/>
      <c r="E378" s="82"/>
      <c r="F378" s="84"/>
      <c r="G378" s="82"/>
      <c r="H378" s="11"/>
      <c r="I378" s="69"/>
      <c r="J378" s="78"/>
      <c r="K378" s="78"/>
      <c r="L378" s="83"/>
    </row>
    <row r="379" spans="1:12" x14ac:dyDescent="0.25">
      <c r="A379" s="81"/>
      <c r="B379" s="69"/>
      <c r="C379" s="11"/>
      <c r="D379" s="82"/>
      <c r="E379" s="82"/>
      <c r="F379" s="84"/>
      <c r="G379" s="82"/>
      <c r="H379" s="11"/>
      <c r="I379" s="69"/>
      <c r="J379" s="78"/>
      <c r="K379" s="78"/>
      <c r="L379" s="83"/>
    </row>
    <row r="380" spans="1:12" x14ac:dyDescent="0.25">
      <c r="A380" s="81"/>
      <c r="B380" s="69"/>
      <c r="C380" s="11"/>
      <c r="D380" s="82"/>
      <c r="E380" s="82"/>
      <c r="F380" s="84"/>
      <c r="G380" s="82"/>
      <c r="H380" s="11"/>
      <c r="I380" s="69"/>
      <c r="J380" s="78"/>
      <c r="K380" s="78"/>
      <c r="L380" s="83"/>
    </row>
    <row r="381" spans="1:12" x14ac:dyDescent="0.25">
      <c r="A381" s="81"/>
      <c r="B381" s="69"/>
      <c r="C381" s="11"/>
      <c r="D381" s="82"/>
      <c r="E381" s="82"/>
      <c r="F381" s="84"/>
      <c r="G381" s="82"/>
      <c r="H381" s="11"/>
      <c r="I381" s="69"/>
      <c r="J381" s="78"/>
      <c r="K381" s="78"/>
      <c r="L381" s="83"/>
    </row>
    <row r="382" spans="1:12" x14ac:dyDescent="0.25">
      <c r="A382" s="81"/>
      <c r="B382" s="69"/>
      <c r="C382" s="11"/>
      <c r="D382" s="82"/>
      <c r="E382" s="82"/>
      <c r="F382" s="84"/>
      <c r="G382" s="82"/>
      <c r="H382" s="11"/>
      <c r="I382" s="69"/>
      <c r="J382" s="78"/>
      <c r="K382" s="78"/>
      <c r="L382" s="83"/>
    </row>
    <row r="383" spans="1:12" x14ac:dyDescent="0.25">
      <c r="A383" s="81"/>
      <c r="B383" s="69"/>
      <c r="C383" s="11"/>
      <c r="D383" s="82"/>
      <c r="E383" s="82"/>
      <c r="F383" s="84"/>
      <c r="G383" s="82"/>
      <c r="H383" s="11"/>
      <c r="I383" s="69"/>
      <c r="J383" s="78"/>
      <c r="K383" s="78"/>
      <c r="L383" s="83"/>
    </row>
    <row r="384" spans="1:12" x14ac:dyDescent="0.25">
      <c r="A384" s="81"/>
      <c r="B384" s="69"/>
      <c r="C384" s="11"/>
      <c r="D384" s="82"/>
      <c r="E384" s="82"/>
      <c r="F384" s="84"/>
      <c r="G384" s="82"/>
      <c r="H384" s="11"/>
      <c r="I384" s="69"/>
      <c r="J384" s="78"/>
      <c r="K384" s="78"/>
      <c r="L384" s="83"/>
    </row>
    <row r="385" spans="1:12" x14ac:dyDescent="0.25">
      <c r="A385" s="81"/>
      <c r="B385" s="69"/>
      <c r="C385" s="11"/>
      <c r="D385" s="82"/>
      <c r="E385" s="82"/>
      <c r="F385" s="84"/>
      <c r="G385" s="82"/>
      <c r="H385" s="11"/>
      <c r="I385" s="69"/>
      <c r="J385" s="78"/>
      <c r="K385" s="78"/>
      <c r="L385" s="83"/>
    </row>
    <row r="386" spans="1:12" x14ac:dyDescent="0.25">
      <c r="A386" s="81"/>
      <c r="B386" s="69"/>
      <c r="C386" s="11"/>
      <c r="D386" s="82"/>
      <c r="E386" s="82"/>
      <c r="F386" s="84"/>
      <c r="G386" s="82"/>
      <c r="H386" s="11"/>
      <c r="I386" s="69"/>
      <c r="J386" s="78"/>
      <c r="K386" s="78"/>
      <c r="L386" s="83"/>
    </row>
    <row r="387" spans="1:12" x14ac:dyDescent="0.25">
      <c r="A387" s="81"/>
      <c r="B387" s="69"/>
      <c r="C387" s="11"/>
      <c r="D387" s="82"/>
      <c r="E387" s="82"/>
      <c r="F387" s="84"/>
      <c r="G387" s="82"/>
      <c r="H387" s="11"/>
      <c r="I387" s="69"/>
      <c r="J387" s="78"/>
      <c r="K387" s="78"/>
      <c r="L387" s="83"/>
    </row>
    <row r="388" spans="1:12" x14ac:dyDescent="0.25">
      <c r="A388" s="81"/>
      <c r="B388" s="69"/>
      <c r="C388" s="11"/>
      <c r="D388" s="82"/>
      <c r="E388" s="82"/>
      <c r="F388" s="84"/>
      <c r="G388" s="82"/>
      <c r="H388" s="11"/>
      <c r="I388" s="69"/>
      <c r="J388" s="78"/>
      <c r="K388" s="78"/>
      <c r="L388" s="83"/>
    </row>
    <row r="389" spans="1:12" x14ac:dyDescent="0.25">
      <c r="A389" s="81"/>
      <c r="B389" s="69"/>
      <c r="C389" s="11"/>
      <c r="D389" s="82"/>
      <c r="E389" s="82"/>
      <c r="F389" s="84"/>
      <c r="G389" s="82"/>
      <c r="H389" s="11"/>
      <c r="I389" s="69"/>
      <c r="J389" s="78"/>
      <c r="K389" s="78"/>
      <c r="L389" s="83"/>
    </row>
    <row r="390" spans="1:12" x14ac:dyDescent="0.25">
      <c r="A390" s="81"/>
      <c r="B390" s="69"/>
      <c r="C390" s="11"/>
      <c r="D390" s="82"/>
      <c r="E390" s="82"/>
      <c r="F390" s="84"/>
      <c r="G390" s="82"/>
      <c r="H390" s="11"/>
      <c r="I390" s="69"/>
      <c r="J390" s="78"/>
      <c r="K390" s="78"/>
      <c r="L390" s="83"/>
    </row>
    <row r="391" spans="1:12" x14ac:dyDescent="0.25">
      <c r="A391" s="81"/>
      <c r="B391" s="69"/>
      <c r="C391" s="11"/>
      <c r="D391" s="82"/>
      <c r="E391" s="82"/>
      <c r="F391" s="84"/>
      <c r="G391" s="82"/>
      <c r="H391" s="11"/>
      <c r="I391" s="69"/>
      <c r="J391" s="78"/>
      <c r="K391" s="78"/>
      <c r="L391" s="83"/>
    </row>
    <row r="392" spans="1:12" x14ac:dyDescent="0.25">
      <c r="A392" s="81"/>
      <c r="B392" s="69"/>
      <c r="C392" s="11"/>
      <c r="D392" s="82"/>
      <c r="E392" s="82"/>
      <c r="F392" s="84"/>
      <c r="G392" s="82"/>
      <c r="H392" s="11"/>
      <c r="I392" s="69"/>
      <c r="J392" s="78"/>
      <c r="K392" s="78"/>
      <c r="L392" s="83"/>
    </row>
    <row r="393" spans="1:12" x14ac:dyDescent="0.25">
      <c r="A393" s="81"/>
      <c r="B393" s="69"/>
      <c r="C393" s="11"/>
      <c r="D393" s="82"/>
      <c r="E393" s="82"/>
      <c r="F393" s="84"/>
      <c r="G393" s="82"/>
      <c r="H393" s="11"/>
      <c r="I393" s="69"/>
      <c r="J393" s="78"/>
      <c r="K393" s="78"/>
      <c r="L393" s="83"/>
    </row>
    <row r="394" spans="1:12" x14ac:dyDescent="0.25">
      <c r="A394" s="81"/>
      <c r="B394" s="69"/>
      <c r="C394" s="11"/>
      <c r="D394" s="82"/>
      <c r="E394" s="82"/>
      <c r="F394" s="84"/>
      <c r="G394" s="82"/>
      <c r="H394" s="11"/>
      <c r="I394" s="69"/>
      <c r="J394" s="78"/>
      <c r="K394" s="78"/>
      <c r="L394" s="83"/>
    </row>
    <row r="395" spans="1:12" x14ac:dyDescent="0.25">
      <c r="A395" s="81"/>
      <c r="B395" s="69"/>
      <c r="C395" s="11"/>
      <c r="D395" s="82"/>
      <c r="E395" s="82"/>
      <c r="F395" s="84"/>
      <c r="G395" s="82"/>
      <c r="H395" s="11"/>
      <c r="I395" s="69"/>
      <c r="J395" s="78"/>
      <c r="K395" s="78"/>
      <c r="L395" s="83"/>
    </row>
    <row r="396" spans="1:12" x14ac:dyDescent="0.25">
      <c r="A396" s="81"/>
      <c r="B396" s="69"/>
      <c r="C396" s="11"/>
      <c r="D396" s="82"/>
      <c r="E396" s="82"/>
      <c r="F396" s="84"/>
      <c r="G396" s="82"/>
      <c r="H396" s="11"/>
      <c r="I396" s="69"/>
      <c r="J396" s="78"/>
      <c r="K396" s="78"/>
      <c r="L396" s="83"/>
    </row>
    <row r="397" spans="1:12" x14ac:dyDescent="0.25">
      <c r="A397" s="81"/>
      <c r="B397" s="69"/>
      <c r="C397" s="11"/>
      <c r="D397" s="82"/>
      <c r="E397" s="82"/>
      <c r="F397" s="84"/>
      <c r="G397" s="82"/>
      <c r="H397" s="11"/>
      <c r="I397" s="69"/>
      <c r="J397" s="78"/>
      <c r="K397" s="78"/>
      <c r="L397" s="83"/>
    </row>
    <row r="398" spans="1:12" x14ac:dyDescent="0.25">
      <c r="A398" s="81"/>
      <c r="B398" s="69"/>
      <c r="C398" s="11"/>
      <c r="D398" s="82"/>
      <c r="E398" s="82"/>
      <c r="F398" s="84"/>
      <c r="G398" s="82"/>
      <c r="H398" s="11"/>
      <c r="I398" s="69"/>
      <c r="J398" s="78"/>
      <c r="K398" s="78"/>
      <c r="L398" s="83"/>
    </row>
    <row r="399" spans="1:12" x14ac:dyDescent="0.25">
      <c r="A399" s="81"/>
      <c r="B399" s="69"/>
      <c r="C399" s="11"/>
      <c r="D399" s="82"/>
      <c r="E399" s="82"/>
      <c r="F399" s="84"/>
      <c r="G399" s="82"/>
      <c r="H399" s="11"/>
      <c r="I399" s="69"/>
      <c r="J399" s="78"/>
      <c r="K399" s="78"/>
      <c r="L399" s="83"/>
    </row>
    <row r="400" spans="1:12" x14ac:dyDescent="0.25">
      <c r="A400" s="81"/>
      <c r="B400" s="69"/>
      <c r="C400" s="11"/>
      <c r="D400" s="82"/>
      <c r="E400" s="82"/>
      <c r="F400" s="84"/>
      <c r="G400" s="82"/>
      <c r="H400" s="11"/>
      <c r="I400" s="69"/>
      <c r="J400" s="78"/>
      <c r="K400" s="78"/>
      <c r="L400" s="83"/>
    </row>
    <row r="401" spans="1:12" x14ac:dyDescent="0.25">
      <c r="A401" s="81"/>
      <c r="B401" s="69"/>
      <c r="C401" s="11"/>
      <c r="D401" s="82"/>
      <c r="E401" s="82"/>
      <c r="F401" s="84"/>
      <c r="G401" s="82"/>
      <c r="H401" s="11"/>
      <c r="I401" s="69"/>
      <c r="J401" s="78"/>
      <c r="K401" s="78"/>
      <c r="L401" s="83"/>
    </row>
    <row r="402" spans="1:12" x14ac:dyDescent="0.25">
      <c r="A402" s="81"/>
      <c r="B402" s="69"/>
      <c r="C402" s="11"/>
      <c r="D402" s="82"/>
      <c r="E402" s="82"/>
      <c r="F402" s="84"/>
      <c r="G402" s="82"/>
      <c r="H402" s="11"/>
      <c r="I402" s="69"/>
      <c r="J402" s="78"/>
      <c r="K402" s="78"/>
      <c r="L402" s="83"/>
    </row>
    <row r="403" spans="1:12" x14ac:dyDescent="0.25">
      <c r="A403" s="81"/>
      <c r="B403" s="69"/>
      <c r="C403" s="11"/>
      <c r="D403" s="82"/>
      <c r="E403" s="82"/>
      <c r="F403" s="84"/>
      <c r="G403" s="82"/>
      <c r="H403" s="11"/>
      <c r="I403" s="69"/>
      <c r="J403" s="78"/>
      <c r="K403" s="78"/>
      <c r="L403" s="83"/>
    </row>
    <row r="404" spans="1:12" x14ac:dyDescent="0.25">
      <c r="A404" s="81"/>
      <c r="B404" s="69"/>
      <c r="C404" s="11"/>
      <c r="D404" s="82"/>
      <c r="E404" s="82"/>
      <c r="F404" s="84"/>
      <c r="G404" s="82"/>
      <c r="H404" s="11"/>
      <c r="I404" s="69"/>
      <c r="J404" s="78"/>
      <c r="K404" s="78"/>
      <c r="L404" s="83"/>
    </row>
    <row r="405" spans="1:12" x14ac:dyDescent="0.25">
      <c r="A405" s="81"/>
      <c r="B405" s="69"/>
      <c r="C405" s="11"/>
      <c r="D405" s="82"/>
      <c r="E405" s="82"/>
      <c r="F405" s="84"/>
      <c r="G405" s="82"/>
      <c r="H405" s="11"/>
      <c r="I405" s="69"/>
      <c r="J405" s="78"/>
      <c r="K405" s="78"/>
      <c r="L405" s="83"/>
    </row>
    <row r="406" spans="1:12" x14ac:dyDescent="0.25">
      <c r="A406" s="81"/>
      <c r="B406" s="69"/>
      <c r="C406" s="11"/>
      <c r="D406" s="82"/>
      <c r="E406" s="82"/>
      <c r="F406" s="84"/>
      <c r="G406" s="82"/>
      <c r="H406" s="11"/>
      <c r="I406" s="69"/>
      <c r="J406" s="78"/>
      <c r="K406" s="78"/>
      <c r="L406" s="83"/>
    </row>
    <row r="407" spans="1:12" x14ac:dyDescent="0.25">
      <c r="A407" s="81"/>
      <c r="B407" s="69"/>
      <c r="C407" s="11"/>
      <c r="D407" s="82"/>
      <c r="E407" s="82"/>
      <c r="F407" s="84"/>
      <c r="G407" s="82"/>
      <c r="H407" s="11"/>
      <c r="I407" s="69"/>
      <c r="J407" s="78"/>
      <c r="K407" s="78"/>
      <c r="L407" s="83"/>
    </row>
    <row r="408" spans="1:12" x14ac:dyDescent="0.25">
      <c r="A408" s="81"/>
      <c r="B408" s="69"/>
      <c r="C408" s="11"/>
      <c r="D408" s="82"/>
      <c r="E408" s="82"/>
      <c r="F408" s="84"/>
      <c r="G408" s="82"/>
      <c r="H408" s="11"/>
      <c r="I408" s="69"/>
      <c r="J408" s="78"/>
      <c r="K408" s="78"/>
      <c r="L408" s="83"/>
    </row>
    <row r="409" spans="1:12" x14ac:dyDescent="0.25">
      <c r="A409" s="81"/>
      <c r="B409" s="69"/>
      <c r="C409" s="11"/>
      <c r="D409" s="82"/>
      <c r="E409" s="82"/>
      <c r="F409" s="84"/>
      <c r="G409" s="82"/>
      <c r="H409" s="11"/>
      <c r="I409" s="69"/>
      <c r="J409" s="78"/>
      <c r="K409" s="78"/>
      <c r="L409" s="83"/>
    </row>
    <row r="410" spans="1:12" x14ac:dyDescent="0.25">
      <c r="A410" s="81"/>
      <c r="B410" s="69"/>
      <c r="C410" s="11"/>
      <c r="D410" s="82"/>
      <c r="E410" s="82"/>
      <c r="F410" s="84"/>
      <c r="G410" s="82"/>
      <c r="H410" s="11"/>
      <c r="I410" s="69"/>
      <c r="J410" s="78"/>
      <c r="K410" s="78"/>
      <c r="L410" s="83"/>
    </row>
    <row r="411" spans="1:12" x14ac:dyDescent="0.25">
      <c r="A411" s="81"/>
      <c r="B411" s="69"/>
      <c r="C411" s="11"/>
      <c r="D411" s="82"/>
      <c r="E411" s="82"/>
      <c r="F411" s="84"/>
      <c r="G411" s="82"/>
      <c r="H411" s="11"/>
      <c r="I411" s="69"/>
      <c r="J411" s="78"/>
      <c r="K411" s="78"/>
      <c r="L411" s="83"/>
    </row>
    <row r="412" spans="1:12" x14ac:dyDescent="0.25">
      <c r="A412" s="81"/>
      <c r="B412" s="69"/>
      <c r="C412" s="11"/>
      <c r="D412" s="82"/>
      <c r="E412" s="82"/>
      <c r="F412" s="84"/>
      <c r="G412" s="82"/>
      <c r="H412" s="11"/>
      <c r="I412" s="69"/>
      <c r="J412" s="78"/>
      <c r="K412" s="78"/>
      <c r="L412" s="83"/>
    </row>
    <row r="413" spans="1:12" x14ac:dyDescent="0.25">
      <c r="A413" s="81"/>
      <c r="B413" s="69"/>
      <c r="C413" s="11"/>
      <c r="D413" s="82"/>
      <c r="E413" s="82"/>
      <c r="F413" s="84"/>
      <c r="G413" s="82"/>
      <c r="H413" s="11"/>
      <c r="I413" s="69"/>
      <c r="J413" s="78"/>
      <c r="K413" s="78"/>
      <c r="L413" s="83"/>
    </row>
    <row r="414" spans="1:12" x14ac:dyDescent="0.25">
      <c r="A414" s="81"/>
      <c r="B414" s="69"/>
      <c r="C414" s="11"/>
      <c r="D414" s="82"/>
      <c r="E414" s="82"/>
      <c r="F414" s="84"/>
      <c r="G414" s="82"/>
      <c r="H414" s="11"/>
      <c r="I414" s="69"/>
      <c r="J414" s="78"/>
      <c r="K414" s="78"/>
      <c r="L414" s="83"/>
    </row>
    <row r="415" spans="1:12" x14ac:dyDescent="0.25">
      <c r="A415" s="81"/>
      <c r="B415" s="69"/>
      <c r="C415" s="11"/>
      <c r="D415" s="82"/>
      <c r="E415" s="82"/>
      <c r="F415" s="84"/>
      <c r="G415" s="82"/>
      <c r="H415" s="11"/>
      <c r="I415" s="69"/>
      <c r="J415" s="78"/>
      <c r="K415" s="78"/>
      <c r="L415" s="83"/>
    </row>
    <row r="416" spans="1:12" x14ac:dyDescent="0.25">
      <c r="A416" s="81"/>
      <c r="B416" s="69"/>
      <c r="C416" s="11"/>
      <c r="D416" s="82"/>
      <c r="E416" s="82"/>
      <c r="F416" s="84"/>
      <c r="G416" s="82"/>
      <c r="H416" s="11"/>
      <c r="I416" s="69"/>
      <c r="J416" s="78"/>
      <c r="K416" s="78"/>
      <c r="L416" s="83"/>
    </row>
    <row r="417" spans="1:12" x14ac:dyDescent="0.25">
      <c r="A417" s="81"/>
      <c r="B417" s="69"/>
      <c r="C417" s="11"/>
      <c r="D417" s="82"/>
      <c r="E417" s="82"/>
      <c r="F417" s="84"/>
      <c r="G417" s="82"/>
      <c r="H417" s="11"/>
      <c r="I417" s="69"/>
      <c r="J417" s="78"/>
      <c r="K417" s="78"/>
      <c r="L417" s="83"/>
    </row>
    <row r="418" spans="1:12" x14ac:dyDescent="0.25">
      <c r="A418" s="81"/>
      <c r="B418" s="69"/>
      <c r="C418" s="11"/>
      <c r="D418" s="82"/>
      <c r="E418" s="82"/>
      <c r="F418" s="84"/>
      <c r="G418" s="82"/>
      <c r="H418" s="11"/>
      <c r="I418" s="69"/>
      <c r="J418" s="78"/>
      <c r="K418" s="78"/>
      <c r="L418" s="83"/>
    </row>
    <row r="419" spans="1:12" x14ac:dyDescent="0.25">
      <c r="A419" s="81"/>
      <c r="B419" s="69"/>
      <c r="C419" s="11"/>
      <c r="D419" s="82"/>
      <c r="E419" s="82"/>
      <c r="F419" s="84"/>
      <c r="G419" s="82"/>
      <c r="H419" s="11"/>
      <c r="I419" s="69"/>
      <c r="J419" s="78"/>
      <c r="K419" s="78"/>
      <c r="L419" s="83"/>
    </row>
    <row r="420" spans="1:12" x14ac:dyDescent="0.25">
      <c r="A420" s="81"/>
      <c r="B420" s="69"/>
      <c r="C420" s="11"/>
      <c r="D420" s="82"/>
      <c r="E420" s="82"/>
      <c r="F420" s="84"/>
      <c r="G420" s="82"/>
      <c r="H420" s="11"/>
      <c r="I420" s="69"/>
      <c r="J420" s="78"/>
      <c r="K420" s="78"/>
      <c r="L420" s="83"/>
    </row>
    <row r="421" spans="1:12" x14ac:dyDescent="0.25">
      <c r="A421" s="81"/>
      <c r="B421" s="69"/>
      <c r="C421" s="11"/>
      <c r="D421" s="82"/>
      <c r="E421" s="82"/>
      <c r="F421" s="84"/>
      <c r="G421" s="82"/>
      <c r="H421" s="11"/>
      <c r="I421" s="69"/>
      <c r="J421" s="78"/>
      <c r="K421" s="78"/>
      <c r="L421" s="83"/>
    </row>
    <row r="422" spans="1:12" x14ac:dyDescent="0.25">
      <c r="A422" s="81"/>
      <c r="B422" s="69"/>
      <c r="C422" s="11"/>
      <c r="D422" s="82"/>
      <c r="E422" s="82"/>
      <c r="F422" s="84"/>
      <c r="G422" s="82"/>
      <c r="H422" s="11"/>
      <c r="I422" s="69"/>
      <c r="J422" s="78"/>
      <c r="K422" s="78"/>
      <c r="L422" s="83"/>
    </row>
    <row r="423" spans="1:12" x14ac:dyDescent="0.25">
      <c r="A423" s="81"/>
      <c r="B423" s="69"/>
      <c r="C423" s="11"/>
      <c r="D423" s="82"/>
      <c r="E423" s="82"/>
      <c r="F423" s="84"/>
      <c r="G423" s="82"/>
      <c r="H423" s="11"/>
      <c r="I423" s="69"/>
      <c r="J423" s="78"/>
      <c r="K423" s="78"/>
      <c r="L423" s="83"/>
    </row>
    <row r="424" spans="1:12" x14ac:dyDescent="0.25">
      <c r="A424" s="81"/>
      <c r="B424" s="69"/>
      <c r="C424" s="11"/>
      <c r="D424" s="82"/>
      <c r="E424" s="82"/>
      <c r="F424" s="84"/>
      <c r="G424" s="82"/>
      <c r="H424" s="11"/>
      <c r="I424" s="69"/>
      <c r="J424" s="78"/>
      <c r="K424" s="78"/>
      <c r="L424" s="83"/>
    </row>
    <row r="425" spans="1:12" x14ac:dyDescent="0.25">
      <c r="A425" s="81"/>
      <c r="B425" s="69"/>
      <c r="C425" s="11"/>
      <c r="D425" s="82"/>
      <c r="E425" s="82"/>
      <c r="F425" s="84"/>
      <c r="G425" s="82"/>
      <c r="H425" s="11"/>
      <c r="I425" s="69"/>
      <c r="J425" s="78"/>
      <c r="K425" s="78"/>
      <c r="L425" s="83"/>
    </row>
    <row r="426" spans="1:12" x14ac:dyDescent="0.25">
      <c r="A426" s="81"/>
      <c r="B426" s="69"/>
      <c r="C426" s="11"/>
      <c r="D426" s="82"/>
      <c r="E426" s="82"/>
      <c r="F426" s="84"/>
      <c r="G426" s="82"/>
      <c r="H426" s="11"/>
      <c r="I426" s="69"/>
      <c r="J426" s="78"/>
      <c r="K426" s="78"/>
      <c r="L426" s="83"/>
    </row>
    <row r="427" spans="1:12" x14ac:dyDescent="0.25">
      <c r="A427" s="81"/>
      <c r="B427" s="69"/>
      <c r="C427" s="11"/>
      <c r="D427" s="82"/>
      <c r="E427" s="82"/>
      <c r="F427" s="84"/>
      <c r="G427" s="82"/>
      <c r="H427" s="11"/>
      <c r="I427" s="69"/>
      <c r="J427" s="78"/>
      <c r="K427" s="78"/>
      <c r="L427" s="83"/>
    </row>
    <row r="428" spans="1:12" x14ac:dyDescent="0.25">
      <c r="A428" s="81"/>
      <c r="B428" s="69"/>
      <c r="C428" s="11"/>
      <c r="D428" s="82"/>
      <c r="E428" s="82"/>
      <c r="F428" s="84"/>
      <c r="G428" s="82"/>
      <c r="H428" s="11"/>
      <c r="I428" s="69"/>
      <c r="J428" s="78"/>
      <c r="K428" s="78"/>
      <c r="L428" s="83"/>
    </row>
    <row r="429" spans="1:12" x14ac:dyDescent="0.25">
      <c r="A429" s="81"/>
      <c r="B429" s="69"/>
      <c r="C429" s="11"/>
      <c r="D429" s="82"/>
      <c r="E429" s="82"/>
      <c r="F429" s="84"/>
      <c r="G429" s="82"/>
      <c r="H429" s="11"/>
      <c r="I429" s="69"/>
      <c r="J429" s="78"/>
      <c r="K429" s="78"/>
      <c r="L429" s="83"/>
    </row>
    <row r="430" spans="1:12" x14ac:dyDescent="0.25">
      <c r="A430" s="81"/>
      <c r="B430" s="69"/>
      <c r="C430" s="11"/>
      <c r="D430" s="82"/>
      <c r="E430" s="82"/>
      <c r="F430" s="84"/>
      <c r="G430" s="82"/>
      <c r="H430" s="11"/>
      <c r="I430" s="69"/>
      <c r="J430" s="78"/>
      <c r="K430" s="78"/>
      <c r="L430" s="83"/>
    </row>
    <row r="431" spans="1:12" x14ac:dyDescent="0.25">
      <c r="A431" s="81"/>
      <c r="B431" s="69"/>
      <c r="C431" s="11"/>
      <c r="D431" s="82"/>
      <c r="E431" s="82"/>
      <c r="F431" s="84"/>
      <c r="G431" s="82"/>
      <c r="H431" s="11"/>
      <c r="I431" s="69"/>
      <c r="J431" s="78"/>
      <c r="K431" s="78"/>
      <c r="L431" s="83"/>
    </row>
    <row r="432" spans="1:12" x14ac:dyDescent="0.25">
      <c r="A432" s="81"/>
      <c r="B432" s="69"/>
      <c r="C432" s="11"/>
      <c r="D432" s="82"/>
      <c r="E432" s="82"/>
      <c r="F432" s="84"/>
      <c r="G432" s="82"/>
      <c r="H432" s="11"/>
      <c r="I432" s="69"/>
      <c r="J432" s="78"/>
      <c r="K432" s="78"/>
      <c r="L432" s="83"/>
    </row>
    <row r="433" spans="1:12" x14ac:dyDescent="0.25">
      <c r="A433" s="81"/>
      <c r="B433" s="69"/>
      <c r="C433" s="11"/>
      <c r="D433" s="82"/>
      <c r="E433" s="82"/>
      <c r="F433" s="84"/>
      <c r="G433" s="82"/>
      <c r="H433" s="11"/>
      <c r="I433" s="69"/>
      <c r="J433" s="78"/>
      <c r="K433" s="78"/>
      <c r="L433" s="83"/>
    </row>
    <row r="434" spans="1:12" x14ac:dyDescent="0.25">
      <c r="A434" s="81"/>
      <c r="B434" s="69"/>
      <c r="C434" s="11"/>
      <c r="D434" s="82"/>
      <c r="E434" s="82"/>
      <c r="F434" s="84"/>
      <c r="G434" s="82"/>
      <c r="H434" s="11"/>
      <c r="I434" s="69"/>
      <c r="J434" s="78"/>
      <c r="K434" s="78"/>
      <c r="L434" s="83"/>
    </row>
    <row r="435" spans="1:12" x14ac:dyDescent="0.25">
      <c r="A435" s="81"/>
      <c r="B435" s="69"/>
      <c r="C435" s="11"/>
      <c r="D435" s="82"/>
      <c r="E435" s="82"/>
      <c r="F435" s="84"/>
      <c r="G435" s="82"/>
      <c r="H435" s="11"/>
      <c r="I435" s="69"/>
      <c r="J435" s="78"/>
      <c r="K435" s="78"/>
      <c r="L435" s="83"/>
    </row>
    <row r="436" spans="1:12" x14ac:dyDescent="0.25">
      <c r="A436" s="81"/>
      <c r="B436" s="69"/>
      <c r="C436" s="11"/>
      <c r="D436" s="82"/>
      <c r="E436" s="82"/>
      <c r="F436" s="84"/>
      <c r="G436" s="82"/>
      <c r="H436" s="11"/>
      <c r="I436" s="69"/>
      <c r="J436" s="78"/>
      <c r="K436" s="78"/>
      <c r="L436" s="83"/>
    </row>
    <row r="437" spans="1:12" x14ac:dyDescent="0.25">
      <c r="A437" s="81"/>
      <c r="B437" s="69"/>
      <c r="C437" s="11"/>
      <c r="D437" s="82"/>
      <c r="E437" s="82"/>
      <c r="F437" s="84"/>
      <c r="G437" s="82"/>
      <c r="H437" s="11"/>
      <c r="I437" s="69"/>
      <c r="J437" s="78"/>
      <c r="K437" s="78"/>
      <c r="L437" s="83"/>
    </row>
    <row r="438" spans="1:12" x14ac:dyDescent="0.25">
      <c r="A438" s="81"/>
      <c r="B438" s="69"/>
      <c r="C438" s="11"/>
      <c r="D438" s="82"/>
      <c r="E438" s="82"/>
      <c r="F438" s="84"/>
      <c r="G438" s="82"/>
      <c r="H438" s="11"/>
      <c r="I438" s="69"/>
      <c r="J438" s="78"/>
      <c r="K438" s="78"/>
      <c r="L438" s="83"/>
    </row>
    <row r="439" spans="1:12" x14ac:dyDescent="0.25">
      <c r="A439" s="81"/>
      <c r="B439" s="69"/>
      <c r="C439" s="11"/>
      <c r="D439" s="82"/>
      <c r="E439" s="82"/>
      <c r="F439" s="84"/>
      <c r="G439" s="82"/>
      <c r="H439" s="11"/>
      <c r="I439" s="69"/>
      <c r="J439" s="78"/>
      <c r="K439" s="78"/>
      <c r="L439" s="83"/>
    </row>
    <row r="440" spans="1:12" x14ac:dyDescent="0.25">
      <c r="A440" s="81"/>
      <c r="B440" s="69"/>
      <c r="C440" s="11"/>
      <c r="D440" s="82"/>
      <c r="E440" s="82"/>
      <c r="F440" s="84"/>
      <c r="G440" s="82"/>
      <c r="H440" s="11"/>
      <c r="I440" s="69"/>
      <c r="J440" s="78"/>
      <c r="K440" s="78"/>
      <c r="L440" s="83"/>
    </row>
    <row r="441" spans="1:12" x14ac:dyDescent="0.25">
      <c r="A441" s="81"/>
      <c r="B441" s="69"/>
      <c r="C441" s="11"/>
      <c r="D441" s="82"/>
      <c r="E441" s="82"/>
      <c r="F441" s="84"/>
      <c r="G441" s="82"/>
      <c r="H441" s="11"/>
      <c r="I441" s="69"/>
      <c r="J441" s="78"/>
      <c r="K441" s="78"/>
      <c r="L441" s="83"/>
    </row>
    <row r="442" spans="1:12" x14ac:dyDescent="0.25">
      <c r="A442" s="81"/>
      <c r="B442" s="69"/>
      <c r="C442" s="11"/>
      <c r="D442" s="82"/>
      <c r="E442" s="82"/>
      <c r="F442" s="84"/>
      <c r="G442" s="82"/>
      <c r="H442" s="11"/>
      <c r="I442" s="69"/>
      <c r="J442" s="78"/>
      <c r="K442" s="78"/>
      <c r="L442" s="83"/>
    </row>
    <row r="443" spans="1:12" x14ac:dyDescent="0.25">
      <c r="A443" s="81"/>
      <c r="B443" s="69"/>
      <c r="C443" s="11"/>
      <c r="D443" s="82"/>
      <c r="E443" s="82"/>
      <c r="F443" s="84"/>
      <c r="G443" s="82"/>
      <c r="H443" s="11"/>
      <c r="I443" s="69"/>
      <c r="J443" s="78"/>
      <c r="K443" s="78"/>
      <c r="L443" s="83"/>
    </row>
    <row r="444" spans="1:12" x14ac:dyDescent="0.25">
      <c r="A444" s="81"/>
      <c r="B444" s="69"/>
      <c r="C444" s="11"/>
      <c r="D444" s="82"/>
      <c r="E444" s="82"/>
      <c r="F444" s="84"/>
      <c r="G444" s="82"/>
      <c r="H444" s="11"/>
      <c r="I444" s="69"/>
      <c r="J444" s="78"/>
      <c r="K444" s="78"/>
      <c r="L444" s="83"/>
    </row>
    <row r="445" spans="1:12" x14ac:dyDescent="0.25">
      <c r="A445" s="81"/>
      <c r="B445" s="69"/>
      <c r="C445" s="11"/>
      <c r="D445" s="82"/>
      <c r="E445" s="82"/>
      <c r="F445" s="84"/>
      <c r="G445" s="82"/>
      <c r="H445" s="11"/>
      <c r="I445" s="69"/>
      <c r="J445" s="78"/>
      <c r="K445" s="78"/>
      <c r="L445" s="83"/>
    </row>
    <row r="446" spans="1:12" x14ac:dyDescent="0.25">
      <c r="A446" s="81"/>
      <c r="B446" s="69"/>
      <c r="C446" s="11"/>
      <c r="D446" s="82"/>
      <c r="E446" s="82"/>
      <c r="F446" s="84"/>
      <c r="G446" s="82"/>
      <c r="H446" s="11"/>
      <c r="I446" s="69"/>
      <c r="J446" s="78"/>
      <c r="K446" s="78"/>
      <c r="L446" s="83"/>
    </row>
    <row r="447" spans="1:12" x14ac:dyDescent="0.25">
      <c r="A447" s="81"/>
      <c r="B447" s="69"/>
      <c r="C447" s="11"/>
      <c r="D447" s="82"/>
      <c r="E447" s="82"/>
      <c r="F447" s="84"/>
      <c r="G447" s="82"/>
      <c r="H447" s="11"/>
      <c r="I447" s="69"/>
      <c r="J447" s="78"/>
      <c r="K447" s="78"/>
      <c r="L447" s="83"/>
    </row>
    <row r="448" spans="1:12" x14ac:dyDescent="0.25">
      <c r="A448" s="81"/>
      <c r="B448" s="69"/>
      <c r="C448" s="11"/>
      <c r="D448" s="82"/>
      <c r="E448" s="82"/>
      <c r="F448" s="84"/>
      <c r="G448" s="82"/>
      <c r="H448" s="11"/>
      <c r="I448" s="69"/>
      <c r="J448" s="78"/>
      <c r="K448" s="78"/>
      <c r="L448" s="83"/>
    </row>
    <row r="449" spans="1:12" x14ac:dyDescent="0.25">
      <c r="A449" s="81"/>
      <c r="B449" s="69"/>
      <c r="C449" s="11"/>
      <c r="D449" s="82"/>
      <c r="E449" s="82"/>
      <c r="F449" s="84"/>
      <c r="G449" s="82"/>
      <c r="H449" s="11"/>
      <c r="I449" s="69"/>
      <c r="J449" s="78"/>
      <c r="K449" s="78"/>
      <c r="L449" s="83"/>
    </row>
    <row r="450" spans="1:12" x14ac:dyDescent="0.25">
      <c r="A450" s="81"/>
      <c r="B450" s="69"/>
      <c r="C450" s="11"/>
      <c r="D450" s="82"/>
      <c r="E450" s="82"/>
      <c r="F450" s="84"/>
      <c r="G450" s="82"/>
      <c r="H450" s="11"/>
      <c r="I450" s="69"/>
      <c r="J450" s="78"/>
      <c r="K450" s="78"/>
      <c r="L450" s="83"/>
    </row>
    <row r="451" spans="1:12" x14ac:dyDescent="0.25">
      <c r="A451" s="81"/>
      <c r="B451" s="69"/>
      <c r="C451" s="11"/>
      <c r="D451" s="82"/>
      <c r="E451" s="82"/>
      <c r="F451" s="84"/>
      <c r="G451" s="82"/>
      <c r="H451" s="11"/>
      <c r="I451" s="69"/>
      <c r="J451" s="78"/>
      <c r="K451" s="78"/>
      <c r="L451" s="83"/>
    </row>
    <row r="452" spans="1:12" x14ac:dyDescent="0.25">
      <c r="A452" s="81"/>
      <c r="B452" s="69"/>
      <c r="C452" s="11"/>
      <c r="D452" s="82"/>
      <c r="E452" s="82"/>
      <c r="F452" s="84"/>
      <c r="G452" s="82"/>
      <c r="H452" s="11"/>
      <c r="I452" s="69"/>
      <c r="J452" s="78"/>
      <c r="K452" s="78"/>
      <c r="L452" s="83"/>
    </row>
    <row r="453" spans="1:12" x14ac:dyDescent="0.25">
      <c r="A453" s="81"/>
      <c r="B453" s="69"/>
      <c r="C453" s="11"/>
      <c r="D453" s="82"/>
      <c r="E453" s="82"/>
      <c r="F453" s="84"/>
      <c r="G453" s="82"/>
      <c r="H453" s="11"/>
      <c r="I453" s="69"/>
      <c r="J453" s="78"/>
      <c r="K453" s="78"/>
      <c r="L453" s="83"/>
    </row>
    <row r="454" spans="1:12" x14ac:dyDescent="0.25">
      <c r="A454" s="81"/>
      <c r="B454" s="69"/>
      <c r="C454" s="11"/>
      <c r="D454" s="82"/>
      <c r="E454" s="82"/>
      <c r="F454" s="84"/>
      <c r="G454" s="82"/>
      <c r="H454" s="11"/>
      <c r="I454" s="69"/>
      <c r="J454" s="78"/>
      <c r="K454" s="78"/>
      <c r="L454" s="83"/>
    </row>
    <row r="455" spans="1:12" x14ac:dyDescent="0.25">
      <c r="A455" s="81"/>
      <c r="B455" s="69"/>
      <c r="C455" s="11"/>
      <c r="D455" s="82"/>
      <c r="E455" s="82"/>
      <c r="F455" s="84"/>
      <c r="G455" s="82"/>
      <c r="H455" s="11"/>
      <c r="I455" s="69"/>
      <c r="J455" s="78"/>
      <c r="K455" s="78"/>
      <c r="L455" s="83"/>
    </row>
    <row r="456" spans="1:12" x14ac:dyDescent="0.25">
      <c r="A456" s="81"/>
      <c r="B456" s="69"/>
      <c r="C456" s="11"/>
      <c r="D456" s="82"/>
      <c r="E456" s="82"/>
      <c r="F456" s="84"/>
      <c r="G456" s="82"/>
      <c r="H456" s="11"/>
      <c r="I456" s="69"/>
      <c r="J456" s="78"/>
      <c r="K456" s="78"/>
      <c r="L456" s="83"/>
    </row>
    <row r="457" spans="1:12" x14ac:dyDescent="0.25">
      <c r="A457" s="81"/>
      <c r="B457" s="69"/>
      <c r="C457" s="11"/>
      <c r="D457" s="82"/>
      <c r="E457" s="82"/>
      <c r="F457" s="84"/>
      <c r="G457" s="82"/>
      <c r="H457" s="11"/>
      <c r="I457" s="69"/>
      <c r="J457" s="78"/>
      <c r="K457" s="78"/>
      <c r="L457" s="83"/>
    </row>
    <row r="458" spans="1:12" x14ac:dyDescent="0.25">
      <c r="A458" s="81"/>
      <c r="B458" s="69"/>
      <c r="C458" s="11"/>
      <c r="D458" s="82"/>
      <c r="E458" s="82"/>
      <c r="F458" s="84"/>
      <c r="G458" s="82"/>
      <c r="H458" s="11"/>
      <c r="I458" s="69"/>
      <c r="J458" s="78"/>
      <c r="K458" s="78"/>
      <c r="L458" s="83"/>
    </row>
    <row r="459" spans="1:12" x14ac:dyDescent="0.25">
      <c r="A459" s="81"/>
      <c r="B459" s="69"/>
      <c r="C459" s="11"/>
      <c r="D459" s="82"/>
      <c r="E459" s="82"/>
      <c r="F459" s="84"/>
      <c r="G459" s="82"/>
      <c r="H459" s="11"/>
      <c r="I459" s="69"/>
      <c r="J459" s="78"/>
      <c r="K459" s="78"/>
      <c r="L459" s="83"/>
    </row>
    <row r="460" spans="1:12" x14ac:dyDescent="0.25">
      <c r="A460" s="81"/>
      <c r="B460" s="69"/>
      <c r="C460" s="11"/>
      <c r="D460" s="82"/>
      <c r="E460" s="82"/>
      <c r="F460" s="84"/>
      <c r="G460" s="82"/>
      <c r="H460" s="11"/>
      <c r="I460" s="69"/>
      <c r="J460" s="78"/>
      <c r="K460" s="78"/>
      <c r="L460" s="83"/>
    </row>
    <row r="461" spans="1:12" x14ac:dyDescent="0.25">
      <c r="A461" s="81"/>
      <c r="B461" s="69"/>
      <c r="C461" s="11"/>
      <c r="D461" s="82"/>
      <c r="E461" s="82"/>
      <c r="F461" s="84"/>
      <c r="G461" s="82"/>
      <c r="H461" s="11"/>
      <c r="I461" s="69"/>
      <c r="J461" s="78"/>
      <c r="K461" s="78"/>
      <c r="L461" s="83"/>
    </row>
    <row r="462" spans="1:12" x14ac:dyDescent="0.25">
      <c r="A462" s="81"/>
      <c r="B462" s="69"/>
      <c r="C462" s="11"/>
      <c r="D462" s="82"/>
      <c r="E462" s="82"/>
      <c r="F462" s="84"/>
      <c r="G462" s="82"/>
      <c r="H462" s="11"/>
      <c r="I462" s="69"/>
      <c r="J462" s="78"/>
      <c r="K462" s="78"/>
      <c r="L462" s="83"/>
    </row>
    <row r="463" spans="1:12" x14ac:dyDescent="0.25">
      <c r="A463" s="81"/>
      <c r="B463" s="69"/>
      <c r="C463" s="11"/>
      <c r="D463" s="82"/>
      <c r="E463" s="82"/>
      <c r="F463" s="84"/>
      <c r="G463" s="82"/>
      <c r="H463" s="11"/>
      <c r="I463" s="69"/>
      <c r="J463" s="78"/>
      <c r="K463" s="78"/>
      <c r="L463" s="83"/>
    </row>
    <row r="464" spans="1:12" x14ac:dyDescent="0.25">
      <c r="A464" s="81"/>
      <c r="B464" s="69"/>
      <c r="C464" s="11"/>
      <c r="D464" s="82"/>
      <c r="E464" s="82"/>
      <c r="F464" s="84"/>
      <c r="G464" s="82"/>
      <c r="H464" s="11"/>
      <c r="I464" s="69"/>
      <c r="J464" s="78"/>
      <c r="K464" s="78"/>
      <c r="L464" s="83"/>
    </row>
    <row r="465" spans="1:12" x14ac:dyDescent="0.25">
      <c r="A465" s="81"/>
      <c r="B465" s="69"/>
      <c r="C465" s="11"/>
      <c r="D465" s="82"/>
      <c r="E465" s="82"/>
      <c r="F465" s="84"/>
      <c r="G465" s="82"/>
      <c r="H465" s="11"/>
      <c r="I465" s="69"/>
      <c r="J465" s="78"/>
      <c r="K465" s="78"/>
      <c r="L465" s="83"/>
    </row>
    <row r="466" spans="1:12" x14ac:dyDescent="0.25">
      <c r="A466" s="81"/>
      <c r="B466" s="69"/>
      <c r="C466" s="11"/>
      <c r="D466" s="82"/>
      <c r="E466" s="82"/>
      <c r="F466" s="84"/>
      <c r="G466" s="82"/>
      <c r="H466" s="11"/>
      <c r="I466" s="69"/>
      <c r="J466" s="78"/>
      <c r="K466" s="78"/>
      <c r="L466" s="83"/>
    </row>
    <row r="467" spans="1:12" x14ac:dyDescent="0.25">
      <c r="A467" s="81"/>
      <c r="B467" s="69"/>
      <c r="C467" s="11"/>
      <c r="D467" s="82"/>
      <c r="E467" s="82"/>
      <c r="F467" s="84"/>
      <c r="G467" s="82"/>
      <c r="H467" s="11"/>
      <c r="I467" s="69"/>
      <c r="J467" s="78"/>
      <c r="K467" s="78"/>
      <c r="L467" s="83"/>
    </row>
    <row r="468" spans="1:12" x14ac:dyDescent="0.25">
      <c r="A468" s="81"/>
      <c r="B468" s="69"/>
      <c r="C468" s="11"/>
      <c r="D468" s="82"/>
      <c r="E468" s="82"/>
      <c r="F468" s="84"/>
      <c r="G468" s="82"/>
      <c r="H468" s="11"/>
      <c r="I468" s="69"/>
      <c r="J468" s="78"/>
      <c r="K468" s="78"/>
      <c r="L468" s="83"/>
    </row>
    <row r="469" spans="1:12" x14ac:dyDescent="0.25">
      <c r="A469" s="81"/>
      <c r="B469" s="69"/>
      <c r="C469" s="11"/>
      <c r="D469" s="82"/>
      <c r="E469" s="82"/>
      <c r="F469" s="84"/>
      <c r="G469" s="82"/>
      <c r="H469" s="11"/>
      <c r="I469" s="69"/>
      <c r="J469" s="78"/>
      <c r="K469" s="78"/>
      <c r="L469" s="83"/>
    </row>
    <row r="470" spans="1:12" x14ac:dyDescent="0.25">
      <c r="A470" s="81"/>
      <c r="B470" s="69"/>
      <c r="C470" s="11"/>
      <c r="D470" s="82"/>
      <c r="E470" s="82"/>
      <c r="F470" s="84"/>
      <c r="G470" s="82"/>
      <c r="H470" s="11"/>
      <c r="I470" s="69"/>
      <c r="J470" s="78"/>
      <c r="K470" s="78"/>
      <c r="L470" s="83"/>
    </row>
    <row r="471" spans="1:12" x14ac:dyDescent="0.25">
      <c r="A471" s="81"/>
      <c r="B471" s="69"/>
      <c r="C471" s="11"/>
      <c r="D471" s="82"/>
      <c r="E471" s="82"/>
      <c r="F471" s="84"/>
      <c r="G471" s="82"/>
      <c r="H471" s="11"/>
      <c r="I471" s="69"/>
      <c r="J471" s="78"/>
      <c r="K471" s="78"/>
      <c r="L471" s="83"/>
    </row>
    <row r="472" spans="1:12" x14ac:dyDescent="0.25">
      <c r="A472" s="81"/>
      <c r="B472" s="69"/>
      <c r="C472" s="11"/>
      <c r="D472" s="82"/>
      <c r="E472" s="82"/>
      <c r="F472" s="84"/>
      <c r="G472" s="82"/>
      <c r="H472" s="11"/>
      <c r="I472" s="69"/>
      <c r="J472" s="78"/>
      <c r="K472" s="78"/>
      <c r="L472" s="83"/>
    </row>
    <row r="473" spans="1:12" x14ac:dyDescent="0.25">
      <c r="A473" s="81"/>
      <c r="B473" s="69"/>
      <c r="C473" s="11"/>
      <c r="D473" s="82"/>
      <c r="E473" s="82"/>
      <c r="F473" s="84"/>
      <c r="G473" s="82"/>
      <c r="H473" s="11"/>
      <c r="I473" s="69"/>
      <c r="J473" s="78"/>
      <c r="K473" s="78"/>
      <c r="L473" s="83"/>
    </row>
    <row r="474" spans="1:12" x14ac:dyDescent="0.25">
      <c r="A474" s="81"/>
      <c r="B474" s="69"/>
      <c r="C474" s="11"/>
      <c r="D474" s="82"/>
      <c r="E474" s="82"/>
      <c r="F474" s="84"/>
      <c r="G474" s="82"/>
      <c r="H474" s="11"/>
      <c r="I474" s="69"/>
      <c r="J474" s="78"/>
      <c r="K474" s="78"/>
      <c r="L474" s="83"/>
    </row>
    <row r="475" spans="1:12" x14ac:dyDescent="0.25">
      <c r="A475" s="81"/>
      <c r="B475" s="69"/>
      <c r="C475" s="11"/>
      <c r="D475" s="82"/>
      <c r="E475" s="82"/>
      <c r="F475" s="84"/>
      <c r="G475" s="82"/>
      <c r="H475" s="11"/>
      <c r="I475" s="69"/>
      <c r="J475" s="78"/>
      <c r="K475" s="78"/>
      <c r="L475" s="83"/>
    </row>
    <row r="476" spans="1:12" x14ac:dyDescent="0.25">
      <c r="A476" s="81"/>
      <c r="B476" s="69"/>
      <c r="C476" s="11"/>
      <c r="D476" s="82"/>
      <c r="E476" s="82"/>
      <c r="F476" s="84"/>
      <c r="G476" s="82"/>
      <c r="H476" s="11"/>
      <c r="I476" s="69"/>
      <c r="J476" s="78"/>
      <c r="K476" s="78"/>
      <c r="L476" s="83"/>
    </row>
    <row r="477" spans="1:12" x14ac:dyDescent="0.25">
      <c r="A477" s="81"/>
      <c r="B477" s="69"/>
      <c r="C477" s="11"/>
      <c r="D477" s="82"/>
      <c r="E477" s="82"/>
      <c r="F477" s="84"/>
      <c r="G477" s="82"/>
      <c r="H477" s="11"/>
      <c r="I477" s="69"/>
      <c r="J477" s="78"/>
      <c r="K477" s="78"/>
      <c r="L477" s="83"/>
    </row>
    <row r="478" spans="1:12" x14ac:dyDescent="0.25">
      <c r="A478" s="81"/>
      <c r="B478" s="69"/>
      <c r="C478" s="11"/>
      <c r="D478" s="82"/>
      <c r="E478" s="82"/>
      <c r="F478" s="84"/>
      <c r="G478" s="82"/>
      <c r="H478" s="11"/>
      <c r="I478" s="69"/>
      <c r="J478" s="78"/>
      <c r="K478" s="78"/>
      <c r="L478" s="83"/>
    </row>
    <row r="479" spans="1:12" x14ac:dyDescent="0.25">
      <c r="A479" s="81"/>
      <c r="B479" s="69"/>
      <c r="C479" s="11"/>
      <c r="D479" s="82"/>
      <c r="E479" s="82"/>
      <c r="F479" s="84"/>
      <c r="G479" s="82"/>
      <c r="H479" s="11"/>
      <c r="I479" s="69"/>
      <c r="J479" s="78"/>
      <c r="K479" s="78"/>
      <c r="L479" s="83"/>
    </row>
    <row r="480" spans="1:12" x14ac:dyDescent="0.25">
      <c r="A480" s="81"/>
      <c r="B480" s="69"/>
      <c r="C480" s="11"/>
      <c r="D480" s="82"/>
      <c r="E480" s="82"/>
      <c r="F480" s="84"/>
      <c r="G480" s="82"/>
      <c r="H480" s="11"/>
      <c r="I480" s="69"/>
      <c r="J480" s="78"/>
      <c r="K480" s="78"/>
      <c r="L480" s="83"/>
    </row>
    <row r="481" spans="1:12" x14ac:dyDescent="0.25">
      <c r="A481" s="81"/>
      <c r="B481" s="69"/>
      <c r="C481" s="11"/>
      <c r="D481" s="82"/>
      <c r="E481" s="82"/>
      <c r="F481" s="84"/>
      <c r="G481" s="82"/>
      <c r="H481" s="11"/>
      <c r="I481" s="69"/>
      <c r="J481" s="78"/>
      <c r="K481" s="78"/>
      <c r="L481" s="83"/>
    </row>
    <row r="482" spans="1:12" x14ac:dyDescent="0.25">
      <c r="A482" s="81"/>
      <c r="B482" s="69"/>
      <c r="C482" s="11"/>
      <c r="D482" s="82"/>
      <c r="E482" s="82"/>
      <c r="F482" s="84"/>
      <c r="G482" s="82"/>
      <c r="H482" s="11"/>
      <c r="I482" s="69"/>
      <c r="J482" s="78"/>
      <c r="K482" s="78"/>
      <c r="L482" s="83"/>
    </row>
    <row r="483" spans="1:12" x14ac:dyDescent="0.25">
      <c r="A483" s="81"/>
      <c r="B483" s="69"/>
      <c r="C483" s="11"/>
      <c r="D483" s="82"/>
      <c r="E483" s="82"/>
      <c r="F483" s="84"/>
      <c r="G483" s="82"/>
      <c r="H483" s="11"/>
      <c r="I483" s="69"/>
      <c r="J483" s="78"/>
      <c r="K483" s="78"/>
      <c r="L483" s="83"/>
    </row>
    <row r="484" spans="1:12" x14ac:dyDescent="0.25">
      <c r="A484" s="81"/>
      <c r="B484" s="69"/>
      <c r="C484" s="11"/>
      <c r="D484" s="82"/>
      <c r="E484" s="82"/>
      <c r="F484" s="84"/>
      <c r="G484" s="82"/>
      <c r="H484" s="11"/>
      <c r="I484" s="69"/>
      <c r="J484" s="78"/>
      <c r="K484" s="78"/>
      <c r="L484" s="83"/>
    </row>
    <row r="485" spans="1:12" x14ac:dyDescent="0.25">
      <c r="A485" s="81"/>
      <c r="B485" s="69"/>
      <c r="C485" s="11"/>
      <c r="D485" s="82"/>
      <c r="E485" s="82"/>
      <c r="F485" s="84"/>
      <c r="G485" s="82"/>
      <c r="H485" s="11"/>
      <c r="I485" s="69"/>
      <c r="J485" s="78"/>
      <c r="K485" s="78"/>
      <c r="L485" s="83"/>
    </row>
    <row r="486" spans="1:12" x14ac:dyDescent="0.25">
      <c r="A486" s="81"/>
      <c r="B486" s="69"/>
      <c r="C486" s="11"/>
      <c r="D486" s="82"/>
      <c r="E486" s="82"/>
      <c r="F486" s="84"/>
      <c r="G486" s="82"/>
      <c r="H486" s="11"/>
      <c r="I486" s="69"/>
      <c r="J486" s="78"/>
      <c r="K486" s="78"/>
      <c r="L486" s="83"/>
    </row>
    <row r="487" spans="1:12" x14ac:dyDescent="0.25">
      <c r="A487" s="81"/>
      <c r="B487" s="69"/>
      <c r="C487" s="11"/>
      <c r="D487" s="82"/>
      <c r="E487" s="82"/>
      <c r="F487" s="84"/>
      <c r="G487" s="82"/>
      <c r="H487" s="11"/>
      <c r="I487" s="69"/>
      <c r="J487" s="78"/>
      <c r="K487" s="78"/>
      <c r="L487" s="83"/>
    </row>
    <row r="488" spans="1:12" x14ac:dyDescent="0.25">
      <c r="A488" s="81"/>
      <c r="B488" s="69"/>
      <c r="C488" s="11"/>
      <c r="D488" s="82"/>
      <c r="E488" s="82"/>
      <c r="F488" s="84"/>
      <c r="G488" s="82"/>
      <c r="H488" s="11"/>
      <c r="I488" s="69"/>
      <c r="J488" s="78"/>
      <c r="K488" s="78"/>
      <c r="L488" s="83"/>
    </row>
    <row r="489" spans="1:12" x14ac:dyDescent="0.25">
      <c r="A489" s="81"/>
      <c r="B489" s="69"/>
      <c r="C489" s="11"/>
      <c r="D489" s="82"/>
      <c r="E489" s="82"/>
      <c r="F489" s="84"/>
      <c r="G489" s="82"/>
      <c r="H489" s="11"/>
      <c r="I489" s="69"/>
      <c r="J489" s="78"/>
      <c r="K489" s="78"/>
      <c r="L489" s="83"/>
    </row>
    <row r="490" spans="1:12" x14ac:dyDescent="0.25">
      <c r="A490" s="81"/>
      <c r="B490" s="69"/>
      <c r="C490" s="11"/>
      <c r="D490" s="82"/>
      <c r="E490" s="82"/>
      <c r="F490" s="84"/>
      <c r="G490" s="82"/>
      <c r="H490" s="11"/>
      <c r="I490" s="69"/>
      <c r="J490" s="78"/>
      <c r="K490" s="78"/>
      <c r="L490" s="83"/>
    </row>
    <row r="491" spans="1:12" x14ac:dyDescent="0.25">
      <c r="A491" s="81"/>
      <c r="B491" s="69"/>
      <c r="C491" s="11"/>
      <c r="D491" s="82"/>
      <c r="E491" s="82"/>
      <c r="F491" s="84"/>
      <c r="G491" s="82"/>
      <c r="H491" s="11"/>
      <c r="I491" s="69"/>
      <c r="J491" s="78"/>
      <c r="K491" s="78"/>
      <c r="L491" s="83"/>
    </row>
    <row r="492" spans="1:12" x14ac:dyDescent="0.25">
      <c r="A492" s="81"/>
      <c r="B492" s="69"/>
      <c r="C492" s="11"/>
      <c r="D492" s="82"/>
      <c r="E492" s="82"/>
      <c r="F492" s="84"/>
      <c r="G492" s="82"/>
      <c r="H492" s="11"/>
      <c r="I492" s="69"/>
      <c r="J492" s="78"/>
      <c r="K492" s="78"/>
      <c r="L492" s="83"/>
    </row>
    <row r="493" spans="1:12" x14ac:dyDescent="0.25">
      <c r="A493" s="81"/>
      <c r="B493" s="69"/>
      <c r="C493" s="11"/>
      <c r="D493" s="82"/>
      <c r="E493" s="82"/>
      <c r="F493" s="84"/>
      <c r="G493" s="82"/>
      <c r="H493" s="11"/>
      <c r="I493" s="69"/>
      <c r="J493" s="78"/>
      <c r="K493" s="78"/>
      <c r="L493" s="83"/>
    </row>
    <row r="494" spans="1:12" x14ac:dyDescent="0.25">
      <c r="A494" s="81"/>
      <c r="B494" s="69"/>
      <c r="C494" s="11"/>
      <c r="D494" s="82"/>
      <c r="E494" s="82"/>
      <c r="F494" s="84"/>
      <c r="G494" s="82"/>
      <c r="H494" s="11"/>
      <c r="I494" s="69"/>
      <c r="J494" s="78"/>
      <c r="K494" s="78"/>
      <c r="L494" s="83"/>
    </row>
    <row r="495" spans="1:12" x14ac:dyDescent="0.25">
      <c r="A495" s="81"/>
      <c r="B495" s="69"/>
      <c r="C495" s="11"/>
      <c r="D495" s="82"/>
      <c r="E495" s="82"/>
      <c r="F495" s="84"/>
      <c r="G495" s="82"/>
      <c r="H495" s="11"/>
      <c r="I495" s="69"/>
      <c r="J495" s="78"/>
      <c r="K495" s="78"/>
      <c r="L495" s="83"/>
    </row>
    <row r="496" spans="1:12" x14ac:dyDescent="0.25">
      <c r="A496" s="81"/>
      <c r="B496" s="69"/>
      <c r="C496" s="11"/>
      <c r="D496" s="82"/>
      <c r="E496" s="82"/>
      <c r="F496" s="84"/>
      <c r="G496" s="82"/>
      <c r="H496" s="11"/>
      <c r="I496" s="69"/>
      <c r="J496" s="78"/>
      <c r="K496" s="78"/>
      <c r="L496" s="83"/>
    </row>
    <row r="497" spans="1:12" x14ac:dyDescent="0.25">
      <c r="A497" s="81"/>
      <c r="B497" s="69"/>
      <c r="C497" s="11"/>
      <c r="D497" s="82"/>
      <c r="E497" s="82"/>
      <c r="F497" s="84"/>
      <c r="G497" s="82"/>
      <c r="H497" s="11"/>
      <c r="I497" s="69"/>
      <c r="J497" s="78"/>
      <c r="K497" s="78"/>
      <c r="L497" s="83"/>
    </row>
    <row r="498" spans="1:12" x14ac:dyDescent="0.25">
      <c r="A498" s="81"/>
      <c r="B498" s="69"/>
      <c r="C498" s="11"/>
      <c r="D498" s="82"/>
      <c r="E498" s="82"/>
      <c r="F498" s="84"/>
      <c r="G498" s="82"/>
      <c r="H498" s="11"/>
      <c r="I498" s="69"/>
      <c r="J498" s="78"/>
      <c r="K498" s="78"/>
      <c r="L498" s="83"/>
    </row>
    <row r="499" spans="1:12" x14ac:dyDescent="0.25">
      <c r="A499" s="81"/>
      <c r="B499" s="69"/>
      <c r="C499" s="11"/>
      <c r="D499" s="82"/>
      <c r="E499" s="82"/>
      <c r="F499" s="84"/>
      <c r="G499" s="82"/>
      <c r="H499" s="11"/>
      <c r="I499" s="69"/>
      <c r="J499" s="78"/>
      <c r="K499" s="78"/>
      <c r="L499" s="83"/>
    </row>
    <row r="500" spans="1:12" x14ac:dyDescent="0.25">
      <c r="A500" s="81"/>
      <c r="B500" s="69"/>
      <c r="C500" s="11"/>
      <c r="D500" s="82"/>
      <c r="E500" s="82"/>
      <c r="F500" s="84"/>
      <c r="G500" s="82"/>
      <c r="H500" s="11"/>
      <c r="I500" s="69"/>
      <c r="J500" s="78"/>
      <c r="K500" s="78"/>
      <c r="L500" s="83"/>
    </row>
    <row r="501" spans="1:12" x14ac:dyDescent="0.25">
      <c r="A501" s="81"/>
      <c r="B501" s="69"/>
      <c r="C501" s="11"/>
      <c r="D501" s="82"/>
      <c r="E501" s="82"/>
      <c r="F501" s="84"/>
      <c r="G501" s="82"/>
      <c r="H501" s="11"/>
      <c r="I501" s="69"/>
      <c r="J501" s="78"/>
      <c r="K501" s="78"/>
      <c r="L501" s="83"/>
    </row>
    <row r="502" spans="1:12" x14ac:dyDescent="0.25">
      <c r="A502" s="81"/>
      <c r="B502" s="69"/>
      <c r="C502" s="11"/>
      <c r="D502" s="82"/>
      <c r="E502" s="82"/>
      <c r="F502" s="84"/>
      <c r="G502" s="82"/>
      <c r="H502" s="11"/>
      <c r="I502" s="69"/>
      <c r="J502" s="78"/>
      <c r="K502" s="78"/>
      <c r="L502" s="83"/>
    </row>
    <row r="503" spans="1:12" x14ac:dyDescent="0.25">
      <c r="A503" s="81"/>
      <c r="B503" s="69"/>
      <c r="C503" s="11"/>
      <c r="D503" s="82"/>
      <c r="E503" s="82"/>
      <c r="F503" s="84"/>
      <c r="G503" s="82"/>
      <c r="H503" s="11"/>
      <c r="I503" s="69"/>
      <c r="J503" s="78"/>
      <c r="K503" s="78"/>
      <c r="L503" s="83"/>
    </row>
    <row r="504" spans="1:12" x14ac:dyDescent="0.25">
      <c r="A504" s="81"/>
      <c r="B504" s="69"/>
      <c r="C504" s="11"/>
      <c r="D504" s="82"/>
      <c r="E504" s="82"/>
      <c r="F504" s="84"/>
      <c r="G504" s="82"/>
      <c r="H504" s="11"/>
      <c r="I504" s="69"/>
      <c r="J504" s="78"/>
      <c r="K504" s="78"/>
      <c r="L504" s="83"/>
    </row>
    <row r="505" spans="1:12" x14ac:dyDescent="0.25">
      <c r="A505" s="81"/>
      <c r="B505" s="69"/>
      <c r="C505" s="11"/>
      <c r="D505" s="82"/>
      <c r="E505" s="82"/>
      <c r="F505" s="84"/>
      <c r="G505" s="82"/>
      <c r="H505" s="11"/>
      <c r="I505" s="69"/>
      <c r="J505" s="78"/>
      <c r="K505" s="78"/>
      <c r="L505" s="83"/>
    </row>
    <row r="506" spans="1:12" x14ac:dyDescent="0.25">
      <c r="A506" s="81"/>
      <c r="B506" s="69"/>
      <c r="C506" s="11"/>
      <c r="D506" s="82"/>
      <c r="E506" s="82"/>
      <c r="F506" s="84"/>
      <c r="G506" s="82"/>
      <c r="H506" s="11"/>
      <c r="I506" s="69"/>
      <c r="J506" s="78"/>
      <c r="K506" s="78"/>
      <c r="L506" s="83"/>
    </row>
    <row r="507" spans="1:12" x14ac:dyDescent="0.25">
      <c r="A507" s="81"/>
      <c r="B507" s="69"/>
      <c r="C507" s="11"/>
      <c r="D507" s="82"/>
      <c r="E507" s="82"/>
      <c r="F507" s="84"/>
      <c r="G507" s="82"/>
      <c r="H507" s="11"/>
      <c r="I507" s="69"/>
      <c r="J507" s="78"/>
      <c r="K507" s="78"/>
      <c r="L507" s="83"/>
    </row>
    <row r="508" spans="1:12" x14ac:dyDescent="0.25">
      <c r="A508" s="81"/>
      <c r="B508" s="69"/>
      <c r="C508" s="11"/>
      <c r="D508" s="82"/>
      <c r="E508" s="82"/>
      <c r="F508" s="84"/>
      <c r="G508" s="82"/>
      <c r="H508" s="11"/>
      <c r="I508" s="69"/>
      <c r="J508" s="78"/>
      <c r="K508" s="78"/>
      <c r="L508" s="83"/>
    </row>
    <row r="509" spans="1:12" x14ac:dyDescent="0.25">
      <c r="A509" s="81"/>
      <c r="B509" s="69"/>
      <c r="C509" s="11"/>
      <c r="D509" s="82"/>
      <c r="E509" s="82"/>
      <c r="F509" s="84"/>
      <c r="G509" s="82"/>
      <c r="H509" s="11"/>
      <c r="I509" s="69"/>
      <c r="J509" s="78"/>
      <c r="K509" s="78"/>
      <c r="L509" s="83"/>
    </row>
    <row r="510" spans="1:12" x14ac:dyDescent="0.25">
      <c r="A510" s="81"/>
      <c r="B510" s="69"/>
      <c r="C510" s="11"/>
      <c r="D510" s="82"/>
      <c r="E510" s="82"/>
      <c r="F510" s="84"/>
      <c r="G510" s="82"/>
      <c r="H510" s="11"/>
      <c r="I510" s="69"/>
      <c r="J510" s="78"/>
      <c r="K510" s="78"/>
      <c r="L510" s="83"/>
    </row>
    <row r="511" spans="1:12" x14ac:dyDescent="0.25">
      <c r="A511" s="81"/>
      <c r="B511" s="69"/>
      <c r="C511" s="11"/>
      <c r="D511" s="82"/>
      <c r="E511" s="82"/>
      <c r="F511" s="84"/>
      <c r="G511" s="82"/>
      <c r="H511" s="11"/>
      <c r="I511" s="69"/>
      <c r="J511" s="78"/>
      <c r="K511" s="78"/>
      <c r="L511" s="83"/>
    </row>
    <row r="512" spans="1:12" x14ac:dyDescent="0.25">
      <c r="A512" s="81"/>
      <c r="B512" s="69"/>
      <c r="C512" s="11"/>
      <c r="D512" s="82"/>
      <c r="E512" s="82"/>
      <c r="F512" s="84"/>
      <c r="G512" s="82"/>
      <c r="H512" s="11"/>
      <c r="I512" s="69"/>
      <c r="J512" s="78"/>
      <c r="K512" s="78"/>
      <c r="L512" s="83"/>
    </row>
    <row r="513" spans="1:12" x14ac:dyDescent="0.25">
      <c r="A513" s="81"/>
      <c r="B513" s="69"/>
      <c r="C513" s="11"/>
      <c r="D513" s="82"/>
      <c r="E513" s="82"/>
      <c r="F513" s="84"/>
      <c r="G513" s="82"/>
      <c r="H513" s="11"/>
      <c r="I513" s="69"/>
      <c r="J513" s="78"/>
      <c r="K513" s="78"/>
      <c r="L513" s="83"/>
    </row>
    <row r="514" spans="1:12" x14ac:dyDescent="0.25">
      <c r="A514" s="81"/>
      <c r="B514" s="69"/>
      <c r="C514" s="11"/>
      <c r="D514" s="82"/>
      <c r="E514" s="82"/>
      <c r="F514" s="84"/>
      <c r="G514" s="82"/>
      <c r="H514" s="11"/>
      <c r="I514" s="69"/>
      <c r="J514" s="78"/>
      <c r="K514" s="78"/>
      <c r="L514" s="83"/>
    </row>
    <row r="515" spans="1:12" x14ac:dyDescent="0.25">
      <c r="A515" s="81"/>
      <c r="B515" s="69"/>
      <c r="C515" s="11"/>
      <c r="D515" s="82"/>
      <c r="E515" s="82"/>
      <c r="F515" s="84"/>
      <c r="G515" s="82"/>
      <c r="H515" s="11"/>
      <c r="I515" s="69"/>
      <c r="J515" s="78"/>
      <c r="K515" s="78"/>
      <c r="L515" s="83"/>
    </row>
    <row r="516" spans="1:12" x14ac:dyDescent="0.25">
      <c r="A516" s="81"/>
      <c r="B516" s="69"/>
      <c r="C516" s="11"/>
      <c r="D516" s="82"/>
      <c r="E516" s="82"/>
      <c r="F516" s="84"/>
      <c r="G516" s="82"/>
      <c r="H516" s="11"/>
      <c r="I516" s="69"/>
      <c r="J516" s="78"/>
      <c r="K516" s="78"/>
      <c r="L516" s="83"/>
    </row>
    <row r="517" spans="1:12" x14ac:dyDescent="0.25">
      <c r="A517" s="81"/>
      <c r="B517" s="69"/>
      <c r="C517" s="11"/>
      <c r="D517" s="82"/>
      <c r="E517" s="82"/>
      <c r="F517" s="84"/>
      <c r="G517" s="82"/>
      <c r="H517" s="11"/>
      <c r="I517" s="69"/>
      <c r="J517" s="78"/>
      <c r="K517" s="78"/>
      <c r="L517" s="83"/>
    </row>
    <row r="518" spans="1:12" x14ac:dyDescent="0.25">
      <c r="A518" s="81"/>
      <c r="B518" s="69"/>
      <c r="C518" s="11"/>
      <c r="D518" s="82"/>
      <c r="E518" s="82"/>
      <c r="F518" s="84"/>
      <c r="G518" s="82"/>
      <c r="H518" s="11"/>
      <c r="I518" s="69"/>
      <c r="J518" s="78"/>
      <c r="K518" s="78"/>
      <c r="L518" s="83"/>
    </row>
    <row r="519" spans="1:12" x14ac:dyDescent="0.25">
      <c r="A519" s="81"/>
      <c r="B519" s="69"/>
      <c r="C519" s="11"/>
      <c r="D519" s="82"/>
      <c r="E519" s="82"/>
      <c r="F519" s="84"/>
      <c r="G519" s="82"/>
      <c r="H519" s="11"/>
      <c r="I519" s="69"/>
      <c r="J519" s="78"/>
      <c r="K519" s="78"/>
      <c r="L519" s="83"/>
    </row>
    <row r="520" spans="1:12" x14ac:dyDescent="0.25">
      <c r="A520" s="81"/>
      <c r="B520" s="69"/>
      <c r="C520" s="11"/>
      <c r="D520" s="82"/>
      <c r="E520" s="82"/>
      <c r="F520" s="84"/>
      <c r="G520" s="82"/>
      <c r="H520" s="11"/>
      <c r="I520" s="69"/>
      <c r="J520" s="78"/>
      <c r="K520" s="78"/>
      <c r="L520" s="83"/>
    </row>
    <row r="521" spans="1:12" x14ac:dyDescent="0.25">
      <c r="A521" s="81"/>
      <c r="B521" s="69"/>
      <c r="C521" s="11"/>
      <c r="D521" s="82"/>
      <c r="E521" s="82"/>
      <c r="F521" s="84"/>
      <c r="G521" s="82"/>
      <c r="H521" s="11"/>
      <c r="I521" s="69"/>
      <c r="J521" s="78"/>
      <c r="K521" s="78"/>
      <c r="L521" s="83"/>
    </row>
    <row r="522" spans="1:12" x14ac:dyDescent="0.25">
      <c r="A522" s="81"/>
      <c r="B522" s="69"/>
      <c r="C522" s="11"/>
      <c r="D522" s="82"/>
      <c r="E522" s="82"/>
      <c r="F522" s="84"/>
      <c r="G522" s="82"/>
      <c r="H522" s="11"/>
      <c r="I522" s="69"/>
      <c r="J522" s="78"/>
      <c r="K522" s="78"/>
      <c r="L522" s="83"/>
    </row>
    <row r="523" spans="1:12" x14ac:dyDescent="0.25">
      <c r="A523" s="81"/>
      <c r="B523" s="69"/>
      <c r="C523" s="11"/>
      <c r="D523" s="82"/>
      <c r="E523" s="82"/>
      <c r="F523" s="84"/>
      <c r="G523" s="82"/>
      <c r="H523" s="11"/>
      <c r="I523" s="69"/>
      <c r="J523" s="78"/>
      <c r="K523" s="78"/>
      <c r="L523" s="83"/>
    </row>
    <row r="524" spans="1:12" x14ac:dyDescent="0.25">
      <c r="A524" s="81"/>
      <c r="B524" s="69"/>
      <c r="C524" s="11"/>
      <c r="D524" s="82"/>
      <c r="E524" s="82"/>
      <c r="F524" s="84"/>
      <c r="G524" s="82"/>
      <c r="H524" s="11"/>
      <c r="I524" s="69"/>
      <c r="J524" s="78"/>
      <c r="K524" s="78"/>
      <c r="L524" s="83"/>
    </row>
    <row r="525" spans="1:12" x14ac:dyDescent="0.25">
      <c r="A525" s="81"/>
      <c r="B525" s="69"/>
      <c r="C525" s="11"/>
      <c r="D525" s="82"/>
      <c r="E525" s="82"/>
      <c r="F525" s="84"/>
      <c r="G525" s="82"/>
      <c r="H525" s="11"/>
      <c r="I525" s="69"/>
      <c r="J525" s="78"/>
      <c r="K525" s="78"/>
      <c r="L525" s="83"/>
    </row>
    <row r="526" spans="1:12" x14ac:dyDescent="0.25">
      <c r="A526" s="81"/>
      <c r="B526" s="69"/>
      <c r="C526" s="11"/>
      <c r="D526" s="82"/>
      <c r="E526" s="82"/>
      <c r="F526" s="84"/>
      <c r="G526" s="82"/>
      <c r="H526" s="11"/>
      <c r="I526" s="69"/>
      <c r="J526" s="78"/>
      <c r="K526" s="78"/>
      <c r="L526" s="83"/>
    </row>
    <row r="527" spans="1:12" x14ac:dyDescent="0.25">
      <c r="A527" s="81"/>
      <c r="B527" s="69"/>
      <c r="C527" s="11"/>
      <c r="D527" s="82"/>
      <c r="E527" s="82"/>
      <c r="F527" s="84"/>
      <c r="G527" s="82"/>
      <c r="H527" s="11"/>
      <c r="I527" s="69"/>
      <c r="J527" s="78"/>
      <c r="K527" s="78"/>
      <c r="L527" s="83"/>
    </row>
    <row r="528" spans="1:12" x14ac:dyDescent="0.25">
      <c r="A528" s="81"/>
      <c r="B528" s="69"/>
      <c r="C528" s="11"/>
      <c r="D528" s="82"/>
      <c r="E528" s="82"/>
      <c r="F528" s="84"/>
      <c r="G528" s="82"/>
      <c r="H528" s="11"/>
      <c r="I528" s="69"/>
      <c r="J528" s="78"/>
      <c r="K528" s="78"/>
      <c r="L528" s="83"/>
    </row>
    <row r="529" spans="1:12" x14ac:dyDescent="0.25">
      <c r="A529" s="81"/>
      <c r="B529" s="69"/>
      <c r="C529" s="11"/>
      <c r="D529" s="82"/>
      <c r="E529" s="82"/>
      <c r="F529" s="84"/>
      <c r="G529" s="82"/>
      <c r="H529" s="11"/>
      <c r="I529" s="69"/>
      <c r="J529" s="78"/>
      <c r="K529" s="78"/>
      <c r="L529" s="83"/>
    </row>
    <row r="530" spans="1:12" x14ac:dyDescent="0.25">
      <c r="A530" s="81"/>
      <c r="B530" s="69"/>
      <c r="C530" s="11"/>
      <c r="D530" s="82"/>
      <c r="E530" s="82"/>
      <c r="F530" s="84"/>
      <c r="G530" s="82"/>
      <c r="H530" s="11"/>
      <c r="I530" s="69"/>
      <c r="J530" s="78"/>
      <c r="K530" s="78"/>
      <c r="L530" s="83"/>
    </row>
    <row r="531" spans="1:12" x14ac:dyDescent="0.25">
      <c r="A531" s="81"/>
      <c r="B531" s="69"/>
      <c r="C531" s="11"/>
      <c r="D531" s="82"/>
      <c r="E531" s="82"/>
      <c r="F531" s="84"/>
      <c r="G531" s="82"/>
      <c r="H531" s="11"/>
      <c r="I531" s="69"/>
      <c r="J531" s="78"/>
      <c r="K531" s="78"/>
      <c r="L531" s="83"/>
    </row>
    <row r="532" spans="1:12" x14ac:dyDescent="0.25">
      <c r="A532" s="81"/>
      <c r="B532" s="69"/>
      <c r="C532" s="11"/>
      <c r="D532" s="82"/>
      <c r="E532" s="82"/>
      <c r="F532" s="84"/>
      <c r="G532" s="82"/>
      <c r="H532" s="11"/>
      <c r="I532" s="69"/>
      <c r="J532" s="78"/>
      <c r="K532" s="78"/>
      <c r="L532" s="83"/>
    </row>
    <row r="533" spans="1:12" x14ac:dyDescent="0.25">
      <c r="A533" s="81"/>
      <c r="B533" s="69"/>
      <c r="C533" s="11"/>
      <c r="D533" s="82"/>
      <c r="E533" s="82"/>
      <c r="F533" s="84"/>
      <c r="G533" s="82"/>
      <c r="H533" s="11"/>
      <c r="I533" s="69"/>
      <c r="J533" s="78"/>
      <c r="K533" s="78"/>
      <c r="L533" s="83"/>
    </row>
    <row r="534" spans="1:12" x14ac:dyDescent="0.25">
      <c r="A534" s="81"/>
      <c r="B534" s="69"/>
      <c r="C534" s="11"/>
      <c r="D534" s="82"/>
      <c r="E534" s="82"/>
      <c r="F534" s="84"/>
      <c r="G534" s="82"/>
      <c r="H534" s="11"/>
      <c r="I534" s="69"/>
      <c r="J534" s="78"/>
      <c r="K534" s="78"/>
      <c r="L534" s="83"/>
    </row>
    <row r="535" spans="1:12" x14ac:dyDescent="0.25">
      <c r="A535" s="81"/>
      <c r="B535" s="69"/>
      <c r="C535" s="11"/>
      <c r="D535" s="82"/>
      <c r="E535" s="82"/>
      <c r="F535" s="84"/>
      <c r="G535" s="82"/>
      <c r="H535" s="11"/>
      <c r="I535" s="69"/>
      <c r="J535" s="78"/>
      <c r="K535" s="78"/>
      <c r="L535" s="83"/>
    </row>
    <row r="536" spans="1:12" x14ac:dyDescent="0.25">
      <c r="A536" s="81"/>
      <c r="B536" s="69"/>
      <c r="C536" s="11"/>
      <c r="D536" s="82"/>
      <c r="E536" s="82"/>
      <c r="F536" s="84"/>
      <c r="G536" s="82"/>
      <c r="H536" s="11"/>
      <c r="I536" s="69"/>
      <c r="J536" s="78"/>
      <c r="K536" s="78"/>
      <c r="L536" s="83"/>
    </row>
    <row r="537" spans="1:12" x14ac:dyDescent="0.25">
      <c r="A537" s="81"/>
      <c r="B537" s="69"/>
      <c r="C537" s="11"/>
      <c r="D537" s="82"/>
      <c r="E537" s="82"/>
      <c r="F537" s="84"/>
      <c r="G537" s="82"/>
      <c r="H537" s="11"/>
      <c r="I537" s="69"/>
      <c r="J537" s="78"/>
      <c r="K537" s="78"/>
      <c r="L537" s="83"/>
    </row>
    <row r="538" spans="1:12" x14ac:dyDescent="0.25">
      <c r="A538" s="81"/>
      <c r="B538" s="69"/>
      <c r="C538" s="11"/>
      <c r="D538" s="82"/>
      <c r="E538" s="82"/>
      <c r="F538" s="84"/>
      <c r="G538" s="82"/>
      <c r="H538" s="11"/>
      <c r="I538" s="69"/>
      <c r="J538" s="78"/>
      <c r="K538" s="78"/>
      <c r="L538" s="83"/>
    </row>
    <row r="539" spans="1:12" x14ac:dyDescent="0.25">
      <c r="A539" s="81"/>
      <c r="B539" s="69"/>
      <c r="C539" s="11"/>
      <c r="D539" s="82"/>
      <c r="E539" s="82"/>
      <c r="F539" s="84"/>
      <c r="G539" s="82"/>
      <c r="H539" s="11"/>
      <c r="I539" s="69"/>
      <c r="J539" s="78"/>
      <c r="K539" s="78"/>
      <c r="L539" s="83"/>
    </row>
    <row r="540" spans="1:12" x14ac:dyDescent="0.25">
      <c r="A540" s="81"/>
      <c r="B540" s="69"/>
      <c r="C540" s="11"/>
      <c r="D540" s="82"/>
      <c r="E540" s="82"/>
      <c r="F540" s="84"/>
      <c r="G540" s="82"/>
      <c r="H540" s="11"/>
      <c r="I540" s="69"/>
      <c r="J540" s="78"/>
      <c r="K540" s="78"/>
      <c r="L540" s="83"/>
    </row>
    <row r="541" spans="1:12" x14ac:dyDescent="0.25">
      <c r="A541" s="81"/>
      <c r="B541" s="69"/>
      <c r="C541" s="11"/>
      <c r="D541" s="82"/>
      <c r="E541" s="82"/>
      <c r="F541" s="84"/>
      <c r="G541" s="82"/>
      <c r="H541" s="11"/>
      <c r="I541" s="69"/>
      <c r="J541" s="78"/>
      <c r="K541" s="78"/>
      <c r="L541" s="83"/>
    </row>
    <row r="542" spans="1:12" x14ac:dyDescent="0.25">
      <c r="A542" s="81"/>
      <c r="B542" s="69"/>
      <c r="C542" s="11"/>
      <c r="D542" s="82"/>
      <c r="E542" s="82"/>
      <c r="F542" s="84"/>
      <c r="G542" s="82"/>
      <c r="H542" s="11"/>
      <c r="I542" s="69"/>
      <c r="J542" s="78"/>
      <c r="K542" s="78"/>
      <c r="L542" s="83"/>
    </row>
    <row r="543" spans="1:12" x14ac:dyDescent="0.25">
      <c r="A543" s="81"/>
      <c r="B543" s="69"/>
      <c r="C543" s="11"/>
      <c r="D543" s="82"/>
      <c r="E543" s="82"/>
      <c r="F543" s="84"/>
      <c r="G543" s="82"/>
      <c r="H543" s="11"/>
      <c r="I543" s="69"/>
      <c r="J543" s="78"/>
      <c r="K543" s="78"/>
      <c r="L543" s="83"/>
    </row>
    <row r="544" spans="1:12" x14ac:dyDescent="0.25">
      <c r="A544" s="81"/>
      <c r="B544" s="69"/>
      <c r="C544" s="11"/>
      <c r="D544" s="82"/>
      <c r="E544" s="82"/>
      <c r="F544" s="84"/>
      <c r="G544" s="82"/>
      <c r="H544" s="11"/>
      <c r="I544" s="69"/>
      <c r="J544" s="78"/>
      <c r="K544" s="78"/>
      <c r="L544" s="83"/>
    </row>
    <row r="545" spans="1:12" x14ac:dyDescent="0.25">
      <c r="A545" s="81"/>
      <c r="B545" s="69"/>
      <c r="C545" s="11"/>
      <c r="D545" s="82"/>
      <c r="E545" s="82"/>
      <c r="F545" s="84"/>
      <c r="G545" s="82"/>
      <c r="H545" s="11"/>
      <c r="I545" s="69"/>
      <c r="J545" s="78"/>
      <c r="K545" s="78"/>
      <c r="L545" s="83"/>
    </row>
    <row r="546" spans="1:12" x14ac:dyDescent="0.25">
      <c r="A546" s="81"/>
      <c r="B546" s="69"/>
      <c r="C546" s="11"/>
      <c r="D546" s="82"/>
      <c r="E546" s="82"/>
      <c r="F546" s="84"/>
      <c r="G546" s="82"/>
      <c r="H546" s="11"/>
      <c r="I546" s="69"/>
      <c r="J546" s="78"/>
      <c r="K546" s="78"/>
      <c r="L546" s="83"/>
    </row>
    <row r="547" spans="1:12" x14ac:dyDescent="0.25">
      <c r="A547" s="81"/>
      <c r="B547" s="69"/>
      <c r="C547" s="11"/>
      <c r="D547" s="82"/>
      <c r="E547" s="82"/>
      <c r="F547" s="84"/>
      <c r="G547" s="82"/>
      <c r="H547" s="11"/>
      <c r="I547" s="69"/>
      <c r="J547" s="78"/>
      <c r="K547" s="78"/>
      <c r="L547" s="83"/>
    </row>
    <row r="548" spans="1:12" x14ac:dyDescent="0.25">
      <c r="A548" s="81"/>
      <c r="B548" s="69"/>
      <c r="C548" s="11"/>
      <c r="D548" s="82"/>
      <c r="E548" s="82"/>
      <c r="F548" s="84"/>
      <c r="G548" s="82"/>
      <c r="H548" s="11"/>
      <c r="I548" s="69"/>
      <c r="J548" s="78"/>
      <c r="K548" s="78"/>
      <c r="L548" s="83"/>
    </row>
    <row r="549" spans="1:12" x14ac:dyDescent="0.25">
      <c r="A549" s="81"/>
      <c r="B549" s="69"/>
      <c r="C549" s="11"/>
      <c r="D549" s="82"/>
      <c r="E549" s="82"/>
      <c r="F549" s="84"/>
      <c r="G549" s="82"/>
      <c r="H549" s="11"/>
      <c r="I549" s="69"/>
      <c r="J549" s="78"/>
      <c r="K549" s="78"/>
      <c r="L549" s="83"/>
    </row>
    <row r="550" spans="1:12" x14ac:dyDescent="0.25">
      <c r="A550" s="81"/>
      <c r="B550" s="69"/>
      <c r="C550" s="11"/>
      <c r="D550" s="82"/>
      <c r="E550" s="82"/>
      <c r="F550" s="84"/>
      <c r="G550" s="82"/>
      <c r="H550" s="11"/>
      <c r="I550" s="69"/>
      <c r="J550" s="78"/>
      <c r="K550" s="78"/>
      <c r="L550" s="83"/>
    </row>
    <row r="551" spans="1:12" x14ac:dyDescent="0.25">
      <c r="A551" s="81"/>
      <c r="B551" s="69"/>
      <c r="C551" s="11"/>
      <c r="D551" s="82"/>
      <c r="E551" s="82"/>
      <c r="F551" s="84"/>
      <c r="G551" s="82"/>
      <c r="H551" s="11"/>
      <c r="I551" s="69"/>
      <c r="J551" s="78"/>
      <c r="K551" s="78"/>
      <c r="L551" s="83"/>
    </row>
    <row r="552" spans="1:12" x14ac:dyDescent="0.25">
      <c r="A552" s="81"/>
      <c r="B552" s="69"/>
      <c r="C552" s="11"/>
      <c r="D552" s="82"/>
      <c r="E552" s="82"/>
      <c r="F552" s="84"/>
      <c r="G552" s="82"/>
      <c r="H552" s="11"/>
      <c r="I552" s="69"/>
      <c r="J552" s="78"/>
      <c r="K552" s="78"/>
      <c r="L552" s="83"/>
    </row>
    <row r="553" spans="1:12" x14ac:dyDescent="0.25">
      <c r="A553" s="81"/>
      <c r="B553" s="69"/>
      <c r="C553" s="11"/>
      <c r="D553" s="82"/>
      <c r="E553" s="82"/>
      <c r="F553" s="84"/>
      <c r="G553" s="82"/>
      <c r="H553" s="11"/>
      <c r="I553" s="69"/>
      <c r="J553" s="78"/>
      <c r="K553" s="78"/>
      <c r="L553" s="83"/>
    </row>
    <row r="554" spans="1:12" x14ac:dyDescent="0.25">
      <c r="A554" s="81"/>
      <c r="B554" s="69"/>
      <c r="C554" s="11"/>
      <c r="D554" s="82"/>
      <c r="E554" s="82"/>
      <c r="F554" s="84"/>
      <c r="G554" s="82"/>
      <c r="H554" s="11"/>
      <c r="I554" s="69"/>
      <c r="J554" s="78"/>
      <c r="K554" s="78"/>
      <c r="L554" s="83"/>
    </row>
    <row r="555" spans="1:12" x14ac:dyDescent="0.25">
      <c r="A555" s="81"/>
      <c r="B555" s="69"/>
      <c r="C555" s="11"/>
      <c r="D555" s="82"/>
      <c r="E555" s="82"/>
      <c r="F555" s="84"/>
      <c r="G555" s="82"/>
      <c r="H555" s="11"/>
      <c r="I555" s="69"/>
      <c r="J555" s="78"/>
      <c r="K555" s="78"/>
      <c r="L555" s="83"/>
    </row>
    <row r="556" spans="1:12" x14ac:dyDescent="0.25">
      <c r="A556" s="81"/>
      <c r="B556" s="69"/>
      <c r="C556" s="11"/>
      <c r="D556" s="82"/>
      <c r="E556" s="82"/>
      <c r="F556" s="84"/>
      <c r="G556" s="82"/>
      <c r="H556" s="11"/>
      <c r="I556" s="69"/>
      <c r="J556" s="78"/>
      <c r="K556" s="78"/>
      <c r="L556" s="83"/>
    </row>
    <row r="557" spans="1:12" x14ac:dyDescent="0.25">
      <c r="A557" s="81"/>
      <c r="B557" s="69"/>
      <c r="C557" s="11"/>
      <c r="D557" s="82"/>
      <c r="E557" s="82"/>
      <c r="F557" s="84"/>
      <c r="G557" s="82"/>
      <c r="H557" s="11"/>
      <c r="I557" s="69"/>
      <c r="J557" s="78"/>
      <c r="K557" s="78"/>
      <c r="L557" s="83"/>
    </row>
    <row r="558" spans="1:12" x14ac:dyDescent="0.25">
      <c r="A558" s="81"/>
      <c r="B558" s="69"/>
      <c r="C558" s="11"/>
      <c r="D558" s="82"/>
      <c r="E558" s="82"/>
      <c r="F558" s="84"/>
      <c r="G558" s="82"/>
      <c r="H558" s="11"/>
      <c r="I558" s="69"/>
      <c r="J558" s="78"/>
      <c r="K558" s="78"/>
      <c r="L558" s="83"/>
    </row>
    <row r="559" spans="1:12" x14ac:dyDescent="0.25">
      <c r="A559" s="81"/>
      <c r="B559" s="69"/>
      <c r="C559" s="11"/>
      <c r="D559" s="82"/>
      <c r="E559" s="82"/>
      <c r="F559" s="84"/>
      <c r="G559" s="82"/>
      <c r="H559" s="11"/>
      <c r="I559" s="69"/>
      <c r="J559" s="78"/>
      <c r="K559" s="78"/>
      <c r="L559" s="83"/>
    </row>
    <row r="560" spans="1:12" x14ac:dyDescent="0.25">
      <c r="A560" s="81"/>
      <c r="B560" s="69"/>
      <c r="C560" s="11"/>
      <c r="D560" s="82"/>
      <c r="E560" s="82"/>
      <c r="F560" s="84"/>
      <c r="G560" s="82"/>
      <c r="H560" s="11"/>
      <c r="I560" s="69"/>
      <c r="J560" s="78"/>
      <c r="K560" s="78"/>
      <c r="L560" s="83"/>
    </row>
    <row r="561" spans="1:12" x14ac:dyDescent="0.25">
      <c r="A561" s="81"/>
      <c r="B561" s="69"/>
      <c r="C561" s="11"/>
      <c r="D561" s="82"/>
      <c r="E561" s="82"/>
      <c r="F561" s="84"/>
      <c r="G561" s="82"/>
      <c r="H561" s="11"/>
      <c r="I561" s="69"/>
      <c r="J561" s="78"/>
      <c r="K561" s="78"/>
      <c r="L561" s="83"/>
    </row>
    <row r="562" spans="1:12" x14ac:dyDescent="0.25">
      <c r="A562" s="81"/>
      <c r="B562" s="69"/>
      <c r="C562" s="11"/>
      <c r="D562" s="82"/>
      <c r="E562" s="82"/>
      <c r="F562" s="84"/>
      <c r="G562" s="82"/>
      <c r="H562" s="11"/>
      <c r="I562" s="69"/>
      <c r="J562" s="78"/>
      <c r="K562" s="78"/>
      <c r="L562" s="83"/>
    </row>
    <row r="563" spans="1:12" x14ac:dyDescent="0.25">
      <c r="A563" s="81"/>
      <c r="B563" s="69"/>
      <c r="C563" s="11"/>
      <c r="D563" s="82"/>
      <c r="E563" s="82"/>
      <c r="F563" s="84"/>
      <c r="G563" s="82"/>
      <c r="H563" s="11"/>
      <c r="I563" s="69"/>
      <c r="J563" s="78"/>
      <c r="K563" s="78"/>
      <c r="L563" s="83"/>
    </row>
    <row r="564" spans="1:12" x14ac:dyDescent="0.25">
      <c r="A564" s="81"/>
      <c r="B564" s="69"/>
      <c r="C564" s="11"/>
      <c r="D564" s="82"/>
      <c r="E564" s="82"/>
      <c r="F564" s="84"/>
      <c r="G564" s="82"/>
      <c r="H564" s="11"/>
      <c r="I564" s="69"/>
      <c r="J564" s="78"/>
      <c r="K564" s="78"/>
      <c r="L564" s="83"/>
    </row>
    <row r="565" spans="1:12" x14ac:dyDescent="0.25">
      <c r="A565" s="81"/>
      <c r="B565" s="69"/>
      <c r="C565" s="11"/>
      <c r="D565" s="82"/>
      <c r="E565" s="82"/>
      <c r="F565" s="84"/>
      <c r="G565" s="82"/>
      <c r="H565" s="11"/>
      <c r="I565" s="69"/>
      <c r="J565" s="78"/>
      <c r="K565" s="78"/>
      <c r="L565" s="83"/>
    </row>
    <row r="566" spans="1:12" x14ac:dyDescent="0.25">
      <c r="A566" s="81"/>
      <c r="B566" s="69"/>
      <c r="C566" s="11"/>
      <c r="D566" s="82"/>
      <c r="E566" s="82"/>
      <c r="F566" s="84"/>
      <c r="G566" s="82"/>
      <c r="H566" s="11"/>
      <c r="I566" s="69"/>
      <c r="J566" s="78"/>
      <c r="K566" s="78"/>
      <c r="L566" s="83"/>
    </row>
    <row r="567" spans="1:12" x14ac:dyDescent="0.25">
      <c r="A567" s="81"/>
      <c r="B567" s="69"/>
      <c r="C567" s="11"/>
      <c r="D567" s="82"/>
      <c r="E567" s="82"/>
      <c r="F567" s="84"/>
      <c r="G567" s="82"/>
      <c r="H567" s="11"/>
      <c r="I567" s="69"/>
      <c r="J567" s="78"/>
      <c r="K567" s="78"/>
      <c r="L567" s="83"/>
    </row>
    <row r="568" spans="1:12" x14ac:dyDescent="0.25">
      <c r="A568" s="81"/>
      <c r="B568" s="69"/>
      <c r="C568" s="11"/>
      <c r="D568" s="82"/>
      <c r="E568" s="82"/>
      <c r="F568" s="84"/>
      <c r="G568" s="82"/>
      <c r="H568" s="11"/>
      <c r="I568" s="69"/>
      <c r="J568" s="78"/>
      <c r="K568" s="78"/>
      <c r="L568" s="83"/>
    </row>
    <row r="569" spans="1:12" x14ac:dyDescent="0.25">
      <c r="A569" s="81"/>
      <c r="B569" s="69"/>
      <c r="C569" s="11"/>
      <c r="D569" s="82"/>
      <c r="E569" s="82"/>
      <c r="F569" s="84"/>
      <c r="G569" s="82"/>
      <c r="H569" s="11"/>
      <c r="I569" s="69"/>
      <c r="J569" s="78"/>
      <c r="K569" s="78"/>
      <c r="L569" s="83"/>
    </row>
    <row r="570" spans="1:12" x14ac:dyDescent="0.25">
      <c r="A570" s="81"/>
      <c r="B570" s="69"/>
      <c r="C570" s="11"/>
      <c r="D570" s="82"/>
      <c r="E570" s="82"/>
      <c r="F570" s="84"/>
      <c r="G570" s="82"/>
      <c r="H570" s="11"/>
      <c r="I570" s="69"/>
      <c r="J570" s="78"/>
      <c r="K570" s="78"/>
      <c r="L570" s="83"/>
    </row>
    <row r="571" spans="1:12" x14ac:dyDescent="0.25">
      <c r="A571" s="81"/>
      <c r="B571" s="69"/>
      <c r="C571" s="11"/>
      <c r="D571" s="82"/>
      <c r="E571" s="82"/>
      <c r="F571" s="84"/>
      <c r="G571" s="82"/>
      <c r="H571" s="11"/>
      <c r="I571" s="69"/>
      <c r="J571" s="78"/>
      <c r="K571" s="78"/>
      <c r="L571" s="83"/>
    </row>
    <row r="572" spans="1:12" x14ac:dyDescent="0.25">
      <c r="A572" s="81"/>
      <c r="B572" s="69"/>
      <c r="C572" s="11"/>
      <c r="D572" s="82"/>
      <c r="E572" s="82"/>
      <c r="F572" s="84"/>
      <c r="G572" s="82"/>
      <c r="H572" s="11"/>
      <c r="I572" s="69"/>
      <c r="J572" s="78"/>
      <c r="K572" s="78"/>
      <c r="L572" s="83"/>
    </row>
    <row r="573" spans="1:12" x14ac:dyDescent="0.25">
      <c r="A573" s="81"/>
      <c r="B573" s="69"/>
      <c r="C573" s="11"/>
      <c r="D573" s="82"/>
      <c r="E573" s="82"/>
      <c r="F573" s="84"/>
      <c r="G573" s="82"/>
      <c r="H573" s="11"/>
      <c r="I573" s="69"/>
      <c r="J573" s="78"/>
      <c r="K573" s="78"/>
      <c r="L573" s="83"/>
    </row>
    <row r="574" spans="1:12" x14ac:dyDescent="0.25">
      <c r="A574" s="81"/>
      <c r="B574" s="69"/>
      <c r="C574" s="11"/>
      <c r="D574" s="82"/>
      <c r="E574" s="82"/>
      <c r="F574" s="84"/>
      <c r="G574" s="82"/>
      <c r="H574" s="11"/>
      <c r="I574" s="69"/>
      <c r="J574" s="78"/>
      <c r="K574" s="78"/>
      <c r="L574" s="83"/>
    </row>
    <row r="575" spans="1:12" x14ac:dyDescent="0.25">
      <c r="A575" s="81"/>
      <c r="B575" s="69"/>
      <c r="C575" s="11"/>
      <c r="D575" s="82"/>
      <c r="E575" s="82"/>
      <c r="F575" s="84"/>
      <c r="G575" s="82"/>
      <c r="H575" s="11"/>
      <c r="I575" s="69"/>
      <c r="J575" s="78"/>
      <c r="K575" s="78"/>
      <c r="L575" s="83"/>
    </row>
    <row r="576" spans="1:12" x14ac:dyDescent="0.25">
      <c r="A576" s="81"/>
      <c r="B576" s="69"/>
      <c r="C576" s="11"/>
      <c r="D576" s="82"/>
      <c r="E576" s="82"/>
      <c r="F576" s="84"/>
      <c r="G576" s="82"/>
      <c r="H576" s="11"/>
      <c r="I576" s="69"/>
      <c r="J576" s="78"/>
      <c r="K576" s="78"/>
      <c r="L576" s="83"/>
    </row>
    <row r="577" spans="1:12" x14ac:dyDescent="0.25">
      <c r="A577" s="81"/>
      <c r="B577" s="69"/>
      <c r="C577" s="11"/>
      <c r="D577" s="82"/>
      <c r="E577" s="82"/>
      <c r="F577" s="84"/>
      <c r="G577" s="82"/>
      <c r="H577" s="11"/>
      <c r="I577" s="69"/>
      <c r="J577" s="78"/>
      <c r="K577" s="78"/>
      <c r="L577" s="83"/>
    </row>
    <row r="578" spans="1:12" x14ac:dyDescent="0.25">
      <c r="A578" s="81"/>
      <c r="B578" s="69"/>
      <c r="C578" s="11"/>
      <c r="D578" s="82"/>
      <c r="E578" s="82"/>
      <c r="F578" s="84"/>
      <c r="G578" s="82"/>
      <c r="H578" s="11"/>
      <c r="I578" s="69"/>
      <c r="J578" s="78"/>
      <c r="K578" s="78"/>
      <c r="L578" s="83"/>
    </row>
    <row r="579" spans="1:12" x14ac:dyDescent="0.25">
      <c r="A579" s="81"/>
      <c r="B579" s="69"/>
      <c r="C579" s="11"/>
      <c r="D579" s="82"/>
      <c r="E579" s="82"/>
      <c r="F579" s="84"/>
      <c r="G579" s="82"/>
      <c r="H579" s="11"/>
      <c r="I579" s="69"/>
      <c r="J579" s="78"/>
      <c r="K579" s="78"/>
      <c r="L579" s="83"/>
    </row>
    <row r="580" spans="1:12" x14ac:dyDescent="0.25">
      <c r="A580" s="81"/>
      <c r="B580" s="69"/>
      <c r="C580" s="11"/>
      <c r="D580" s="82"/>
      <c r="E580" s="82"/>
      <c r="F580" s="84"/>
      <c r="G580" s="82"/>
      <c r="H580" s="11"/>
      <c r="I580" s="69"/>
      <c r="J580" s="78"/>
      <c r="K580" s="78"/>
      <c r="L580" s="83"/>
    </row>
    <row r="581" spans="1:12" x14ac:dyDescent="0.25">
      <c r="A581" s="81"/>
      <c r="B581" s="69"/>
      <c r="C581" s="11"/>
      <c r="D581" s="82"/>
      <c r="E581" s="82"/>
      <c r="F581" s="84"/>
      <c r="G581" s="82"/>
      <c r="H581" s="11"/>
      <c r="I581" s="69"/>
      <c r="J581" s="78"/>
      <c r="K581" s="78"/>
      <c r="L581" s="83"/>
    </row>
    <row r="582" spans="1:12" x14ac:dyDescent="0.25">
      <c r="A582" s="81"/>
      <c r="B582" s="69"/>
      <c r="C582" s="11"/>
      <c r="D582" s="82"/>
      <c r="E582" s="82"/>
      <c r="F582" s="84"/>
      <c r="G582" s="82"/>
      <c r="H582" s="11"/>
      <c r="I582" s="69"/>
      <c r="J582" s="78"/>
      <c r="K582" s="78"/>
      <c r="L582" s="83"/>
    </row>
    <row r="583" spans="1:12" x14ac:dyDescent="0.25">
      <c r="A583" s="81"/>
      <c r="B583" s="69"/>
      <c r="C583" s="11"/>
      <c r="D583" s="82"/>
      <c r="E583" s="82"/>
      <c r="F583" s="84"/>
      <c r="G583" s="82"/>
      <c r="H583" s="11"/>
      <c r="I583" s="69"/>
      <c r="J583" s="78"/>
      <c r="K583" s="78"/>
      <c r="L583" s="83"/>
    </row>
    <row r="584" spans="1:12" x14ac:dyDescent="0.25">
      <c r="A584" s="81"/>
      <c r="B584" s="69"/>
      <c r="C584" s="11"/>
      <c r="D584" s="82"/>
      <c r="E584" s="82"/>
      <c r="F584" s="84"/>
      <c r="G584" s="82"/>
      <c r="H584" s="11"/>
      <c r="I584" s="69"/>
      <c r="J584" s="78"/>
      <c r="K584" s="78"/>
      <c r="L584" s="83"/>
    </row>
    <row r="585" spans="1:12" x14ac:dyDescent="0.25">
      <c r="A585" s="81"/>
      <c r="B585" s="69"/>
      <c r="C585" s="11"/>
      <c r="D585" s="82"/>
      <c r="E585" s="82"/>
      <c r="F585" s="84"/>
      <c r="G585" s="82"/>
      <c r="H585" s="11"/>
      <c r="I585" s="69"/>
      <c r="J585" s="78"/>
      <c r="K585" s="78"/>
      <c r="L585" s="83"/>
    </row>
    <row r="586" spans="1:12" x14ac:dyDescent="0.25">
      <c r="A586" s="81"/>
      <c r="B586" s="69"/>
      <c r="C586" s="11"/>
      <c r="D586" s="82"/>
      <c r="E586" s="82"/>
      <c r="F586" s="84"/>
      <c r="G586" s="82"/>
      <c r="H586" s="11"/>
      <c r="I586" s="69"/>
      <c r="J586" s="78"/>
      <c r="K586" s="78"/>
      <c r="L586" s="83"/>
    </row>
    <row r="587" spans="1:12" x14ac:dyDescent="0.25">
      <c r="A587" s="81"/>
      <c r="B587" s="69"/>
      <c r="C587" s="11"/>
      <c r="D587" s="82"/>
      <c r="E587" s="82"/>
      <c r="F587" s="84"/>
      <c r="G587" s="82"/>
      <c r="H587" s="11"/>
      <c r="I587" s="69"/>
      <c r="J587" s="78"/>
      <c r="K587" s="78"/>
      <c r="L587" s="83"/>
    </row>
    <row r="588" spans="1:12" x14ac:dyDescent="0.25">
      <c r="A588" s="81"/>
      <c r="B588" s="69"/>
      <c r="C588" s="11"/>
      <c r="D588" s="82"/>
      <c r="E588" s="82"/>
      <c r="F588" s="84"/>
      <c r="G588" s="82"/>
      <c r="H588" s="11"/>
      <c r="I588" s="69"/>
      <c r="J588" s="78"/>
      <c r="K588" s="78"/>
      <c r="L588" s="83"/>
    </row>
    <row r="589" spans="1:12" x14ac:dyDescent="0.25">
      <c r="A589" s="81"/>
      <c r="B589" s="69"/>
      <c r="C589" s="11"/>
      <c r="D589" s="82"/>
      <c r="E589" s="82"/>
      <c r="F589" s="84"/>
      <c r="G589" s="82"/>
      <c r="H589" s="11"/>
      <c r="I589" s="69"/>
      <c r="J589" s="78"/>
      <c r="K589" s="78"/>
      <c r="L589" s="83"/>
    </row>
    <row r="590" spans="1:12" x14ac:dyDescent="0.25">
      <c r="A590" s="81"/>
      <c r="B590" s="69"/>
      <c r="C590" s="11"/>
      <c r="D590" s="82"/>
      <c r="E590" s="82"/>
      <c r="F590" s="84"/>
      <c r="G590" s="82"/>
      <c r="H590" s="11"/>
      <c r="I590" s="69"/>
      <c r="J590" s="78"/>
      <c r="K590" s="78"/>
      <c r="L590" s="83"/>
    </row>
    <row r="591" spans="1:12" x14ac:dyDescent="0.25">
      <c r="A591" s="81"/>
      <c r="B591" s="69"/>
      <c r="C591" s="11"/>
      <c r="D591" s="82"/>
      <c r="E591" s="82"/>
      <c r="F591" s="84"/>
      <c r="G591" s="82"/>
      <c r="H591" s="11"/>
      <c r="I591" s="69"/>
      <c r="J591" s="78"/>
      <c r="K591" s="78"/>
      <c r="L591" s="83"/>
    </row>
    <row r="592" spans="1:12" x14ac:dyDescent="0.25">
      <c r="A592" s="81"/>
      <c r="B592" s="69"/>
      <c r="C592" s="11"/>
      <c r="D592" s="82"/>
      <c r="E592" s="82"/>
      <c r="F592" s="84"/>
      <c r="G592" s="82"/>
      <c r="H592" s="11"/>
      <c r="I592" s="69"/>
      <c r="J592" s="78"/>
      <c r="K592" s="78"/>
      <c r="L592" s="83"/>
    </row>
    <row r="593" spans="1:12" x14ac:dyDescent="0.25">
      <c r="A593" s="81"/>
      <c r="B593" s="69"/>
      <c r="C593" s="11"/>
      <c r="D593" s="82"/>
      <c r="E593" s="82"/>
      <c r="F593" s="84"/>
      <c r="G593" s="82"/>
      <c r="H593" s="11"/>
      <c r="I593" s="69"/>
      <c r="J593" s="78"/>
      <c r="K593" s="78"/>
      <c r="L593" s="83"/>
    </row>
    <row r="594" spans="1:12" x14ac:dyDescent="0.25">
      <c r="A594" s="81"/>
      <c r="B594" s="69"/>
      <c r="C594" s="11"/>
      <c r="D594" s="82"/>
      <c r="E594" s="82"/>
      <c r="F594" s="84"/>
      <c r="G594" s="82"/>
      <c r="H594" s="11"/>
      <c r="I594" s="69"/>
      <c r="J594" s="78"/>
      <c r="K594" s="78"/>
      <c r="L594" s="83"/>
    </row>
    <row r="595" spans="1:12" x14ac:dyDescent="0.25">
      <c r="A595" s="81"/>
      <c r="B595" s="69"/>
      <c r="C595" s="11"/>
      <c r="D595" s="82"/>
      <c r="E595" s="82"/>
      <c r="F595" s="84"/>
      <c r="G595" s="82"/>
      <c r="H595" s="11"/>
      <c r="I595" s="69"/>
      <c r="J595" s="78"/>
      <c r="K595" s="78"/>
      <c r="L595" s="83"/>
    </row>
    <row r="596" spans="1:12" x14ac:dyDescent="0.25">
      <c r="A596" s="81"/>
      <c r="B596" s="69"/>
      <c r="C596" s="11"/>
      <c r="D596" s="82"/>
      <c r="E596" s="82"/>
      <c r="F596" s="84"/>
      <c r="G596" s="82"/>
      <c r="H596" s="11"/>
      <c r="I596" s="69"/>
      <c r="J596" s="78"/>
      <c r="K596" s="78"/>
      <c r="L596" s="83"/>
    </row>
    <row r="597" spans="1:12" x14ac:dyDescent="0.25">
      <c r="A597" s="81"/>
      <c r="B597" s="69"/>
      <c r="C597" s="11"/>
      <c r="D597" s="82"/>
      <c r="E597" s="82"/>
      <c r="F597" s="84"/>
      <c r="G597" s="82"/>
      <c r="H597" s="11"/>
      <c r="I597" s="69"/>
      <c r="J597" s="78"/>
      <c r="K597" s="78"/>
      <c r="L597" s="83"/>
    </row>
    <row r="598" spans="1:12" x14ac:dyDescent="0.25">
      <c r="A598" s="81"/>
      <c r="B598" s="69"/>
      <c r="C598" s="11"/>
      <c r="D598" s="82"/>
      <c r="E598" s="82"/>
      <c r="F598" s="84"/>
      <c r="G598" s="82"/>
      <c r="H598" s="11"/>
      <c r="I598" s="69"/>
      <c r="J598" s="78"/>
      <c r="K598" s="78"/>
      <c r="L598" s="83"/>
    </row>
    <row r="599" spans="1:12" x14ac:dyDescent="0.25">
      <c r="A599" s="81"/>
      <c r="B599" s="69"/>
      <c r="C599" s="11"/>
      <c r="D599" s="82"/>
      <c r="E599" s="82"/>
      <c r="F599" s="84"/>
      <c r="G599" s="82"/>
      <c r="H599" s="11"/>
      <c r="I599" s="69"/>
      <c r="J599" s="78"/>
      <c r="K599" s="78"/>
      <c r="L599" s="83"/>
    </row>
    <row r="600" spans="1:12" x14ac:dyDescent="0.25">
      <c r="A600" s="81"/>
      <c r="B600" s="69"/>
      <c r="C600" s="11"/>
      <c r="D600" s="82"/>
      <c r="E600" s="82"/>
      <c r="F600" s="84"/>
      <c r="G600" s="82"/>
      <c r="H600" s="11"/>
      <c r="I600" s="69"/>
      <c r="J600" s="78"/>
      <c r="K600" s="78"/>
      <c r="L600" s="83"/>
    </row>
    <row r="601" spans="1:12" x14ac:dyDescent="0.25">
      <c r="A601" s="81"/>
      <c r="B601" s="69"/>
      <c r="C601" s="11"/>
      <c r="D601" s="82"/>
      <c r="E601" s="82"/>
      <c r="F601" s="84"/>
      <c r="G601" s="82"/>
      <c r="H601" s="11"/>
      <c r="I601" s="69"/>
      <c r="J601" s="78"/>
      <c r="K601" s="78"/>
      <c r="L601" s="83"/>
    </row>
    <row r="602" spans="1:12" x14ac:dyDescent="0.25">
      <c r="A602" s="81"/>
      <c r="B602" s="69"/>
      <c r="C602" s="11"/>
      <c r="D602" s="82"/>
      <c r="E602" s="82"/>
      <c r="F602" s="84"/>
      <c r="G602" s="82"/>
      <c r="H602" s="11"/>
      <c r="I602" s="69"/>
      <c r="J602" s="78"/>
      <c r="K602" s="78"/>
      <c r="L602" s="83"/>
    </row>
    <row r="603" spans="1:12" x14ac:dyDescent="0.25">
      <c r="A603" s="81"/>
      <c r="B603" s="69"/>
      <c r="C603" s="11"/>
      <c r="D603" s="82"/>
      <c r="E603" s="82"/>
      <c r="F603" s="84"/>
      <c r="G603" s="82"/>
      <c r="H603" s="11"/>
      <c r="I603" s="69"/>
      <c r="J603" s="78"/>
      <c r="K603" s="78"/>
      <c r="L603" s="83"/>
    </row>
    <row r="604" spans="1:12" x14ac:dyDescent="0.25">
      <c r="A604" s="81"/>
      <c r="B604" s="69"/>
      <c r="C604" s="11"/>
      <c r="D604" s="82"/>
      <c r="E604" s="82"/>
      <c r="F604" s="84"/>
      <c r="G604" s="82"/>
      <c r="H604" s="11"/>
      <c r="I604" s="69"/>
      <c r="J604" s="78"/>
      <c r="K604" s="78"/>
      <c r="L604" s="83"/>
    </row>
    <row r="605" spans="1:12" x14ac:dyDescent="0.25">
      <c r="A605" s="81"/>
      <c r="B605" s="69"/>
      <c r="C605" s="11"/>
      <c r="D605" s="82"/>
      <c r="E605" s="82"/>
      <c r="F605" s="84"/>
      <c r="G605" s="82"/>
      <c r="H605" s="11"/>
      <c r="I605" s="69"/>
      <c r="J605" s="78"/>
      <c r="K605" s="78"/>
      <c r="L605" s="83"/>
    </row>
    <row r="606" spans="1:12" x14ac:dyDescent="0.25">
      <c r="A606" s="81"/>
      <c r="B606" s="69"/>
      <c r="C606" s="11"/>
      <c r="D606" s="82"/>
      <c r="E606" s="82"/>
      <c r="F606" s="84"/>
      <c r="G606" s="82"/>
      <c r="H606" s="11"/>
      <c r="I606" s="69"/>
      <c r="J606" s="78"/>
      <c r="K606" s="78"/>
      <c r="L606" s="83"/>
    </row>
    <row r="607" spans="1:12" x14ac:dyDescent="0.25">
      <c r="A607" s="81"/>
      <c r="B607" s="69"/>
      <c r="C607" s="11"/>
      <c r="D607" s="82"/>
      <c r="E607" s="82"/>
      <c r="F607" s="84"/>
      <c r="G607" s="82"/>
      <c r="H607" s="11"/>
      <c r="I607" s="69"/>
      <c r="J607" s="78"/>
      <c r="K607" s="78"/>
      <c r="L607" s="83"/>
    </row>
    <row r="608" spans="1:12" x14ac:dyDescent="0.25">
      <c r="A608" s="81"/>
      <c r="B608" s="69"/>
      <c r="C608" s="11"/>
      <c r="D608" s="82"/>
      <c r="E608" s="82"/>
      <c r="F608" s="84"/>
      <c r="G608" s="82"/>
      <c r="H608" s="11"/>
      <c r="I608" s="69"/>
      <c r="J608" s="78"/>
      <c r="K608" s="78"/>
      <c r="L608" s="83"/>
    </row>
    <row r="609" spans="1:12" x14ac:dyDescent="0.25">
      <c r="A609" s="81"/>
      <c r="B609" s="69"/>
      <c r="C609" s="11"/>
      <c r="D609" s="82"/>
      <c r="E609" s="82"/>
      <c r="F609" s="84"/>
      <c r="G609" s="82"/>
      <c r="H609" s="11"/>
      <c r="I609" s="69"/>
      <c r="J609" s="78"/>
      <c r="K609" s="78"/>
      <c r="L609" s="83"/>
    </row>
    <row r="610" spans="1:12" x14ac:dyDescent="0.25">
      <c r="A610" s="81"/>
      <c r="B610" s="69"/>
      <c r="C610" s="11"/>
      <c r="D610" s="82"/>
      <c r="E610" s="82"/>
      <c r="F610" s="84"/>
      <c r="G610" s="82"/>
      <c r="H610" s="11"/>
      <c r="I610" s="69"/>
      <c r="J610" s="78"/>
      <c r="K610" s="78"/>
      <c r="L610" s="83"/>
    </row>
    <row r="611" spans="1:12" x14ac:dyDescent="0.25">
      <c r="A611" s="81"/>
      <c r="B611" s="69"/>
      <c r="C611" s="11"/>
      <c r="D611" s="82"/>
      <c r="E611" s="82"/>
      <c r="F611" s="84"/>
      <c r="G611" s="82"/>
      <c r="H611" s="11"/>
      <c r="I611" s="69"/>
      <c r="J611" s="78"/>
      <c r="K611" s="78"/>
      <c r="L611" s="83"/>
    </row>
    <row r="612" spans="1:12" x14ac:dyDescent="0.25">
      <c r="A612" s="81"/>
      <c r="B612" s="69"/>
      <c r="C612" s="11"/>
      <c r="D612" s="82"/>
      <c r="E612" s="82"/>
      <c r="F612" s="84"/>
      <c r="G612" s="82"/>
      <c r="H612" s="11"/>
      <c r="I612" s="69"/>
      <c r="J612" s="78"/>
      <c r="K612" s="78"/>
      <c r="L612" s="83"/>
    </row>
    <row r="613" spans="1:12" x14ac:dyDescent="0.25">
      <c r="A613" s="81"/>
      <c r="B613" s="69"/>
      <c r="C613" s="11"/>
      <c r="D613" s="82"/>
      <c r="E613" s="82"/>
      <c r="F613" s="84"/>
      <c r="G613" s="82"/>
      <c r="H613" s="11"/>
      <c r="I613" s="69"/>
      <c r="J613" s="78"/>
      <c r="K613" s="78"/>
      <c r="L613" s="83"/>
    </row>
    <row r="614" spans="1:12" x14ac:dyDescent="0.25">
      <c r="A614" s="81"/>
      <c r="B614" s="69"/>
      <c r="C614" s="11"/>
      <c r="D614" s="82"/>
      <c r="E614" s="82"/>
      <c r="F614" s="84"/>
      <c r="G614" s="82"/>
      <c r="H614" s="11"/>
      <c r="I614" s="69"/>
      <c r="J614" s="78"/>
      <c r="K614" s="78"/>
      <c r="L614" s="8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5"/>
  <sheetViews>
    <sheetView zoomScaleNormal="100" workbookViewId="0">
      <selection activeCell="C18" sqref="C18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bestFit="1" customWidth="1"/>
    <col min="14" max="14" width="15.42578125" style="37" customWidth="1"/>
    <col min="15" max="15" width="25.140625" style="36" bestFit="1" customWidth="1"/>
    <col min="16" max="16" width="12.28515625" style="36" customWidth="1"/>
    <col min="17" max="17" width="16.140625" style="36" customWidth="1"/>
    <col min="18" max="18" width="20.42578125" style="36" bestFit="1" customWidth="1"/>
    <col min="19" max="19" width="13.85546875" style="36" bestFit="1" customWidth="1"/>
    <col min="20" max="21" width="8.28515625" style="36" bestFit="1" customWidth="1"/>
    <col min="22" max="22" width="7.28515625" style="36" bestFit="1" customWidth="1"/>
    <col min="23" max="23" width="10.7109375" style="36" bestFit="1" customWidth="1"/>
    <col min="24" max="25" width="11.28515625" style="36" bestFit="1" customWidth="1"/>
    <col min="26" max="27" width="20" style="36" bestFit="1" customWidth="1"/>
    <col min="28" max="28" width="17" style="36" bestFit="1" customWidth="1"/>
    <col min="29" max="30" width="15.42578125" style="36" bestFit="1" customWidth="1"/>
    <col min="31" max="31" width="16.5703125" style="36" bestFit="1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760</v>
      </c>
      <c r="B1" s="39" t="s">
        <v>761</v>
      </c>
      <c r="C1" s="39" t="s">
        <v>762</v>
      </c>
      <c r="D1" s="39" t="s">
        <v>1048</v>
      </c>
      <c r="E1" s="39" t="s">
        <v>915</v>
      </c>
      <c r="F1" s="39" t="s">
        <v>763</v>
      </c>
      <c r="G1" s="39" t="s">
        <v>764</v>
      </c>
      <c r="H1" s="39" t="s">
        <v>765</v>
      </c>
      <c r="I1" s="39" t="s">
        <v>766</v>
      </c>
      <c r="J1" s="39" t="s">
        <v>767</v>
      </c>
      <c r="K1" s="39" t="s">
        <v>768</v>
      </c>
      <c r="L1" s="39" t="s">
        <v>769</v>
      </c>
      <c r="M1" s="39" t="s">
        <v>770</v>
      </c>
      <c r="N1" s="45" t="s">
        <v>771</v>
      </c>
      <c r="O1" s="39" t="s">
        <v>772</v>
      </c>
      <c r="P1" s="39" t="s">
        <v>773</v>
      </c>
      <c r="Q1" s="39" t="s">
        <v>774</v>
      </c>
      <c r="R1" s="39" t="s">
        <v>911</v>
      </c>
      <c r="S1" s="39" t="s">
        <v>1034</v>
      </c>
      <c r="T1" s="39" t="s">
        <v>1037</v>
      </c>
      <c r="U1" s="39" t="s">
        <v>1021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775</v>
      </c>
      <c r="AA1" s="39" t="s">
        <v>776</v>
      </c>
      <c r="AB1" s="39" t="s">
        <v>777</v>
      </c>
      <c r="AC1" s="39" t="s">
        <v>778</v>
      </c>
      <c r="AD1" s="39" t="s">
        <v>779</v>
      </c>
      <c r="AE1" s="39" t="s">
        <v>780</v>
      </c>
      <c r="AF1" s="39" t="s">
        <v>781</v>
      </c>
      <c r="AG1" s="39" t="s">
        <v>782</v>
      </c>
    </row>
    <row r="2" spans="1:33" x14ac:dyDescent="0.25">
      <c r="A2" s="40">
        <v>2000001</v>
      </c>
      <c r="B2" s="40" t="s">
        <v>146</v>
      </c>
      <c r="C2" s="41" t="s">
        <v>783</v>
      </c>
      <c r="D2" s="44">
        <f>SUMIF(CREANCES!$B$2:$B$99999,'INFO CLIENTS'!B2,CREANCES!$J$2:$J$99999) - SUMIF(CREANCES!$B$2:$B$99999,'INFO CLIENTS'!B2,CREANCES!$K$2:$K$99999)</f>
        <v>332685.37799999962</v>
      </c>
      <c r="E2" s="41" t="s">
        <v>1029</v>
      </c>
      <c r="F2" s="41" t="s">
        <v>813</v>
      </c>
      <c r="G2" s="41" t="s">
        <v>26</v>
      </c>
      <c r="H2" s="41" t="s">
        <v>786</v>
      </c>
      <c r="I2" s="43">
        <v>44440</v>
      </c>
      <c r="J2" s="41" t="s">
        <v>827</v>
      </c>
      <c r="K2" s="41" t="s">
        <v>828</v>
      </c>
      <c r="L2" s="41" t="s">
        <v>832</v>
      </c>
      <c r="M2" s="41" t="s">
        <v>834</v>
      </c>
      <c r="N2" s="41" t="s">
        <v>851</v>
      </c>
      <c r="O2" s="48">
        <v>1</v>
      </c>
      <c r="P2" s="41" t="s">
        <v>852</v>
      </c>
      <c r="Q2" s="41" t="s">
        <v>854</v>
      </c>
      <c r="R2" s="41" t="s">
        <v>919</v>
      </c>
      <c r="S2" s="41" t="s">
        <v>1032</v>
      </c>
      <c r="T2" s="41" t="s">
        <v>866</v>
      </c>
      <c r="U2" s="49" t="s">
        <v>860</v>
      </c>
      <c r="V2" s="49" t="s">
        <v>860</v>
      </c>
      <c r="W2" s="49" t="s">
        <v>860</v>
      </c>
      <c r="X2" s="49" t="s">
        <v>861</v>
      </c>
      <c r="Y2" s="49" t="s">
        <v>861</v>
      </c>
      <c r="Z2" s="49" t="s">
        <v>861</v>
      </c>
      <c r="AA2" s="49" t="s">
        <v>860</v>
      </c>
      <c r="AB2" s="49" t="s">
        <v>860</v>
      </c>
      <c r="AC2" s="49" t="s">
        <v>860</v>
      </c>
      <c r="AD2" s="49" t="s">
        <v>860</v>
      </c>
      <c r="AE2" s="49" t="s">
        <v>860</v>
      </c>
      <c r="AF2" s="49" t="s">
        <v>860</v>
      </c>
      <c r="AG2" s="49" t="s">
        <v>859</v>
      </c>
    </row>
    <row r="3" spans="1:33" x14ac:dyDescent="0.25">
      <c r="A3" s="40">
        <v>2000002</v>
      </c>
      <c r="B3" s="40" t="s">
        <v>4441</v>
      </c>
      <c r="C3" s="41" t="s">
        <v>913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1029</v>
      </c>
      <c r="F3" s="41" t="s">
        <v>812</v>
      </c>
      <c r="G3" s="42" t="s">
        <v>800</v>
      </c>
      <c r="H3" s="41" t="s">
        <v>801</v>
      </c>
      <c r="I3" s="43">
        <v>45627</v>
      </c>
      <c r="J3" s="44" t="s">
        <v>1066</v>
      </c>
      <c r="K3" s="41" t="s">
        <v>830</v>
      </c>
      <c r="L3" s="46">
        <v>140000</v>
      </c>
      <c r="M3" s="41" t="s">
        <v>835</v>
      </c>
      <c r="N3" s="41" t="s">
        <v>851</v>
      </c>
      <c r="O3" s="48">
        <v>1</v>
      </c>
      <c r="P3" s="41" t="s">
        <v>852</v>
      </c>
      <c r="Q3" s="41" t="s">
        <v>1028</v>
      </c>
      <c r="R3" s="41" t="s">
        <v>1038</v>
      </c>
      <c r="S3" s="41" t="s">
        <v>1033</v>
      </c>
      <c r="T3" s="41" t="s">
        <v>907</v>
      </c>
      <c r="U3" s="49" t="s">
        <v>860</v>
      </c>
      <c r="V3" s="49" t="s">
        <v>860</v>
      </c>
      <c r="W3" s="49" t="s">
        <v>860</v>
      </c>
      <c r="X3" s="49" t="s">
        <v>862</v>
      </c>
      <c r="Y3" s="49" t="s">
        <v>860</v>
      </c>
      <c r="Z3" s="49" t="s">
        <v>860</v>
      </c>
      <c r="AA3" s="49" t="s">
        <v>860</v>
      </c>
      <c r="AB3" s="49" t="s">
        <v>860</v>
      </c>
      <c r="AC3" s="49" t="s">
        <v>860</v>
      </c>
      <c r="AD3" s="49" t="s">
        <v>860</v>
      </c>
      <c r="AE3" s="49" t="s">
        <v>860</v>
      </c>
      <c r="AF3" s="49" t="s">
        <v>860</v>
      </c>
      <c r="AG3" s="49" t="s">
        <v>859</v>
      </c>
    </row>
    <row r="4" spans="1:33" x14ac:dyDescent="0.25">
      <c r="A4" s="40">
        <v>2000003</v>
      </c>
      <c r="B4" s="40" t="s">
        <v>4461</v>
      </c>
      <c r="C4" s="41" t="s">
        <v>784</v>
      </c>
      <c r="D4" s="44">
        <f>SUMIF(CREANCES!$B$2:$B$99999,'INFO CLIENTS'!B4,CREANCES!$J$2:$J$99999) - SUMIF(CREANCES!$B$2:$B$99999,'INFO CLIENTS'!B4,CREANCES!$K$2:$K$99999)</f>
        <v>-34919.4</v>
      </c>
      <c r="E4" s="41" t="s">
        <v>1030</v>
      </c>
      <c r="F4" s="41" t="s">
        <v>1047</v>
      </c>
      <c r="G4" s="41" t="s">
        <v>26</v>
      </c>
      <c r="H4" s="41" t="s">
        <v>1039</v>
      </c>
      <c r="I4" s="43">
        <v>45627</v>
      </c>
      <c r="J4" s="41" t="s">
        <v>827</v>
      </c>
      <c r="K4" s="41" t="s">
        <v>831</v>
      </c>
      <c r="L4" s="41" t="s">
        <v>832</v>
      </c>
      <c r="M4" s="41" t="s">
        <v>836</v>
      </c>
      <c r="N4" s="41" t="s">
        <v>851</v>
      </c>
      <c r="O4" s="48">
        <v>0</v>
      </c>
      <c r="P4" s="41" t="s">
        <v>852</v>
      </c>
      <c r="Q4" s="41" t="s">
        <v>855</v>
      </c>
      <c r="R4" s="41" t="s">
        <v>912</v>
      </c>
      <c r="S4" s="41" t="s">
        <v>860</v>
      </c>
      <c r="T4" s="41" t="s">
        <v>860</v>
      </c>
      <c r="U4" s="49" t="s">
        <v>860</v>
      </c>
      <c r="V4" s="49" t="s">
        <v>860</v>
      </c>
      <c r="W4" s="49" t="s">
        <v>860</v>
      </c>
      <c r="X4" s="49" t="s">
        <v>860</v>
      </c>
      <c r="Y4" s="49" t="s">
        <v>860</v>
      </c>
      <c r="Z4" s="49" t="s">
        <v>860</v>
      </c>
      <c r="AA4" s="49" t="s">
        <v>860</v>
      </c>
      <c r="AB4" s="49" t="s">
        <v>860</v>
      </c>
      <c r="AC4" s="49" t="s">
        <v>863</v>
      </c>
      <c r="AD4" s="49" t="s">
        <v>863</v>
      </c>
      <c r="AE4" s="49" t="s">
        <v>863</v>
      </c>
      <c r="AF4" s="49" t="s">
        <v>864</v>
      </c>
      <c r="AG4" s="49" t="s">
        <v>859</v>
      </c>
    </row>
    <row r="5" spans="1:33" x14ac:dyDescent="0.25">
      <c r="A5" s="40">
        <v>2000004</v>
      </c>
      <c r="B5" s="40" t="s">
        <v>141</v>
      </c>
      <c r="C5" s="41" t="s">
        <v>914</v>
      </c>
      <c r="D5" s="44">
        <f>SUMIF(CREANCES!$B$2:$B$99999,'INFO CLIENTS'!B5,CREANCES!$J$2:$J$99999) - SUMIF(CREANCES!$B$2:$B$99999,'INFO CLIENTS'!B5,CREANCES!$K$2:$K$99999)</f>
        <v>-56238.103999999934</v>
      </c>
      <c r="E5" s="41" t="s">
        <v>1030</v>
      </c>
      <c r="F5" s="41" t="s">
        <v>810</v>
      </c>
      <c r="G5" s="41" t="s">
        <v>26</v>
      </c>
      <c r="H5" s="41" t="s">
        <v>787</v>
      </c>
      <c r="I5" s="43">
        <v>45505</v>
      </c>
      <c r="J5" s="41" t="s">
        <v>827</v>
      </c>
      <c r="K5" s="41" t="s">
        <v>831</v>
      </c>
      <c r="L5" s="41" t="s">
        <v>832</v>
      </c>
      <c r="M5" s="41" t="s">
        <v>833</v>
      </c>
      <c r="N5" s="41" t="s">
        <v>851</v>
      </c>
      <c r="O5" s="48">
        <v>0</v>
      </c>
      <c r="P5" s="41" t="s">
        <v>852</v>
      </c>
      <c r="Q5" s="41" t="s">
        <v>854</v>
      </c>
      <c r="R5" s="41" t="s">
        <v>1064</v>
      </c>
      <c r="S5" s="41" t="s">
        <v>860</v>
      </c>
      <c r="T5" s="41" t="s">
        <v>860</v>
      </c>
      <c r="U5" s="49" t="s">
        <v>860</v>
      </c>
      <c r="V5" s="49" t="s">
        <v>860</v>
      </c>
      <c r="W5" s="49" t="s">
        <v>860</v>
      </c>
      <c r="X5" s="49" t="s">
        <v>866</v>
      </c>
      <c r="Y5" s="49" t="s">
        <v>866</v>
      </c>
      <c r="Z5" s="49" t="s">
        <v>866</v>
      </c>
      <c r="AA5" s="49" t="s">
        <v>857</v>
      </c>
      <c r="AB5" s="49" t="s">
        <v>865</v>
      </c>
      <c r="AC5" s="49" t="s">
        <v>865</v>
      </c>
      <c r="AD5" s="49" t="s">
        <v>865</v>
      </c>
      <c r="AE5" s="49" t="s">
        <v>865</v>
      </c>
      <c r="AF5" s="49" t="s">
        <v>864</v>
      </c>
      <c r="AG5" s="49" t="s">
        <v>859</v>
      </c>
    </row>
    <row r="6" spans="1:33" x14ac:dyDescent="0.25">
      <c r="A6" s="40">
        <v>2000005</v>
      </c>
      <c r="B6" s="40" t="s">
        <v>4462</v>
      </c>
      <c r="C6" s="41" t="s">
        <v>784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1029</v>
      </c>
      <c r="F6" s="41" t="s">
        <v>811</v>
      </c>
      <c r="G6" s="42" t="s">
        <v>802</v>
      </c>
      <c r="H6" s="41" t="s">
        <v>788</v>
      </c>
      <c r="I6" s="43">
        <v>45383</v>
      </c>
      <c r="J6" s="41" t="s">
        <v>827</v>
      </c>
      <c r="K6" s="41" t="s">
        <v>831</v>
      </c>
      <c r="L6" s="41" t="s">
        <v>832</v>
      </c>
      <c r="M6" s="41" t="s">
        <v>837</v>
      </c>
      <c r="N6" s="41" t="s">
        <v>851</v>
      </c>
      <c r="O6" s="48">
        <v>1</v>
      </c>
      <c r="P6" s="41" t="s">
        <v>853</v>
      </c>
      <c r="Q6" s="41" t="s">
        <v>1028</v>
      </c>
      <c r="R6" s="41" t="s">
        <v>919</v>
      </c>
      <c r="S6" s="41" t="s">
        <v>1036</v>
      </c>
      <c r="T6" s="41" t="s">
        <v>908</v>
      </c>
      <c r="U6" s="41" t="s">
        <v>867</v>
      </c>
      <c r="V6" s="41" t="s">
        <v>867</v>
      </c>
      <c r="W6" s="49" t="s">
        <v>867</v>
      </c>
      <c r="X6" s="49" t="s">
        <v>867</v>
      </c>
      <c r="Y6" s="49" t="s">
        <v>867</v>
      </c>
      <c r="Z6" s="49" t="s">
        <v>867</v>
      </c>
      <c r="AA6" s="49" t="s">
        <v>867</v>
      </c>
      <c r="AB6" s="49" t="s">
        <v>868</v>
      </c>
      <c r="AC6" s="49" t="s">
        <v>868</v>
      </c>
      <c r="AD6" s="49" t="s">
        <v>868</v>
      </c>
      <c r="AE6" s="49" t="s">
        <v>868</v>
      </c>
      <c r="AF6" s="49" t="s">
        <v>869</v>
      </c>
      <c r="AG6" s="49" t="s">
        <v>859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1030</v>
      </c>
      <c r="F7" s="41" t="s">
        <v>814</v>
      </c>
      <c r="G7" s="41" t="s">
        <v>26</v>
      </c>
      <c r="H7" s="41" t="s">
        <v>789</v>
      </c>
      <c r="I7" s="43">
        <v>45536</v>
      </c>
      <c r="J7" s="41" t="s">
        <v>827</v>
      </c>
      <c r="K7" s="41" t="s">
        <v>831</v>
      </c>
      <c r="L7" s="41" t="s">
        <v>832</v>
      </c>
      <c r="M7" s="41" t="s">
        <v>838</v>
      </c>
      <c r="N7" s="41" t="s">
        <v>851</v>
      </c>
      <c r="O7" s="48">
        <v>0</v>
      </c>
      <c r="P7" s="41" t="s">
        <v>853</v>
      </c>
      <c r="Q7" s="41" t="s">
        <v>1028</v>
      </c>
      <c r="R7" s="41" t="s">
        <v>1064</v>
      </c>
      <c r="S7" s="41" t="s">
        <v>860</v>
      </c>
      <c r="T7" s="41" t="s">
        <v>867</v>
      </c>
      <c r="U7" s="41" t="s">
        <v>867</v>
      </c>
      <c r="V7" s="41" t="s">
        <v>867</v>
      </c>
      <c r="W7" s="49" t="s">
        <v>870</v>
      </c>
      <c r="X7" s="49" t="s">
        <v>871</v>
      </c>
      <c r="Y7" s="49" t="s">
        <v>871</v>
      </c>
      <c r="Z7" s="49" t="s">
        <v>872</v>
      </c>
      <c r="AA7" s="49" t="s">
        <v>867</v>
      </c>
      <c r="AB7" s="49" t="s">
        <v>873</v>
      </c>
      <c r="AC7" s="49" t="s">
        <v>873</v>
      </c>
      <c r="AD7" s="49" t="s">
        <v>873</v>
      </c>
      <c r="AE7" s="49" t="s">
        <v>873</v>
      </c>
      <c r="AF7" s="49" t="s">
        <v>874</v>
      </c>
      <c r="AG7" s="49" t="s">
        <v>859</v>
      </c>
    </row>
    <row r="8" spans="1:33" x14ac:dyDescent="0.25">
      <c r="A8" s="40">
        <v>2000007</v>
      </c>
      <c r="B8" s="40" t="s">
        <v>4463</v>
      </c>
      <c r="C8" s="41" t="s">
        <v>783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1030</v>
      </c>
      <c r="F8" s="41" t="s">
        <v>815</v>
      </c>
      <c r="G8" s="41" t="s">
        <v>26</v>
      </c>
      <c r="H8" s="41" t="s">
        <v>1040</v>
      </c>
      <c r="I8" s="43">
        <v>45536</v>
      </c>
      <c r="J8" s="41" t="s">
        <v>827</v>
      </c>
      <c r="K8" s="41" t="s">
        <v>829</v>
      </c>
      <c r="L8" s="44">
        <v>300000</v>
      </c>
      <c r="M8" s="41" t="s">
        <v>839</v>
      </c>
      <c r="N8" s="41" t="s">
        <v>851</v>
      </c>
      <c r="O8" s="48">
        <v>1</v>
      </c>
      <c r="P8" s="41" t="s">
        <v>852</v>
      </c>
      <c r="Q8" s="41" t="s">
        <v>854</v>
      </c>
      <c r="R8" s="41" t="s">
        <v>1026</v>
      </c>
      <c r="S8" s="41" t="s">
        <v>860</v>
      </c>
      <c r="T8" s="41" t="s">
        <v>860</v>
      </c>
      <c r="U8" s="49" t="s">
        <v>860</v>
      </c>
      <c r="V8" s="49" t="s">
        <v>860</v>
      </c>
      <c r="W8" s="49" t="s">
        <v>875</v>
      </c>
      <c r="X8" s="49" t="s">
        <v>876</v>
      </c>
      <c r="Y8" s="49" t="s">
        <v>876</v>
      </c>
      <c r="Z8" s="49" t="s">
        <v>877</v>
      </c>
      <c r="AA8" s="49" t="s">
        <v>857</v>
      </c>
      <c r="AB8" s="49" t="s">
        <v>860</v>
      </c>
      <c r="AC8" s="49" t="s">
        <v>860</v>
      </c>
      <c r="AD8" s="49" t="s">
        <v>860</v>
      </c>
      <c r="AE8" s="49" t="s">
        <v>860</v>
      </c>
      <c r="AF8" s="49" t="s">
        <v>860</v>
      </c>
      <c r="AG8" s="49" t="s">
        <v>859</v>
      </c>
    </row>
    <row r="9" spans="1:33" x14ac:dyDescent="0.25">
      <c r="A9" s="40">
        <v>2000008</v>
      </c>
      <c r="B9" s="40" t="s">
        <v>36</v>
      </c>
      <c r="C9" s="41" t="s">
        <v>785</v>
      </c>
      <c r="D9" s="44">
        <f>SUMIF(CREANCES!$B$2:$B$99999,'INFO CLIENTS'!B9,CREANCES!$J$2:$J$99999) - SUMIF(CREANCES!$B$2:$B$99999,'INFO CLIENTS'!B9,CREANCES!$K$2:$K$99999)</f>
        <v>0</v>
      </c>
      <c r="E9" s="41" t="s">
        <v>1030</v>
      </c>
      <c r="F9" s="41" t="s">
        <v>1062</v>
      </c>
      <c r="G9" s="41" t="s">
        <v>26</v>
      </c>
      <c r="H9" s="41" t="s">
        <v>26</v>
      </c>
      <c r="I9" s="43">
        <v>42370</v>
      </c>
      <c r="J9" s="41" t="s">
        <v>827</v>
      </c>
      <c r="K9" s="41" t="s">
        <v>831</v>
      </c>
      <c r="L9" s="41" t="s">
        <v>832</v>
      </c>
      <c r="M9" s="41" t="s">
        <v>26</v>
      </c>
      <c r="N9" s="41" t="s">
        <v>851</v>
      </c>
      <c r="O9" s="48">
        <v>0</v>
      </c>
      <c r="P9" s="41" t="s">
        <v>852</v>
      </c>
      <c r="Q9" s="41" t="s">
        <v>1028</v>
      </c>
      <c r="R9" s="41" t="s">
        <v>912</v>
      </c>
      <c r="S9" s="41" t="s">
        <v>867</v>
      </c>
      <c r="T9" s="41" t="s">
        <v>860</v>
      </c>
      <c r="U9" s="49" t="s">
        <v>860</v>
      </c>
      <c r="V9" s="49" t="s">
        <v>860</v>
      </c>
      <c r="W9" s="49" t="s">
        <v>878</v>
      </c>
      <c r="X9" s="49" t="s">
        <v>879</v>
      </c>
      <c r="Y9" s="49" t="s">
        <v>879</v>
      </c>
      <c r="Z9" s="49" t="s">
        <v>857</v>
      </c>
      <c r="AA9" s="49" t="s">
        <v>858</v>
      </c>
      <c r="AB9" s="49" t="s">
        <v>880</v>
      </c>
      <c r="AC9" s="49" t="s">
        <v>880</v>
      </c>
      <c r="AD9" s="49" t="s">
        <v>880</v>
      </c>
      <c r="AE9" s="49" t="s">
        <v>880</v>
      </c>
      <c r="AF9" s="49" t="s">
        <v>881</v>
      </c>
      <c r="AG9" s="49" t="s">
        <v>859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1030</v>
      </c>
      <c r="F10" s="41" t="s">
        <v>816</v>
      </c>
      <c r="G10" s="42" t="s">
        <v>803</v>
      </c>
      <c r="H10" s="41" t="s">
        <v>790</v>
      </c>
      <c r="I10" s="43">
        <v>45292</v>
      </c>
      <c r="J10" s="44" t="s">
        <v>1066</v>
      </c>
      <c r="K10" s="41" t="s">
        <v>828</v>
      </c>
      <c r="L10" s="46">
        <v>500000</v>
      </c>
      <c r="M10" s="41" t="s">
        <v>840</v>
      </c>
      <c r="N10" s="41" t="s">
        <v>851</v>
      </c>
      <c r="O10" s="48">
        <v>1</v>
      </c>
      <c r="P10" s="41" t="s">
        <v>853</v>
      </c>
      <c r="Q10" s="41" t="s">
        <v>856</v>
      </c>
      <c r="R10" s="41" t="s">
        <v>1026</v>
      </c>
      <c r="S10" s="41" t="s">
        <v>867</v>
      </c>
      <c r="T10" s="41" t="s">
        <v>867</v>
      </c>
      <c r="U10" s="41" t="s">
        <v>867</v>
      </c>
      <c r="V10" s="41" t="s">
        <v>867</v>
      </c>
      <c r="W10" s="49" t="s">
        <v>882</v>
      </c>
      <c r="X10" s="49" t="s">
        <v>883</v>
      </c>
      <c r="Y10" s="49" t="s">
        <v>884</v>
      </c>
      <c r="Z10" s="49" t="s">
        <v>885</v>
      </c>
      <c r="AA10" s="49" t="s">
        <v>857</v>
      </c>
      <c r="AB10" s="49" t="s">
        <v>886</v>
      </c>
      <c r="AC10" s="49" t="s">
        <v>887</v>
      </c>
      <c r="AD10" s="49" t="s">
        <v>887</v>
      </c>
      <c r="AE10" s="49" t="s">
        <v>887</v>
      </c>
      <c r="AF10" s="49" t="s">
        <v>869</v>
      </c>
      <c r="AG10" s="49" t="s">
        <v>859</v>
      </c>
    </row>
    <row r="11" spans="1:33" x14ac:dyDescent="0.25">
      <c r="A11" s="40">
        <v>2000010</v>
      </c>
      <c r="B11" s="40" t="s">
        <v>4464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1030</v>
      </c>
      <c r="F11" s="41" t="s">
        <v>817</v>
      </c>
      <c r="G11" s="42" t="s">
        <v>804</v>
      </c>
      <c r="H11" s="41" t="s">
        <v>791</v>
      </c>
      <c r="I11" s="43">
        <v>45505</v>
      </c>
      <c r="J11" s="41" t="s">
        <v>827</v>
      </c>
      <c r="K11" s="41" t="s">
        <v>831</v>
      </c>
      <c r="L11" s="41" t="s">
        <v>832</v>
      </c>
      <c r="M11" s="41" t="s">
        <v>841</v>
      </c>
      <c r="N11" s="41" t="s">
        <v>851</v>
      </c>
      <c r="O11" s="48">
        <v>0</v>
      </c>
      <c r="P11" s="41" t="s">
        <v>853</v>
      </c>
      <c r="Q11" s="41" t="s">
        <v>1028</v>
      </c>
      <c r="R11" s="41" t="s">
        <v>912</v>
      </c>
      <c r="S11" s="41" t="s">
        <v>860</v>
      </c>
      <c r="T11" s="41" t="s">
        <v>867</v>
      </c>
      <c r="U11" s="41" t="s">
        <v>867</v>
      </c>
      <c r="V11" s="41" t="s">
        <v>867</v>
      </c>
      <c r="W11" s="49" t="s">
        <v>888</v>
      </c>
      <c r="X11" s="49" t="s">
        <v>889</v>
      </c>
      <c r="Y11" s="49" t="s">
        <v>889</v>
      </c>
      <c r="Z11" s="49" t="s">
        <v>890</v>
      </c>
      <c r="AA11" s="49" t="s">
        <v>857</v>
      </c>
      <c r="AB11" s="49" t="s">
        <v>891</v>
      </c>
      <c r="AC11" s="49" t="s">
        <v>891</v>
      </c>
      <c r="AD11" s="49" t="s">
        <v>891</v>
      </c>
      <c r="AE11" s="49" t="s">
        <v>891</v>
      </c>
      <c r="AF11" s="49" t="s">
        <v>874</v>
      </c>
      <c r="AG11" s="49" t="s">
        <v>859</v>
      </c>
    </row>
    <row r="12" spans="1:33" x14ac:dyDescent="0.25">
      <c r="A12" s="40">
        <v>2000011</v>
      </c>
      <c r="B12" s="40" t="s">
        <v>6345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1030</v>
      </c>
      <c r="F12" s="41" t="s">
        <v>818</v>
      </c>
      <c r="G12" s="41" t="s">
        <v>26</v>
      </c>
      <c r="H12" s="41" t="s">
        <v>792</v>
      </c>
      <c r="I12" s="43">
        <v>44927</v>
      </c>
      <c r="J12" s="41" t="s">
        <v>827</v>
      </c>
      <c r="K12" s="41" t="s">
        <v>831</v>
      </c>
      <c r="L12" s="41" t="s">
        <v>832</v>
      </c>
      <c r="M12" s="41" t="s">
        <v>842</v>
      </c>
      <c r="N12" s="41" t="s">
        <v>851</v>
      </c>
      <c r="O12" s="48">
        <v>0</v>
      </c>
      <c r="P12" s="41" t="s">
        <v>852</v>
      </c>
      <c r="Q12" s="41" t="s">
        <v>1028</v>
      </c>
      <c r="R12" s="41" t="s">
        <v>1064</v>
      </c>
      <c r="S12" s="41" t="s">
        <v>867</v>
      </c>
      <c r="T12" s="41" t="s">
        <v>860</v>
      </c>
      <c r="U12" s="49" t="s">
        <v>860</v>
      </c>
      <c r="V12" s="49" t="s">
        <v>860</v>
      </c>
      <c r="W12" s="49" t="s">
        <v>865</v>
      </c>
      <c r="X12" s="49" t="s">
        <v>876</v>
      </c>
      <c r="Y12" s="49" t="s">
        <v>876</v>
      </c>
      <c r="Z12" s="49" t="s">
        <v>892</v>
      </c>
      <c r="AA12" s="49" t="s">
        <v>857</v>
      </c>
      <c r="AB12" s="49" t="s">
        <v>863</v>
      </c>
      <c r="AC12" s="49" t="s">
        <v>863</v>
      </c>
      <c r="AD12" s="49" t="s">
        <v>863</v>
      </c>
      <c r="AE12" s="49" t="s">
        <v>863</v>
      </c>
      <c r="AF12" s="49" t="s">
        <v>864</v>
      </c>
      <c r="AG12" s="49" t="s">
        <v>859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1030</v>
      </c>
      <c r="F13" s="41" t="s">
        <v>821</v>
      </c>
      <c r="G13" s="42" t="s">
        <v>805</v>
      </c>
      <c r="H13" s="41" t="s">
        <v>793</v>
      </c>
      <c r="I13" s="43">
        <v>42736</v>
      </c>
      <c r="J13" s="41" t="s">
        <v>827</v>
      </c>
      <c r="K13" s="41" t="s">
        <v>831</v>
      </c>
      <c r="L13" s="41" t="s">
        <v>832</v>
      </c>
      <c r="M13" s="41" t="s">
        <v>843</v>
      </c>
      <c r="N13" s="41" t="s">
        <v>851</v>
      </c>
      <c r="O13" s="48">
        <v>0</v>
      </c>
      <c r="P13" s="41" t="s">
        <v>853</v>
      </c>
      <c r="Q13" s="41" t="s">
        <v>1028</v>
      </c>
      <c r="R13" s="41" t="s">
        <v>1065</v>
      </c>
      <c r="S13" s="41" t="s">
        <v>860</v>
      </c>
      <c r="T13" s="41" t="s">
        <v>867</v>
      </c>
      <c r="U13" s="41" t="s">
        <v>867</v>
      </c>
      <c r="V13" s="41" t="s">
        <v>867</v>
      </c>
      <c r="W13" s="49" t="s">
        <v>870</v>
      </c>
      <c r="X13" s="49" t="s">
        <v>871</v>
      </c>
      <c r="Y13" s="49" t="s">
        <v>871</v>
      </c>
      <c r="Z13" s="49" t="s">
        <v>872</v>
      </c>
      <c r="AA13" s="49" t="s">
        <v>867</v>
      </c>
      <c r="AB13" s="49" t="s">
        <v>873</v>
      </c>
      <c r="AC13" s="49" t="s">
        <v>873</v>
      </c>
      <c r="AD13" s="49" t="s">
        <v>873</v>
      </c>
      <c r="AE13" s="49" t="s">
        <v>873</v>
      </c>
      <c r="AF13" s="49" t="s">
        <v>874</v>
      </c>
      <c r="AG13" s="49" t="s">
        <v>859</v>
      </c>
    </row>
    <row r="14" spans="1:33" x14ac:dyDescent="0.25">
      <c r="A14" s="40">
        <v>2000013</v>
      </c>
      <c r="B14" s="40" t="s">
        <v>1049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1030</v>
      </c>
      <c r="F14" s="41" t="s">
        <v>821</v>
      </c>
      <c r="G14" s="42" t="s">
        <v>805</v>
      </c>
      <c r="H14" s="41" t="s">
        <v>793</v>
      </c>
      <c r="I14" s="43">
        <v>42736</v>
      </c>
      <c r="J14" s="41" t="s">
        <v>827</v>
      </c>
      <c r="K14" s="41" t="s">
        <v>831</v>
      </c>
      <c r="L14" s="41" t="s">
        <v>832</v>
      </c>
      <c r="M14" s="41" t="s">
        <v>843</v>
      </c>
      <c r="N14" s="41" t="s">
        <v>851</v>
      </c>
      <c r="O14" s="48">
        <v>1</v>
      </c>
      <c r="P14" s="41" t="s">
        <v>853</v>
      </c>
      <c r="Q14" s="41" t="s">
        <v>1028</v>
      </c>
      <c r="R14" s="41" t="s">
        <v>1064</v>
      </c>
      <c r="S14" s="41" t="s">
        <v>860</v>
      </c>
      <c r="T14" s="41" t="s">
        <v>867</v>
      </c>
      <c r="U14" s="41" t="s">
        <v>867</v>
      </c>
      <c r="V14" s="41" t="s">
        <v>867</v>
      </c>
      <c r="W14" s="49" t="s">
        <v>870</v>
      </c>
      <c r="X14" s="49" t="s">
        <v>871</v>
      </c>
      <c r="Y14" s="49" t="s">
        <v>871</v>
      </c>
      <c r="Z14" s="49" t="s">
        <v>872</v>
      </c>
      <c r="AA14" s="49" t="s">
        <v>867</v>
      </c>
      <c r="AB14" s="49" t="s">
        <v>873</v>
      </c>
      <c r="AC14" s="49" t="s">
        <v>873</v>
      </c>
      <c r="AD14" s="49" t="s">
        <v>873</v>
      </c>
      <c r="AE14" s="49" t="s">
        <v>873</v>
      </c>
      <c r="AF14" s="49" t="s">
        <v>874</v>
      </c>
      <c r="AG14" s="49" t="s">
        <v>859</v>
      </c>
    </row>
    <row r="15" spans="1:33" x14ac:dyDescent="0.25">
      <c r="A15" s="40">
        <v>2000014</v>
      </c>
      <c r="B15" s="40" t="s">
        <v>4465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1030</v>
      </c>
      <c r="F15" s="41" t="s">
        <v>819</v>
      </c>
      <c r="G15" s="42" t="s">
        <v>806</v>
      </c>
      <c r="H15" s="41" t="s">
        <v>1041</v>
      </c>
      <c r="I15" s="43">
        <v>42736</v>
      </c>
      <c r="J15" s="44" t="s">
        <v>1066</v>
      </c>
      <c r="K15" s="41" t="s">
        <v>828</v>
      </c>
      <c r="L15" s="46">
        <v>600000</v>
      </c>
      <c r="M15" s="41" t="s">
        <v>844</v>
      </c>
      <c r="N15" s="41" t="s">
        <v>851</v>
      </c>
      <c r="O15" s="48">
        <v>0.7</v>
      </c>
      <c r="P15" s="41" t="s">
        <v>852</v>
      </c>
      <c r="Q15" s="41" t="s">
        <v>854</v>
      </c>
      <c r="R15" s="41" t="s">
        <v>1026</v>
      </c>
      <c r="S15" s="41" t="s">
        <v>867</v>
      </c>
      <c r="T15" s="41" t="s">
        <v>860</v>
      </c>
      <c r="U15" s="49" t="s">
        <v>860</v>
      </c>
      <c r="V15" s="49" t="s">
        <v>860</v>
      </c>
      <c r="W15" s="49" t="s">
        <v>893</v>
      </c>
      <c r="X15" s="49" t="s">
        <v>894</v>
      </c>
      <c r="Y15" s="49" t="s">
        <v>895</v>
      </c>
      <c r="Z15" s="49" t="s">
        <v>892</v>
      </c>
      <c r="AA15" s="49" t="s">
        <v>906</v>
      </c>
      <c r="AB15" s="49" t="s">
        <v>896</v>
      </c>
      <c r="AC15" s="49" t="s">
        <v>896</v>
      </c>
      <c r="AD15" s="49" t="s">
        <v>896</v>
      </c>
      <c r="AE15" s="49" t="s">
        <v>896</v>
      </c>
      <c r="AF15" s="49" t="s">
        <v>864</v>
      </c>
      <c r="AG15" s="49" t="s">
        <v>859</v>
      </c>
    </row>
    <row r="16" spans="1:33" x14ac:dyDescent="0.25">
      <c r="A16" s="40">
        <v>2000015</v>
      </c>
      <c r="B16" s="40" t="s">
        <v>4440</v>
      </c>
      <c r="C16" s="41" t="s">
        <v>783</v>
      </c>
      <c r="D16" s="44">
        <f>SUMIF(CREANCES!$B$2:$B$99999,'INFO CLIENTS'!B16,CREANCES!$J$2:$J$99999) - SUMIF(CREANCES!$B$2:$B$99999,'INFO CLIENTS'!B16,CREANCES!$K$2:$K$99999)</f>
        <v>175081.13300000085</v>
      </c>
      <c r="E16" s="41" t="s">
        <v>1029</v>
      </c>
      <c r="F16" s="41" t="s">
        <v>820</v>
      </c>
      <c r="G16" s="42" t="s">
        <v>807</v>
      </c>
      <c r="H16" s="41" t="s">
        <v>794</v>
      </c>
      <c r="I16" s="43">
        <v>44562</v>
      </c>
      <c r="J16" s="41" t="s">
        <v>827</v>
      </c>
      <c r="K16" s="41" t="s">
        <v>829</v>
      </c>
      <c r="L16" s="44">
        <v>400000</v>
      </c>
      <c r="M16" s="41" t="s">
        <v>845</v>
      </c>
      <c r="N16" s="41" t="s">
        <v>851</v>
      </c>
      <c r="O16" s="48">
        <v>1</v>
      </c>
      <c r="P16" s="41" t="s">
        <v>852</v>
      </c>
      <c r="Q16" s="41" t="s">
        <v>854</v>
      </c>
      <c r="R16" s="41" t="s">
        <v>1026</v>
      </c>
      <c r="S16" s="41" t="s">
        <v>866</v>
      </c>
      <c r="T16" s="41" t="s">
        <v>909</v>
      </c>
      <c r="U16" s="49" t="s">
        <v>860</v>
      </c>
      <c r="V16" s="49" t="s">
        <v>860</v>
      </c>
      <c r="W16" s="49" t="s">
        <v>863</v>
      </c>
      <c r="X16" s="49" t="s">
        <v>857</v>
      </c>
      <c r="Y16" s="49" t="s">
        <v>897</v>
      </c>
      <c r="Z16" s="49" t="s">
        <v>877</v>
      </c>
      <c r="AA16" s="49" t="s">
        <v>860</v>
      </c>
      <c r="AB16" s="49" t="s">
        <v>898</v>
      </c>
      <c r="AC16" s="49" t="s">
        <v>898</v>
      </c>
      <c r="AD16" s="49" t="s">
        <v>878</v>
      </c>
      <c r="AE16" s="49" t="s">
        <v>863</v>
      </c>
      <c r="AF16" s="49" t="s">
        <v>899</v>
      </c>
      <c r="AG16" s="49" t="s">
        <v>859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-144655.85999999999</v>
      </c>
      <c r="E17" s="41" t="s">
        <v>1030</v>
      </c>
      <c r="F17" s="41" t="s">
        <v>822</v>
      </c>
      <c r="G17" s="41" t="s">
        <v>26</v>
      </c>
      <c r="H17" s="41" t="s">
        <v>795</v>
      </c>
      <c r="I17" s="43">
        <v>44927</v>
      </c>
      <c r="J17" s="41" t="s">
        <v>827</v>
      </c>
      <c r="K17" s="41" t="s">
        <v>831</v>
      </c>
      <c r="L17" s="41" t="s">
        <v>832</v>
      </c>
      <c r="M17" s="41" t="s">
        <v>846</v>
      </c>
      <c r="N17" s="41" t="s">
        <v>851</v>
      </c>
      <c r="O17" s="48">
        <v>0</v>
      </c>
      <c r="P17" s="41" t="s">
        <v>853</v>
      </c>
      <c r="Q17" s="41" t="s">
        <v>854</v>
      </c>
      <c r="R17" s="41" t="s">
        <v>912</v>
      </c>
      <c r="S17" s="41" t="s">
        <v>867</v>
      </c>
      <c r="T17" s="41" t="s">
        <v>867</v>
      </c>
      <c r="U17" s="41" t="s">
        <v>867</v>
      </c>
      <c r="V17" s="41" t="s">
        <v>867</v>
      </c>
      <c r="W17" s="49" t="s">
        <v>870</v>
      </c>
      <c r="X17" s="49" t="s">
        <v>871</v>
      </c>
      <c r="Y17" s="49" t="s">
        <v>871</v>
      </c>
      <c r="Z17" s="49" t="s">
        <v>872</v>
      </c>
      <c r="AA17" s="49" t="s">
        <v>867</v>
      </c>
      <c r="AB17" s="49" t="s">
        <v>873</v>
      </c>
      <c r="AC17" s="49" t="s">
        <v>873</v>
      </c>
      <c r="AD17" s="49" t="s">
        <v>873</v>
      </c>
      <c r="AE17" s="49" t="s">
        <v>873</v>
      </c>
      <c r="AF17" s="49" t="s">
        <v>874</v>
      </c>
      <c r="AG17" s="49" t="s">
        <v>859</v>
      </c>
    </row>
    <row r="18" spans="1:33" x14ac:dyDescent="0.25">
      <c r="A18" s="40">
        <v>2000017</v>
      </c>
      <c r="B18" s="40" t="s">
        <v>4439</v>
      </c>
      <c r="C18" s="41" t="s">
        <v>783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1029</v>
      </c>
      <c r="F18" s="41" t="s">
        <v>823</v>
      </c>
      <c r="G18" s="42" t="s">
        <v>808</v>
      </c>
      <c r="H18" s="41" t="s">
        <v>796</v>
      </c>
      <c r="I18" s="43">
        <v>44562</v>
      </c>
      <c r="J18" s="41" t="s">
        <v>827</v>
      </c>
      <c r="K18" s="41" t="s">
        <v>830</v>
      </c>
      <c r="L18" s="41" t="s">
        <v>832</v>
      </c>
      <c r="M18" s="41" t="s">
        <v>847</v>
      </c>
      <c r="N18" s="41" t="s">
        <v>851</v>
      </c>
      <c r="O18" s="48">
        <v>1</v>
      </c>
      <c r="P18" s="41" t="s">
        <v>852</v>
      </c>
      <c r="Q18" s="41" t="s">
        <v>854</v>
      </c>
      <c r="R18" s="41" t="s">
        <v>1026</v>
      </c>
      <c r="S18" s="41" t="s">
        <v>1032</v>
      </c>
      <c r="T18" s="41" t="s">
        <v>910</v>
      </c>
      <c r="U18" s="49" t="s">
        <v>860</v>
      </c>
      <c r="V18" s="49" t="s">
        <v>860</v>
      </c>
      <c r="W18" s="49" t="s">
        <v>860</v>
      </c>
      <c r="X18" s="49" t="s">
        <v>862</v>
      </c>
      <c r="Y18" s="49" t="s">
        <v>900</v>
      </c>
      <c r="Z18" s="49" t="s">
        <v>857</v>
      </c>
      <c r="AA18" s="49" t="s">
        <v>860</v>
      </c>
      <c r="AB18" s="49" t="s">
        <v>860</v>
      </c>
      <c r="AC18" s="49" t="s">
        <v>860</v>
      </c>
      <c r="AD18" s="49" t="s">
        <v>860</v>
      </c>
      <c r="AE18" s="49" t="s">
        <v>860</v>
      </c>
      <c r="AF18" s="49" t="s">
        <v>860</v>
      </c>
      <c r="AG18" s="49" t="s">
        <v>859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-110959.21999999994</v>
      </c>
      <c r="E19" s="41" t="s">
        <v>1030</v>
      </c>
      <c r="F19" s="41" t="s">
        <v>824</v>
      </c>
      <c r="G19" s="41" t="s">
        <v>26</v>
      </c>
      <c r="H19" s="41" t="s">
        <v>797</v>
      </c>
      <c r="I19" s="43">
        <v>44562</v>
      </c>
      <c r="J19" s="41" t="s">
        <v>827</v>
      </c>
      <c r="K19" s="41" t="s">
        <v>831</v>
      </c>
      <c r="L19" s="41" t="s">
        <v>832</v>
      </c>
      <c r="M19" s="41" t="s">
        <v>848</v>
      </c>
      <c r="N19" s="41" t="s">
        <v>851</v>
      </c>
      <c r="O19" s="48">
        <v>0</v>
      </c>
      <c r="P19" s="41" t="s">
        <v>853</v>
      </c>
      <c r="Q19" s="41" t="s">
        <v>1028</v>
      </c>
      <c r="R19" s="41" t="s">
        <v>1064</v>
      </c>
      <c r="S19" s="41" t="s">
        <v>860</v>
      </c>
      <c r="T19" s="41" t="s">
        <v>867</v>
      </c>
      <c r="U19" s="41" t="s">
        <v>867</v>
      </c>
      <c r="V19" s="41" t="s">
        <v>867</v>
      </c>
      <c r="W19" s="49" t="s">
        <v>870</v>
      </c>
      <c r="X19" s="49" t="s">
        <v>871</v>
      </c>
      <c r="Y19" s="49" t="s">
        <v>871</v>
      </c>
      <c r="Z19" s="49" t="s">
        <v>872</v>
      </c>
      <c r="AA19" s="49" t="s">
        <v>867</v>
      </c>
      <c r="AB19" s="49" t="s">
        <v>873</v>
      </c>
      <c r="AC19" s="49" t="s">
        <v>873</v>
      </c>
      <c r="AD19" s="49" t="s">
        <v>873</v>
      </c>
      <c r="AE19" s="49" t="s">
        <v>873</v>
      </c>
      <c r="AF19" s="49" t="s">
        <v>874</v>
      </c>
      <c r="AG19" s="49" t="s">
        <v>859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-158974.18000000028</v>
      </c>
      <c r="E20" s="41" t="s">
        <v>1030</v>
      </c>
      <c r="F20" s="41" t="s">
        <v>825</v>
      </c>
      <c r="G20" s="41" t="s">
        <v>26</v>
      </c>
      <c r="H20" s="41" t="s">
        <v>798</v>
      </c>
      <c r="I20" s="43">
        <v>44927</v>
      </c>
      <c r="J20" s="41" t="s">
        <v>827</v>
      </c>
      <c r="K20" s="41" t="s">
        <v>831</v>
      </c>
      <c r="L20" s="41" t="s">
        <v>832</v>
      </c>
      <c r="M20" s="41" t="s">
        <v>849</v>
      </c>
      <c r="N20" s="41" t="s">
        <v>851</v>
      </c>
      <c r="O20" s="48">
        <v>0</v>
      </c>
      <c r="P20" s="41" t="s">
        <v>853</v>
      </c>
      <c r="Q20" s="41" t="s">
        <v>854</v>
      </c>
      <c r="R20" s="41" t="s">
        <v>1064</v>
      </c>
      <c r="S20" s="41" t="s">
        <v>860</v>
      </c>
      <c r="T20" s="41" t="s">
        <v>867</v>
      </c>
      <c r="U20" s="41" t="s">
        <v>867</v>
      </c>
      <c r="V20" s="41" t="s">
        <v>867</v>
      </c>
      <c r="W20" s="49" t="s">
        <v>901</v>
      </c>
      <c r="X20" s="49" t="s">
        <v>902</v>
      </c>
      <c r="Y20" s="49" t="s">
        <v>902</v>
      </c>
      <c r="Z20" s="49" t="s">
        <v>903</v>
      </c>
      <c r="AA20" s="49" t="s">
        <v>857</v>
      </c>
      <c r="AB20" s="49" t="s">
        <v>904</v>
      </c>
      <c r="AC20" s="49" t="s">
        <v>904</v>
      </c>
      <c r="AD20" s="49" t="s">
        <v>904</v>
      </c>
      <c r="AE20" s="49" t="s">
        <v>904</v>
      </c>
      <c r="AF20" s="49" t="s">
        <v>905</v>
      </c>
      <c r="AG20" s="49" t="s">
        <v>859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-222205.80000000005</v>
      </c>
      <c r="E21" s="41" t="s">
        <v>1030</v>
      </c>
      <c r="F21" s="41" t="s">
        <v>826</v>
      </c>
      <c r="G21" s="42" t="s">
        <v>809</v>
      </c>
      <c r="H21" s="41" t="s">
        <v>799</v>
      </c>
      <c r="I21" s="43">
        <v>45017</v>
      </c>
      <c r="J21" s="41" t="s">
        <v>827</v>
      </c>
      <c r="K21" s="41" t="s">
        <v>831</v>
      </c>
      <c r="L21" s="41" t="s">
        <v>832</v>
      </c>
      <c r="M21" s="47" t="s">
        <v>850</v>
      </c>
      <c r="N21" s="41" t="s">
        <v>851</v>
      </c>
      <c r="O21" s="48">
        <v>0</v>
      </c>
      <c r="P21" s="41" t="s">
        <v>852</v>
      </c>
      <c r="Q21" s="41" t="s">
        <v>854</v>
      </c>
      <c r="R21" s="41" t="s">
        <v>1064</v>
      </c>
      <c r="S21" s="41" t="s">
        <v>867</v>
      </c>
      <c r="T21" s="41" t="s">
        <v>860</v>
      </c>
      <c r="U21" s="49" t="s">
        <v>860</v>
      </c>
      <c r="V21" s="49" t="s">
        <v>860</v>
      </c>
      <c r="W21" s="49" t="s">
        <v>860</v>
      </c>
      <c r="X21" s="49" t="s">
        <v>866</v>
      </c>
      <c r="Y21" s="49" t="s">
        <v>866</v>
      </c>
      <c r="Z21" s="49" t="s">
        <v>866</v>
      </c>
      <c r="AA21" s="49" t="s">
        <v>857</v>
      </c>
      <c r="AB21" s="49" t="s">
        <v>865</v>
      </c>
      <c r="AC21" s="49" t="s">
        <v>865</v>
      </c>
      <c r="AD21" s="49" t="s">
        <v>865</v>
      </c>
      <c r="AE21" s="49" t="s">
        <v>865</v>
      </c>
      <c r="AF21" s="49" t="s">
        <v>864</v>
      </c>
      <c r="AG21" s="49" t="s">
        <v>859</v>
      </c>
    </row>
    <row r="22" spans="1:33" x14ac:dyDescent="0.25">
      <c r="A22" s="40">
        <v>2000021</v>
      </c>
      <c r="B22" s="40" t="s">
        <v>4466</v>
      </c>
      <c r="C22" s="41" t="s">
        <v>914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1030</v>
      </c>
      <c r="F22" s="41" t="s">
        <v>1063</v>
      </c>
      <c r="G22" s="50" t="s">
        <v>916</v>
      </c>
      <c r="H22" s="41" t="s">
        <v>917</v>
      </c>
      <c r="I22" s="43">
        <v>45658</v>
      </c>
      <c r="J22" s="41" t="s">
        <v>827</v>
      </c>
      <c r="K22" s="41" t="s">
        <v>831</v>
      </c>
      <c r="L22" s="44">
        <f>72000/1.2</f>
        <v>60000</v>
      </c>
      <c r="M22" s="47" t="s">
        <v>918</v>
      </c>
      <c r="N22" s="41" t="s">
        <v>851</v>
      </c>
      <c r="O22" s="48">
        <v>1</v>
      </c>
      <c r="P22" s="41" t="s">
        <v>852</v>
      </c>
      <c r="Q22" s="41" t="s">
        <v>1028</v>
      </c>
      <c r="R22" s="41" t="s">
        <v>919</v>
      </c>
      <c r="S22" s="41" t="s">
        <v>860</v>
      </c>
      <c r="T22" s="41" t="s">
        <v>860</v>
      </c>
      <c r="U22" s="49" t="s">
        <v>860</v>
      </c>
      <c r="V22" s="49" t="s">
        <v>860</v>
      </c>
      <c r="W22" s="49" t="s">
        <v>860</v>
      </c>
      <c r="X22" s="49" t="s">
        <v>860</v>
      </c>
      <c r="Y22" s="49" t="s">
        <v>860</v>
      </c>
      <c r="Z22" s="49" t="s">
        <v>860</v>
      </c>
      <c r="AA22" s="49" t="s">
        <v>860</v>
      </c>
      <c r="AB22" s="49" t="s">
        <v>860</v>
      </c>
      <c r="AC22" s="49" t="s">
        <v>860</v>
      </c>
      <c r="AD22" s="49" t="s">
        <v>860</v>
      </c>
      <c r="AE22" s="49" t="s">
        <v>860</v>
      </c>
      <c r="AF22" s="49" t="s">
        <v>864</v>
      </c>
      <c r="AG22" s="49" t="s">
        <v>860</v>
      </c>
    </row>
    <row r="23" spans="1:33" x14ac:dyDescent="0.25">
      <c r="A23" s="40">
        <v>2000022</v>
      </c>
      <c r="B23" s="40" t="s">
        <v>4467</v>
      </c>
      <c r="C23" s="41" t="s">
        <v>913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1030</v>
      </c>
      <c r="F23" s="41" t="s">
        <v>929</v>
      </c>
      <c r="G23" s="50" t="s">
        <v>26</v>
      </c>
      <c r="H23" s="41" t="s">
        <v>950</v>
      </c>
      <c r="I23" s="43">
        <v>44197</v>
      </c>
      <c r="J23" s="41" t="s">
        <v>827</v>
      </c>
      <c r="K23" s="41" t="s">
        <v>828</v>
      </c>
      <c r="L23" s="41" t="s">
        <v>832</v>
      </c>
      <c r="M23" s="47" t="s">
        <v>951</v>
      </c>
      <c r="N23" s="41" t="s">
        <v>1022</v>
      </c>
      <c r="O23" s="48">
        <v>1</v>
      </c>
      <c r="P23" s="41" t="s">
        <v>853</v>
      </c>
      <c r="Q23" s="41" t="s">
        <v>1028</v>
      </c>
      <c r="R23" s="41" t="s">
        <v>919</v>
      </c>
      <c r="S23" s="41" t="s">
        <v>867</v>
      </c>
      <c r="T23" s="41" t="s">
        <v>860</v>
      </c>
      <c r="U23" s="49" t="s">
        <v>860</v>
      </c>
      <c r="V23" s="49" t="s">
        <v>860</v>
      </c>
      <c r="W23" s="49" t="s">
        <v>860</v>
      </c>
      <c r="X23" s="49" t="s">
        <v>884</v>
      </c>
      <c r="Y23" s="49" t="s">
        <v>884</v>
      </c>
      <c r="Z23" s="49" t="s">
        <v>885</v>
      </c>
      <c r="AA23" s="49" t="s">
        <v>867</v>
      </c>
      <c r="AB23" s="49" t="s">
        <v>1007</v>
      </c>
      <c r="AC23" s="49" t="s">
        <v>1006</v>
      </c>
      <c r="AD23" s="49" t="s">
        <v>867</v>
      </c>
      <c r="AE23" s="49" t="s">
        <v>867</v>
      </c>
      <c r="AF23" s="49" t="s">
        <v>867</v>
      </c>
      <c r="AG23" s="49" t="s">
        <v>867</v>
      </c>
    </row>
    <row r="24" spans="1:33" x14ac:dyDescent="0.25">
      <c r="A24" s="40">
        <v>2000023</v>
      </c>
      <c r="B24" s="40" t="s">
        <v>920</v>
      </c>
      <c r="C24" s="41" t="s">
        <v>783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1029</v>
      </c>
      <c r="F24" s="41" t="s">
        <v>930</v>
      </c>
      <c r="G24" s="50" t="s">
        <v>952</v>
      </c>
      <c r="H24" s="41" t="s">
        <v>953</v>
      </c>
      <c r="I24" s="43">
        <v>44197</v>
      </c>
      <c r="J24" s="41" t="s">
        <v>827</v>
      </c>
      <c r="K24" s="41" t="s">
        <v>828</v>
      </c>
      <c r="L24" s="41" t="s">
        <v>832</v>
      </c>
      <c r="M24" s="47" t="s">
        <v>954</v>
      </c>
      <c r="N24" s="41" t="s">
        <v>1022</v>
      </c>
      <c r="O24" s="48">
        <v>1</v>
      </c>
      <c r="P24" s="41" t="s">
        <v>852</v>
      </c>
      <c r="Q24" s="41" t="s">
        <v>854</v>
      </c>
      <c r="R24" s="41" t="s">
        <v>1026</v>
      </c>
      <c r="S24" s="41" t="s">
        <v>881</v>
      </c>
      <c r="T24" s="41" t="s">
        <v>1031</v>
      </c>
      <c r="U24" s="49" t="s">
        <v>860</v>
      </c>
      <c r="V24" s="49" t="s">
        <v>860</v>
      </c>
      <c r="W24" s="49" t="s">
        <v>866</v>
      </c>
      <c r="X24" s="49" t="s">
        <v>900</v>
      </c>
      <c r="Y24" s="49" t="s">
        <v>900</v>
      </c>
      <c r="Z24" s="49" t="s">
        <v>857</v>
      </c>
      <c r="AA24" s="49" t="s">
        <v>860</v>
      </c>
      <c r="AB24" s="49" t="s">
        <v>860</v>
      </c>
      <c r="AC24" s="49" t="s">
        <v>860</v>
      </c>
      <c r="AD24" s="49" t="s">
        <v>860</v>
      </c>
      <c r="AE24" s="49" t="s">
        <v>860</v>
      </c>
      <c r="AF24" s="49" t="s">
        <v>860</v>
      </c>
      <c r="AG24" s="49" t="s">
        <v>860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1030</v>
      </c>
      <c r="F25" s="41" t="s">
        <v>931</v>
      </c>
      <c r="G25" s="50" t="s">
        <v>955</v>
      </c>
      <c r="H25" s="41" t="s">
        <v>956</v>
      </c>
      <c r="I25" s="43">
        <v>44197</v>
      </c>
      <c r="J25" s="41" t="s">
        <v>827</v>
      </c>
      <c r="K25" s="41" t="s">
        <v>828</v>
      </c>
      <c r="L25" s="41" t="s">
        <v>832</v>
      </c>
      <c r="M25" s="47" t="s">
        <v>977</v>
      </c>
      <c r="N25" s="41" t="s">
        <v>1022</v>
      </c>
      <c r="O25" s="48">
        <v>1</v>
      </c>
      <c r="P25" s="41" t="s">
        <v>853</v>
      </c>
      <c r="Q25" s="41" t="s">
        <v>1028</v>
      </c>
      <c r="R25" s="41" t="s">
        <v>1026</v>
      </c>
      <c r="S25" s="41" t="s">
        <v>867</v>
      </c>
      <c r="T25" s="41" t="s">
        <v>867</v>
      </c>
      <c r="U25" s="41" t="s">
        <v>867</v>
      </c>
      <c r="V25" s="41" t="s">
        <v>867</v>
      </c>
      <c r="W25" s="49" t="s">
        <v>1008</v>
      </c>
      <c r="X25" s="49" t="s">
        <v>1009</v>
      </c>
      <c r="Y25" s="49" t="s">
        <v>1009</v>
      </c>
      <c r="Z25" s="49" t="s">
        <v>885</v>
      </c>
      <c r="AA25" s="49" t="s">
        <v>867</v>
      </c>
      <c r="AB25" s="49" t="s">
        <v>891</v>
      </c>
      <c r="AC25" s="49" t="s">
        <v>891</v>
      </c>
      <c r="AD25" s="49" t="s">
        <v>891</v>
      </c>
      <c r="AE25" s="49" t="s">
        <v>891</v>
      </c>
      <c r="AF25" s="49" t="s">
        <v>869</v>
      </c>
      <c r="AG25" s="49" t="s">
        <v>867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1030</v>
      </c>
      <c r="F26" s="41" t="s">
        <v>814</v>
      </c>
      <c r="G26" s="50" t="s">
        <v>957</v>
      </c>
      <c r="H26" s="41" t="s">
        <v>789</v>
      </c>
      <c r="I26" s="43">
        <v>44197</v>
      </c>
      <c r="J26" s="41" t="s">
        <v>827</v>
      </c>
      <c r="K26" s="41" t="s">
        <v>828</v>
      </c>
      <c r="L26" s="41" t="s">
        <v>832</v>
      </c>
      <c r="M26" s="47" t="s">
        <v>838</v>
      </c>
      <c r="N26" s="41" t="s">
        <v>1023</v>
      </c>
      <c r="O26" s="48">
        <v>0.7</v>
      </c>
      <c r="P26" s="41" t="s">
        <v>853</v>
      </c>
      <c r="Q26" s="41" t="s">
        <v>1024</v>
      </c>
      <c r="R26" s="41" t="s">
        <v>1027</v>
      </c>
      <c r="S26" s="41" t="s">
        <v>867</v>
      </c>
      <c r="T26" s="41" t="s">
        <v>860</v>
      </c>
      <c r="U26" s="41" t="s">
        <v>867</v>
      </c>
      <c r="V26" s="41" t="s">
        <v>867</v>
      </c>
      <c r="W26" s="49" t="s">
        <v>1008</v>
      </c>
      <c r="X26" s="49" t="s">
        <v>862</v>
      </c>
      <c r="Y26" s="49" t="s">
        <v>1010</v>
      </c>
      <c r="Z26" s="49" t="s">
        <v>871</v>
      </c>
      <c r="AA26" s="49" t="s">
        <v>867</v>
      </c>
      <c r="AB26" s="49" t="s">
        <v>1011</v>
      </c>
      <c r="AC26" s="49" t="s">
        <v>1011</v>
      </c>
      <c r="AD26" s="49" t="s">
        <v>1011</v>
      </c>
      <c r="AE26" s="49" t="s">
        <v>1011</v>
      </c>
      <c r="AF26" s="49" t="s">
        <v>864</v>
      </c>
      <c r="AG26" s="49" t="s">
        <v>860</v>
      </c>
    </row>
    <row r="27" spans="1:33" x14ac:dyDescent="0.25">
      <c r="A27" s="40">
        <v>2000026</v>
      </c>
      <c r="B27" s="40" t="s">
        <v>921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1030</v>
      </c>
      <c r="F27" s="41" t="s">
        <v>1046</v>
      </c>
      <c r="G27" s="50" t="s">
        <v>26</v>
      </c>
      <c r="H27" s="41" t="s">
        <v>1045</v>
      </c>
      <c r="I27" s="43">
        <v>44197</v>
      </c>
      <c r="J27" s="41" t="s">
        <v>827</v>
      </c>
      <c r="K27" s="41" t="s">
        <v>828</v>
      </c>
      <c r="L27" s="41" t="s">
        <v>832</v>
      </c>
      <c r="M27" s="47" t="s">
        <v>978</v>
      </c>
      <c r="N27" s="41" t="s">
        <v>851</v>
      </c>
      <c r="O27" s="48">
        <v>0.5</v>
      </c>
      <c r="P27" s="41" t="s">
        <v>853</v>
      </c>
      <c r="Q27" s="41" t="s">
        <v>856</v>
      </c>
      <c r="R27" s="41" t="s">
        <v>1026</v>
      </c>
      <c r="S27" s="41" t="s">
        <v>867</v>
      </c>
      <c r="T27" s="41" t="s">
        <v>867</v>
      </c>
      <c r="U27" s="41" t="s">
        <v>1010</v>
      </c>
      <c r="V27" s="41" t="s">
        <v>867</v>
      </c>
      <c r="W27" s="49" t="s">
        <v>871</v>
      </c>
      <c r="X27" s="49" t="s">
        <v>1009</v>
      </c>
      <c r="Y27" s="49" t="s">
        <v>1009</v>
      </c>
      <c r="Z27" s="49" t="s">
        <v>1009</v>
      </c>
      <c r="AA27" s="49" t="s">
        <v>1009</v>
      </c>
      <c r="AB27" s="49" t="s">
        <v>871</v>
      </c>
      <c r="AC27" s="49" t="s">
        <v>871</v>
      </c>
      <c r="AD27" s="49" t="s">
        <v>871</v>
      </c>
      <c r="AE27" s="49" t="s">
        <v>871</v>
      </c>
      <c r="AF27" s="49" t="s">
        <v>869</v>
      </c>
      <c r="AG27" s="49" t="s">
        <v>867</v>
      </c>
    </row>
    <row r="28" spans="1:33" x14ac:dyDescent="0.25">
      <c r="A28" s="40">
        <v>2000027</v>
      </c>
      <c r="B28" s="40" t="s">
        <v>161</v>
      </c>
      <c r="C28" s="41" t="s">
        <v>913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1030</v>
      </c>
      <c r="F28" s="41" t="s">
        <v>932</v>
      </c>
      <c r="G28" s="50" t="s">
        <v>958</v>
      </c>
      <c r="H28" s="41" t="s">
        <v>959</v>
      </c>
      <c r="I28" s="43">
        <v>44197</v>
      </c>
      <c r="J28" s="41" t="s">
        <v>827</v>
      </c>
      <c r="K28" s="41" t="s">
        <v>828</v>
      </c>
      <c r="L28" s="41" t="s">
        <v>832</v>
      </c>
      <c r="M28" s="47" t="s">
        <v>979</v>
      </c>
      <c r="N28" s="41" t="s">
        <v>1023</v>
      </c>
      <c r="O28" s="48">
        <v>1</v>
      </c>
      <c r="P28" s="41" t="s">
        <v>853</v>
      </c>
      <c r="Q28" s="41" t="s">
        <v>856</v>
      </c>
      <c r="R28" s="41" t="s">
        <v>1026</v>
      </c>
      <c r="S28" s="41" t="s">
        <v>860</v>
      </c>
      <c r="T28" s="41" t="s">
        <v>867</v>
      </c>
      <c r="U28" s="41" t="s">
        <v>867</v>
      </c>
      <c r="V28" s="41" t="s">
        <v>867</v>
      </c>
      <c r="W28" s="49" t="s">
        <v>1006</v>
      </c>
      <c r="X28" s="49" t="s">
        <v>884</v>
      </c>
      <c r="Y28" s="49" t="s">
        <v>1009</v>
      </c>
      <c r="Z28" s="49" t="s">
        <v>883</v>
      </c>
      <c r="AA28" s="49" t="s">
        <v>867</v>
      </c>
      <c r="AB28" s="49" t="s">
        <v>1012</v>
      </c>
      <c r="AC28" s="49" t="s">
        <v>1012</v>
      </c>
      <c r="AD28" s="49" t="s">
        <v>1012</v>
      </c>
      <c r="AE28" s="49" t="s">
        <v>1012</v>
      </c>
      <c r="AF28" s="49" t="s">
        <v>869</v>
      </c>
      <c r="AG28" s="49" t="s">
        <v>867</v>
      </c>
    </row>
    <row r="29" spans="1:33" x14ac:dyDescent="0.25">
      <c r="A29" s="40">
        <v>2000028</v>
      </c>
      <c r="B29" s="40" t="s">
        <v>4468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1030</v>
      </c>
      <c r="F29" s="41" t="s">
        <v>933</v>
      </c>
      <c r="G29" s="50" t="s">
        <v>26</v>
      </c>
      <c r="H29" s="41" t="s">
        <v>960</v>
      </c>
      <c r="I29" s="43">
        <v>44197</v>
      </c>
      <c r="J29" s="41" t="s">
        <v>827</v>
      </c>
      <c r="K29" s="41" t="s">
        <v>828</v>
      </c>
      <c r="L29" s="41" t="s">
        <v>832</v>
      </c>
      <c r="M29" s="47" t="s">
        <v>980</v>
      </c>
      <c r="N29" s="41" t="s">
        <v>1023</v>
      </c>
      <c r="O29" s="48">
        <v>1</v>
      </c>
      <c r="P29" s="41" t="s">
        <v>853</v>
      </c>
      <c r="Q29" s="41" t="s">
        <v>856</v>
      </c>
      <c r="R29" s="41" t="s">
        <v>1026</v>
      </c>
      <c r="S29" s="41" t="s">
        <v>860</v>
      </c>
      <c r="T29" s="41" t="s">
        <v>867</v>
      </c>
      <c r="U29" s="41" t="s">
        <v>885</v>
      </c>
      <c r="V29" s="41" t="s">
        <v>867</v>
      </c>
      <c r="W29" s="49" t="s">
        <v>1006</v>
      </c>
      <c r="X29" s="49" t="s">
        <v>1014</v>
      </c>
      <c r="Y29" s="49" t="s">
        <v>1013</v>
      </c>
      <c r="Z29" s="49" t="s">
        <v>885</v>
      </c>
      <c r="AA29" s="49" t="s">
        <v>867</v>
      </c>
      <c r="AB29" s="49" t="s">
        <v>871</v>
      </c>
      <c r="AC29" s="49" t="s">
        <v>871</v>
      </c>
      <c r="AD29" s="49" t="s">
        <v>871</v>
      </c>
      <c r="AE29" s="49" t="s">
        <v>871</v>
      </c>
      <c r="AF29" s="49" t="s">
        <v>869</v>
      </c>
      <c r="AG29" s="49" t="s">
        <v>867</v>
      </c>
    </row>
    <row r="30" spans="1:33" x14ac:dyDescent="0.25">
      <c r="A30" s="40">
        <v>2000029</v>
      </c>
      <c r="B30" s="40" t="s">
        <v>148</v>
      </c>
      <c r="C30" s="41" t="s">
        <v>913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1030</v>
      </c>
      <c r="F30" s="41" t="s">
        <v>934</v>
      </c>
      <c r="G30" s="50" t="s">
        <v>26</v>
      </c>
      <c r="H30" s="41" t="s">
        <v>1042</v>
      </c>
      <c r="I30" s="43">
        <v>44197</v>
      </c>
      <c r="J30" s="41" t="s">
        <v>827</v>
      </c>
      <c r="K30" s="41" t="s">
        <v>828</v>
      </c>
      <c r="L30" s="41" t="s">
        <v>832</v>
      </c>
      <c r="M30" s="47" t="s">
        <v>981</v>
      </c>
      <c r="N30" s="41" t="s">
        <v>1023</v>
      </c>
      <c r="O30" s="48">
        <v>1</v>
      </c>
      <c r="P30" s="41" t="s">
        <v>853</v>
      </c>
      <c r="Q30" s="41" t="s">
        <v>1025</v>
      </c>
      <c r="R30" s="41" t="s">
        <v>1026</v>
      </c>
      <c r="S30" s="41" t="s">
        <v>860</v>
      </c>
      <c r="T30" s="41" t="s">
        <v>867</v>
      </c>
      <c r="U30" s="41" t="s">
        <v>867</v>
      </c>
      <c r="V30" s="41" t="s">
        <v>867</v>
      </c>
      <c r="W30" s="49" t="s">
        <v>871</v>
      </c>
      <c r="X30" s="49" t="s">
        <v>883</v>
      </c>
      <c r="Y30" s="49" t="s">
        <v>883</v>
      </c>
      <c r="Z30" s="49" t="s">
        <v>883</v>
      </c>
      <c r="AA30" s="49" t="s">
        <v>867</v>
      </c>
      <c r="AB30" s="49" t="s">
        <v>871</v>
      </c>
      <c r="AC30" s="49" t="s">
        <v>871</v>
      </c>
      <c r="AD30" s="49" t="s">
        <v>871</v>
      </c>
      <c r="AE30" s="49" t="s">
        <v>871</v>
      </c>
      <c r="AF30" s="49" t="s">
        <v>869</v>
      </c>
      <c r="AG30" s="49" t="s">
        <v>867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1030</v>
      </c>
      <c r="F31" s="41" t="s">
        <v>935</v>
      </c>
      <c r="G31" s="50" t="s">
        <v>962</v>
      </c>
      <c r="H31" s="41" t="s">
        <v>961</v>
      </c>
      <c r="I31" s="43">
        <v>42736</v>
      </c>
      <c r="J31" s="41" t="s">
        <v>827</v>
      </c>
      <c r="K31" s="41" t="s">
        <v>828</v>
      </c>
      <c r="L31" s="41" t="s">
        <v>832</v>
      </c>
      <c r="M31" s="47" t="s">
        <v>982</v>
      </c>
      <c r="N31" s="41" t="s">
        <v>1023</v>
      </c>
      <c r="O31" s="48">
        <v>0.3</v>
      </c>
      <c r="P31" s="41" t="s">
        <v>853</v>
      </c>
      <c r="Q31" s="41" t="s">
        <v>1025</v>
      </c>
      <c r="R31" s="41" t="s">
        <v>912</v>
      </c>
      <c r="S31" s="41" t="s">
        <v>860</v>
      </c>
      <c r="T31" s="41" t="s">
        <v>867</v>
      </c>
      <c r="U31" s="41" t="s">
        <v>867</v>
      </c>
      <c r="V31" s="41" t="s">
        <v>867</v>
      </c>
      <c r="W31" s="49" t="s">
        <v>1006</v>
      </c>
      <c r="X31" s="49" t="s">
        <v>1015</v>
      </c>
      <c r="Y31" s="49" t="s">
        <v>1015</v>
      </c>
      <c r="Z31" s="49" t="s">
        <v>1015</v>
      </c>
      <c r="AA31" s="49" t="s">
        <v>867</v>
      </c>
      <c r="AB31" s="49" t="s">
        <v>1006</v>
      </c>
      <c r="AC31" s="49" t="s">
        <v>1006</v>
      </c>
      <c r="AD31" s="49" t="s">
        <v>1006</v>
      </c>
      <c r="AE31" s="49" t="s">
        <v>1006</v>
      </c>
      <c r="AF31" s="49" t="s">
        <v>869</v>
      </c>
      <c r="AG31" s="49" t="s">
        <v>867</v>
      </c>
    </row>
    <row r="32" spans="1:33" x14ac:dyDescent="0.25">
      <c r="A32" s="40">
        <v>2000031</v>
      </c>
      <c r="B32" s="40" t="s">
        <v>149</v>
      </c>
      <c r="C32" s="41" t="s">
        <v>783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1030</v>
      </c>
      <c r="F32" s="41" t="s">
        <v>936</v>
      </c>
      <c r="G32" s="50" t="s">
        <v>26</v>
      </c>
      <c r="H32" s="41" t="s">
        <v>963</v>
      </c>
      <c r="I32" s="43">
        <v>44197</v>
      </c>
      <c r="J32" s="41" t="s">
        <v>827</v>
      </c>
      <c r="K32" s="41" t="s">
        <v>828</v>
      </c>
      <c r="L32" s="41" t="s">
        <v>832</v>
      </c>
      <c r="M32" s="47" t="s">
        <v>983</v>
      </c>
      <c r="N32" s="41" t="s">
        <v>1023</v>
      </c>
      <c r="O32" s="48">
        <v>1</v>
      </c>
      <c r="P32" s="41" t="s">
        <v>852</v>
      </c>
      <c r="Q32" s="41" t="s">
        <v>856</v>
      </c>
      <c r="R32" s="41" t="s">
        <v>1026</v>
      </c>
      <c r="S32" s="41" t="s">
        <v>860</v>
      </c>
      <c r="T32" s="41" t="s">
        <v>860</v>
      </c>
      <c r="U32" s="49" t="s">
        <v>860</v>
      </c>
      <c r="V32" s="49" t="s">
        <v>860</v>
      </c>
      <c r="W32" s="49" t="s">
        <v>860</v>
      </c>
      <c r="X32" s="49" t="s">
        <v>1010</v>
      </c>
      <c r="Y32" s="49" t="s">
        <v>879</v>
      </c>
      <c r="Z32" s="49" t="s">
        <v>876</v>
      </c>
      <c r="AA32" s="49" t="s">
        <v>860</v>
      </c>
      <c r="AB32" s="49" t="s">
        <v>860</v>
      </c>
      <c r="AC32" s="49" t="s">
        <v>860</v>
      </c>
      <c r="AD32" s="49" t="s">
        <v>860</v>
      </c>
      <c r="AE32" s="49" t="s">
        <v>860</v>
      </c>
      <c r="AF32" s="49" t="s">
        <v>864</v>
      </c>
      <c r="AG32" s="49" t="s">
        <v>860</v>
      </c>
    </row>
    <row r="33" spans="1:33" x14ac:dyDescent="0.25">
      <c r="A33" s="40">
        <v>2000032</v>
      </c>
      <c r="B33" s="40" t="s">
        <v>4469</v>
      </c>
      <c r="C33" s="41" t="s">
        <v>913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1030</v>
      </c>
      <c r="F33" s="41" t="s">
        <v>937</v>
      </c>
      <c r="G33" s="50" t="s">
        <v>26</v>
      </c>
      <c r="H33" s="41" t="s">
        <v>964</v>
      </c>
      <c r="I33" s="43">
        <v>44197</v>
      </c>
      <c r="J33" s="41" t="s">
        <v>827</v>
      </c>
      <c r="K33" s="41" t="s">
        <v>828</v>
      </c>
      <c r="L33" s="41" t="s">
        <v>832</v>
      </c>
      <c r="M33" s="47" t="s">
        <v>984</v>
      </c>
      <c r="N33" s="41" t="s">
        <v>1022</v>
      </c>
      <c r="O33" s="48">
        <v>1</v>
      </c>
      <c r="P33" s="41" t="s">
        <v>853</v>
      </c>
      <c r="Q33" s="41" t="s">
        <v>1025</v>
      </c>
      <c r="R33" s="41" t="s">
        <v>1065</v>
      </c>
      <c r="S33" s="41" t="s">
        <v>860</v>
      </c>
      <c r="T33" s="41" t="s">
        <v>860</v>
      </c>
      <c r="U33" s="41" t="s">
        <v>867</v>
      </c>
      <c r="V33" s="41" t="s">
        <v>867</v>
      </c>
      <c r="W33" s="49" t="s">
        <v>871</v>
      </c>
      <c r="X33" s="49" t="s">
        <v>1009</v>
      </c>
      <c r="Y33" s="49" t="s">
        <v>1009</v>
      </c>
      <c r="Z33" s="49" t="s">
        <v>1009</v>
      </c>
      <c r="AA33" s="49" t="s">
        <v>867</v>
      </c>
      <c r="AB33" s="49" t="s">
        <v>871</v>
      </c>
      <c r="AC33" s="49" t="s">
        <v>871</v>
      </c>
      <c r="AD33" s="49" t="s">
        <v>871</v>
      </c>
      <c r="AE33" s="49" t="s">
        <v>871</v>
      </c>
      <c r="AF33" s="49" t="s">
        <v>869</v>
      </c>
      <c r="AG33" s="49" t="s">
        <v>867</v>
      </c>
    </row>
    <row r="34" spans="1:33" x14ac:dyDescent="0.25">
      <c r="A34" s="40">
        <v>2000033</v>
      </c>
      <c r="B34" s="40" t="s">
        <v>4470</v>
      </c>
      <c r="C34" s="41" t="s">
        <v>913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1030</v>
      </c>
      <c r="F34" s="41" t="s">
        <v>938</v>
      </c>
      <c r="G34" s="50" t="s">
        <v>26</v>
      </c>
      <c r="H34" s="41" t="s">
        <v>965</v>
      </c>
      <c r="I34" s="43">
        <v>44197</v>
      </c>
      <c r="J34" s="41" t="s">
        <v>827</v>
      </c>
      <c r="K34" s="41" t="s">
        <v>828</v>
      </c>
      <c r="L34" s="41" t="s">
        <v>832</v>
      </c>
      <c r="M34" s="47" t="s">
        <v>26</v>
      </c>
      <c r="N34" s="41" t="s">
        <v>1023</v>
      </c>
      <c r="O34" s="48">
        <v>1</v>
      </c>
      <c r="P34" s="41" t="s">
        <v>852</v>
      </c>
      <c r="Q34" s="41" t="s">
        <v>1025</v>
      </c>
      <c r="R34" s="41" t="s">
        <v>1027</v>
      </c>
      <c r="S34" s="41" t="s">
        <v>860</v>
      </c>
      <c r="T34" s="41" t="s">
        <v>860</v>
      </c>
      <c r="U34" s="49" t="s">
        <v>860</v>
      </c>
      <c r="V34" s="49" t="s">
        <v>860</v>
      </c>
      <c r="W34" s="49" t="s">
        <v>860</v>
      </c>
      <c r="X34" s="49" t="s">
        <v>1010</v>
      </c>
      <c r="Y34" s="49" t="s">
        <v>1010</v>
      </c>
      <c r="Z34" s="49" t="s">
        <v>897</v>
      </c>
      <c r="AA34" s="49" t="s">
        <v>860</v>
      </c>
      <c r="AB34" s="49" t="s">
        <v>880</v>
      </c>
      <c r="AC34" s="49" t="s">
        <v>880</v>
      </c>
      <c r="AD34" s="49" t="s">
        <v>880</v>
      </c>
      <c r="AE34" s="49" t="s">
        <v>880</v>
      </c>
      <c r="AF34" s="49" t="s">
        <v>864</v>
      </c>
      <c r="AG34" s="49" t="s">
        <v>860</v>
      </c>
    </row>
    <row r="35" spans="1:33" x14ac:dyDescent="0.25">
      <c r="A35" s="40">
        <v>2000034</v>
      </c>
      <c r="B35" s="40" t="s">
        <v>922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1030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827</v>
      </c>
      <c r="K35" s="41" t="s">
        <v>828</v>
      </c>
      <c r="L35" s="41" t="s">
        <v>832</v>
      </c>
      <c r="M35" s="47" t="s">
        <v>985</v>
      </c>
      <c r="N35" s="41" t="s">
        <v>1023</v>
      </c>
      <c r="O35" s="48">
        <v>0</v>
      </c>
      <c r="P35" s="41" t="s">
        <v>853</v>
      </c>
      <c r="Q35" s="41" t="s">
        <v>1025</v>
      </c>
      <c r="R35" s="41" t="s">
        <v>912</v>
      </c>
      <c r="S35" s="41" t="s">
        <v>860</v>
      </c>
      <c r="T35" s="41" t="s">
        <v>860</v>
      </c>
      <c r="U35" s="41" t="s">
        <v>867</v>
      </c>
      <c r="V35" s="41" t="s">
        <v>867</v>
      </c>
      <c r="W35" s="49" t="s">
        <v>1006</v>
      </c>
      <c r="X35" s="49" t="s">
        <v>885</v>
      </c>
      <c r="Y35" s="49" t="s">
        <v>883</v>
      </c>
      <c r="Z35" s="49" t="s">
        <v>885</v>
      </c>
      <c r="AA35" s="49" t="s">
        <v>867</v>
      </c>
      <c r="AB35" s="49" t="s">
        <v>1006</v>
      </c>
      <c r="AC35" s="49" t="s">
        <v>1006</v>
      </c>
      <c r="AD35" s="49" t="s">
        <v>1006</v>
      </c>
      <c r="AE35" s="49" t="s">
        <v>1006</v>
      </c>
      <c r="AF35" s="49" t="s">
        <v>869</v>
      </c>
      <c r="AG35" s="49" t="s">
        <v>867</v>
      </c>
    </row>
    <row r="36" spans="1:33" x14ac:dyDescent="0.25">
      <c r="A36" s="40">
        <v>2000035</v>
      </c>
      <c r="B36" s="40" t="s">
        <v>923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1030</v>
      </c>
      <c r="F36" s="41" t="s">
        <v>1044</v>
      </c>
      <c r="G36" s="50" t="s">
        <v>26</v>
      </c>
      <c r="H36" s="41" t="s">
        <v>26</v>
      </c>
      <c r="I36" s="43">
        <v>44197</v>
      </c>
      <c r="J36" s="41" t="s">
        <v>827</v>
      </c>
      <c r="K36" s="41" t="s">
        <v>828</v>
      </c>
      <c r="L36" s="41" t="s">
        <v>832</v>
      </c>
      <c r="M36" s="47" t="s">
        <v>986</v>
      </c>
      <c r="N36" s="41" t="s">
        <v>1023</v>
      </c>
      <c r="O36" s="48">
        <v>1</v>
      </c>
      <c r="P36" s="41" t="s">
        <v>853</v>
      </c>
      <c r="Q36" s="41" t="s">
        <v>1025</v>
      </c>
      <c r="R36" s="41" t="s">
        <v>1026</v>
      </c>
      <c r="S36" s="41" t="s">
        <v>860</v>
      </c>
      <c r="T36" s="41" t="s">
        <v>860</v>
      </c>
      <c r="U36" s="41" t="s">
        <v>867</v>
      </c>
      <c r="V36" s="41" t="s">
        <v>867</v>
      </c>
      <c r="W36" s="49" t="s">
        <v>1008</v>
      </c>
      <c r="X36" s="49" t="s">
        <v>883</v>
      </c>
      <c r="Y36" s="49" t="s">
        <v>1013</v>
      </c>
      <c r="Z36" s="49" t="s">
        <v>885</v>
      </c>
      <c r="AA36" s="49" t="s">
        <v>867</v>
      </c>
      <c r="AB36" s="49" t="s">
        <v>1008</v>
      </c>
      <c r="AC36" s="49" t="s">
        <v>1008</v>
      </c>
      <c r="AD36" s="49" t="s">
        <v>1008</v>
      </c>
      <c r="AE36" s="49" t="s">
        <v>1008</v>
      </c>
      <c r="AF36" s="49" t="s">
        <v>869</v>
      </c>
      <c r="AG36" s="49" t="s">
        <v>867</v>
      </c>
    </row>
    <row r="37" spans="1:33" x14ac:dyDescent="0.25">
      <c r="A37" s="40">
        <v>2000036</v>
      </c>
      <c r="B37" s="40" t="s">
        <v>4471</v>
      </c>
      <c r="C37" s="41" t="s">
        <v>913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1030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827</v>
      </c>
      <c r="K37" s="41" t="s">
        <v>828</v>
      </c>
      <c r="L37" s="41" t="s">
        <v>832</v>
      </c>
      <c r="M37" s="47" t="s">
        <v>987</v>
      </c>
      <c r="N37" s="41" t="s">
        <v>1023</v>
      </c>
      <c r="O37" s="48">
        <v>0.7</v>
      </c>
      <c r="P37" s="41" t="s">
        <v>852</v>
      </c>
      <c r="Q37" s="41" t="s">
        <v>856</v>
      </c>
      <c r="R37" s="41" t="s">
        <v>919</v>
      </c>
      <c r="S37" s="41" t="s">
        <v>860</v>
      </c>
      <c r="T37" s="41" t="s">
        <v>860</v>
      </c>
      <c r="U37" s="49" t="s">
        <v>860</v>
      </c>
      <c r="V37" s="49" t="s">
        <v>860</v>
      </c>
      <c r="W37" s="49" t="s">
        <v>860</v>
      </c>
      <c r="X37" s="49" t="s">
        <v>862</v>
      </c>
      <c r="Y37" s="49" t="s">
        <v>1010</v>
      </c>
      <c r="Z37" s="49" t="s">
        <v>897</v>
      </c>
      <c r="AA37" s="49" t="s">
        <v>860</v>
      </c>
      <c r="AB37" s="49" t="s">
        <v>860</v>
      </c>
      <c r="AC37" s="49" t="s">
        <v>878</v>
      </c>
      <c r="AD37" s="49" t="s">
        <v>860</v>
      </c>
      <c r="AE37" s="49" t="s">
        <v>863</v>
      </c>
      <c r="AF37" s="49" t="s">
        <v>1016</v>
      </c>
      <c r="AG37" s="49" t="s">
        <v>860</v>
      </c>
    </row>
    <row r="38" spans="1:33" x14ac:dyDescent="0.25">
      <c r="A38" s="40">
        <v>2000037</v>
      </c>
      <c r="B38" s="40" t="s">
        <v>4472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1030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827</v>
      </c>
      <c r="K38" s="41" t="s">
        <v>828</v>
      </c>
      <c r="L38" s="41" t="s">
        <v>832</v>
      </c>
      <c r="M38" s="47" t="s">
        <v>988</v>
      </c>
      <c r="N38" s="41" t="s">
        <v>1022</v>
      </c>
      <c r="O38" s="48">
        <v>1</v>
      </c>
      <c r="P38" s="41" t="s">
        <v>852</v>
      </c>
      <c r="Q38" s="41" t="s">
        <v>856</v>
      </c>
      <c r="R38" s="41" t="s">
        <v>1027</v>
      </c>
      <c r="S38" s="41" t="s">
        <v>860</v>
      </c>
      <c r="T38" s="41" t="s">
        <v>860</v>
      </c>
      <c r="U38" s="49" t="s">
        <v>860</v>
      </c>
      <c r="V38" s="49" t="s">
        <v>860</v>
      </c>
      <c r="W38" s="49" t="s">
        <v>860</v>
      </c>
      <c r="X38" s="49" t="s">
        <v>1010</v>
      </c>
      <c r="Y38" s="49" t="s">
        <v>1010</v>
      </c>
      <c r="Z38" s="49" t="s">
        <v>897</v>
      </c>
      <c r="AA38" s="49" t="s">
        <v>860</v>
      </c>
      <c r="AB38" s="49" t="s">
        <v>860</v>
      </c>
      <c r="AC38" s="49" t="s">
        <v>860</v>
      </c>
      <c r="AD38" s="49" t="s">
        <v>860</v>
      </c>
      <c r="AE38" s="49" t="s">
        <v>860</v>
      </c>
      <c r="AF38" s="49" t="s">
        <v>860</v>
      </c>
      <c r="AG38" s="49" t="s">
        <v>860</v>
      </c>
    </row>
    <row r="39" spans="1:33" x14ac:dyDescent="0.25">
      <c r="A39" s="40">
        <v>2000038</v>
      </c>
      <c r="B39" s="40" t="s">
        <v>4473</v>
      </c>
      <c r="C39" s="41" t="s">
        <v>783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1030</v>
      </c>
      <c r="F39" s="41" t="s">
        <v>939</v>
      </c>
      <c r="G39" s="50" t="s">
        <v>26</v>
      </c>
      <c r="H39" s="41" t="s">
        <v>966</v>
      </c>
      <c r="I39" s="43">
        <v>44197</v>
      </c>
      <c r="J39" s="41" t="s">
        <v>827</v>
      </c>
      <c r="K39" s="41" t="s">
        <v>828</v>
      </c>
      <c r="L39" s="41" t="s">
        <v>832</v>
      </c>
      <c r="M39" s="47" t="s">
        <v>989</v>
      </c>
      <c r="N39" s="41" t="s">
        <v>1022</v>
      </c>
      <c r="O39" s="48">
        <v>1</v>
      </c>
      <c r="P39" s="41" t="s">
        <v>852</v>
      </c>
      <c r="Q39" s="41" t="s">
        <v>854</v>
      </c>
      <c r="R39" s="41" t="s">
        <v>1027</v>
      </c>
      <c r="S39" s="41" t="s">
        <v>860</v>
      </c>
      <c r="T39" s="41" t="s">
        <v>860</v>
      </c>
      <c r="U39" s="49" t="s">
        <v>860</v>
      </c>
      <c r="V39" s="49" t="s">
        <v>860</v>
      </c>
      <c r="W39" s="49" t="s">
        <v>878</v>
      </c>
      <c r="X39" s="49" t="s">
        <v>860</v>
      </c>
      <c r="Y39" s="49" t="s">
        <v>860</v>
      </c>
      <c r="Z39" s="49" t="s">
        <v>860</v>
      </c>
      <c r="AA39" s="49" t="s">
        <v>860</v>
      </c>
      <c r="AB39" s="49" t="s">
        <v>860</v>
      </c>
      <c r="AC39" s="49" t="s">
        <v>860</v>
      </c>
      <c r="AD39" s="49" t="s">
        <v>860</v>
      </c>
      <c r="AE39" s="49" t="s">
        <v>860</v>
      </c>
      <c r="AF39" s="49" t="s">
        <v>860</v>
      </c>
      <c r="AG39" s="49" t="s">
        <v>860</v>
      </c>
    </row>
    <row r="40" spans="1:33" x14ac:dyDescent="0.25">
      <c r="A40" s="40">
        <v>2000039</v>
      </c>
      <c r="B40" s="40" t="s">
        <v>4474</v>
      </c>
      <c r="C40" s="41" t="s">
        <v>913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1029</v>
      </c>
      <c r="F40" s="41" t="s">
        <v>940</v>
      </c>
      <c r="G40" s="50" t="s">
        <v>26</v>
      </c>
      <c r="H40" s="41" t="s">
        <v>967</v>
      </c>
      <c r="I40" s="43">
        <v>44197</v>
      </c>
      <c r="J40" s="41" t="s">
        <v>827</v>
      </c>
      <c r="K40" s="41" t="s">
        <v>831</v>
      </c>
      <c r="L40" s="41" t="s">
        <v>832</v>
      </c>
      <c r="M40" s="47" t="s">
        <v>990</v>
      </c>
      <c r="N40" s="41" t="s">
        <v>851</v>
      </c>
      <c r="O40" s="48">
        <v>1</v>
      </c>
      <c r="P40" s="41" t="s">
        <v>852</v>
      </c>
      <c r="Q40" s="41" t="s">
        <v>854</v>
      </c>
      <c r="R40" s="41" t="s">
        <v>919</v>
      </c>
      <c r="S40" s="41" t="s">
        <v>866</v>
      </c>
      <c r="T40" s="41" t="s">
        <v>909</v>
      </c>
      <c r="U40" s="49" t="s">
        <v>860</v>
      </c>
      <c r="V40" s="49" t="s">
        <v>860</v>
      </c>
      <c r="W40" s="49" t="s">
        <v>898</v>
      </c>
      <c r="X40" s="49" t="s">
        <v>862</v>
      </c>
      <c r="Y40" s="49" t="s">
        <v>900</v>
      </c>
      <c r="Z40" s="49" t="s">
        <v>897</v>
      </c>
      <c r="AA40" s="49" t="s">
        <v>860</v>
      </c>
      <c r="AB40" s="49" t="s">
        <v>1017</v>
      </c>
      <c r="AC40" s="49" t="s">
        <v>1017</v>
      </c>
      <c r="AD40" s="49" t="s">
        <v>1017</v>
      </c>
      <c r="AE40" s="49" t="s">
        <v>1017</v>
      </c>
      <c r="AF40" s="49" t="s">
        <v>860</v>
      </c>
      <c r="AG40" s="49" t="s">
        <v>860</v>
      </c>
    </row>
    <row r="41" spans="1:33" x14ac:dyDescent="0.25">
      <c r="A41" s="40">
        <v>2000040</v>
      </c>
      <c r="B41" s="40" t="s">
        <v>4475</v>
      </c>
      <c r="C41" s="41" t="s">
        <v>913</v>
      </c>
      <c r="D41" s="44">
        <f>SUMIF(CREANCES!$B$2:$B$99999,'INFO CLIENTS'!B41,CREANCES!$J$2:$J$99999) - SUMIF(CREANCES!$B$2:$B$99999,'INFO CLIENTS'!B41,CREANCES!$K$2:$K$99999)</f>
        <v>690873</v>
      </c>
      <c r="E41" s="41" t="s">
        <v>1030</v>
      </c>
      <c r="F41" s="41" t="s">
        <v>941</v>
      </c>
      <c r="G41" s="50" t="s">
        <v>26</v>
      </c>
      <c r="H41" s="41" t="s">
        <v>1043</v>
      </c>
      <c r="I41" s="43">
        <v>44197</v>
      </c>
      <c r="J41" s="41" t="s">
        <v>827</v>
      </c>
      <c r="K41" s="41" t="s">
        <v>828</v>
      </c>
      <c r="L41" s="41" t="s">
        <v>832</v>
      </c>
      <c r="M41" s="47" t="s">
        <v>991</v>
      </c>
      <c r="N41" s="41" t="s">
        <v>1023</v>
      </c>
      <c r="O41" s="48">
        <v>1</v>
      </c>
      <c r="P41" s="41" t="s">
        <v>853</v>
      </c>
      <c r="Q41" s="41" t="s">
        <v>1025</v>
      </c>
      <c r="R41" s="41" t="s">
        <v>1026</v>
      </c>
      <c r="S41" s="41" t="s">
        <v>860</v>
      </c>
      <c r="T41" s="41" t="s">
        <v>860</v>
      </c>
      <c r="U41" s="41" t="s">
        <v>867</v>
      </c>
      <c r="V41" s="41" t="s">
        <v>867</v>
      </c>
      <c r="W41" s="49" t="s">
        <v>1018</v>
      </c>
      <c r="X41" s="49" t="s">
        <v>883</v>
      </c>
      <c r="Y41" s="49" t="s">
        <v>1013</v>
      </c>
      <c r="Z41" s="49" t="s">
        <v>885</v>
      </c>
      <c r="AA41" s="49" t="s">
        <v>867</v>
      </c>
      <c r="AB41" s="49" t="s">
        <v>1006</v>
      </c>
      <c r="AC41" s="49" t="s">
        <v>1006</v>
      </c>
      <c r="AD41" s="49" t="s">
        <v>1006</v>
      </c>
      <c r="AE41" s="49" t="s">
        <v>1006</v>
      </c>
      <c r="AF41" s="49" t="s">
        <v>869</v>
      </c>
      <c r="AG41" s="49" t="s">
        <v>867</v>
      </c>
    </row>
    <row r="42" spans="1:33" x14ac:dyDescent="0.25">
      <c r="A42" s="40">
        <v>2000041</v>
      </c>
      <c r="B42" s="40" t="s">
        <v>4476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1030</v>
      </c>
      <c r="F42" s="41" t="s">
        <v>942</v>
      </c>
      <c r="G42" s="50" t="s">
        <v>26</v>
      </c>
      <c r="H42" s="41" t="s">
        <v>968</v>
      </c>
      <c r="I42" s="43">
        <v>44197</v>
      </c>
      <c r="J42" s="41" t="s">
        <v>827</v>
      </c>
      <c r="K42" s="41" t="s">
        <v>831</v>
      </c>
      <c r="L42" s="41" t="s">
        <v>832</v>
      </c>
      <c r="M42" s="47" t="s">
        <v>992</v>
      </c>
      <c r="N42" s="41" t="s">
        <v>1023</v>
      </c>
      <c r="O42" s="48">
        <v>1</v>
      </c>
      <c r="P42" s="41" t="s">
        <v>853</v>
      </c>
      <c r="Q42" s="41" t="s">
        <v>1028</v>
      </c>
      <c r="R42" s="41" t="s">
        <v>912</v>
      </c>
      <c r="S42" s="41" t="s">
        <v>860</v>
      </c>
      <c r="T42" s="41" t="s">
        <v>860</v>
      </c>
      <c r="U42" s="41" t="s">
        <v>867</v>
      </c>
      <c r="V42" s="41" t="s">
        <v>867</v>
      </c>
      <c r="W42" s="49" t="s">
        <v>1006</v>
      </c>
      <c r="X42" s="49" t="s">
        <v>883</v>
      </c>
      <c r="Y42" s="49" t="s">
        <v>1013</v>
      </c>
      <c r="Z42" s="49" t="s">
        <v>885</v>
      </c>
      <c r="AA42" s="49" t="s">
        <v>867</v>
      </c>
      <c r="AB42" s="49" t="s">
        <v>1008</v>
      </c>
      <c r="AC42" s="49" t="s">
        <v>1008</v>
      </c>
      <c r="AD42" s="49" t="s">
        <v>1008</v>
      </c>
      <c r="AE42" s="49" t="s">
        <v>1008</v>
      </c>
      <c r="AF42" s="49" t="s">
        <v>867</v>
      </c>
      <c r="AG42" s="49" t="s">
        <v>867</v>
      </c>
    </row>
    <row r="43" spans="1:33" x14ac:dyDescent="0.25">
      <c r="A43" s="40">
        <v>2000042</v>
      </c>
      <c r="B43" s="40" t="s">
        <v>150</v>
      </c>
      <c r="C43" s="41" t="s">
        <v>913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1030</v>
      </c>
      <c r="F43" s="41" t="s">
        <v>1044</v>
      </c>
      <c r="G43" s="50" t="s">
        <v>26</v>
      </c>
      <c r="H43" s="41" t="s">
        <v>26</v>
      </c>
      <c r="I43" s="43">
        <v>44197</v>
      </c>
      <c r="J43" s="41" t="s">
        <v>827</v>
      </c>
      <c r="K43" s="41" t="s">
        <v>828</v>
      </c>
      <c r="L43" s="41" t="s">
        <v>832</v>
      </c>
      <c r="M43" s="47" t="s">
        <v>993</v>
      </c>
      <c r="N43" s="41" t="s">
        <v>1023</v>
      </c>
      <c r="O43" s="48">
        <v>1</v>
      </c>
      <c r="P43" s="41" t="s">
        <v>853</v>
      </c>
      <c r="Q43" s="41" t="s">
        <v>1025</v>
      </c>
      <c r="R43" s="41" t="s">
        <v>1026</v>
      </c>
      <c r="S43" s="41" t="s">
        <v>860</v>
      </c>
      <c r="T43" s="41" t="s">
        <v>860</v>
      </c>
      <c r="U43" s="41" t="s">
        <v>867</v>
      </c>
      <c r="V43" s="41" t="s">
        <v>867</v>
      </c>
      <c r="W43" s="49" t="s">
        <v>1008</v>
      </c>
      <c r="X43" s="49" t="s">
        <v>1014</v>
      </c>
      <c r="Y43" s="49" t="s">
        <v>1013</v>
      </c>
      <c r="Z43" s="49" t="s">
        <v>885</v>
      </c>
      <c r="AA43" s="49" t="s">
        <v>867</v>
      </c>
      <c r="AB43" s="49" t="s">
        <v>1018</v>
      </c>
      <c r="AC43" s="49" t="s">
        <v>1018</v>
      </c>
      <c r="AD43" s="49" t="s">
        <v>1018</v>
      </c>
      <c r="AE43" s="49" t="s">
        <v>1018</v>
      </c>
      <c r="AF43" s="49" t="s">
        <v>869</v>
      </c>
      <c r="AG43" s="49" t="s">
        <v>867</v>
      </c>
    </row>
    <row r="44" spans="1:33" x14ac:dyDescent="0.25">
      <c r="A44" s="40">
        <v>2000043</v>
      </c>
      <c r="B44" s="40" t="s">
        <v>924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1030</v>
      </c>
      <c r="F44" s="41" t="s">
        <v>943</v>
      </c>
      <c r="G44" s="50" t="s">
        <v>26</v>
      </c>
      <c r="H44" s="41" t="s">
        <v>969</v>
      </c>
      <c r="I44" s="43">
        <v>44197</v>
      </c>
      <c r="J44" s="41" t="s">
        <v>827</v>
      </c>
      <c r="K44" s="41" t="s">
        <v>831</v>
      </c>
      <c r="L44" s="41" t="s">
        <v>832</v>
      </c>
      <c r="M44" s="47" t="s">
        <v>26</v>
      </c>
      <c r="N44" s="41" t="s">
        <v>851</v>
      </c>
      <c r="O44" s="48">
        <v>1</v>
      </c>
      <c r="P44" s="41" t="s">
        <v>852</v>
      </c>
      <c r="Q44" s="41" t="s">
        <v>1028</v>
      </c>
      <c r="R44" s="41" t="s">
        <v>919</v>
      </c>
      <c r="S44" s="41" t="s">
        <v>860</v>
      </c>
      <c r="T44" s="41" t="s">
        <v>860</v>
      </c>
      <c r="U44" s="49" t="s">
        <v>860</v>
      </c>
      <c r="V44" s="49" t="s">
        <v>860</v>
      </c>
      <c r="W44" s="49" t="s">
        <v>860</v>
      </c>
      <c r="X44" s="49" t="s">
        <v>857</v>
      </c>
      <c r="Y44" s="49" t="s">
        <v>860</v>
      </c>
      <c r="Z44" s="49" t="s">
        <v>1019</v>
      </c>
      <c r="AA44" s="49" t="s">
        <v>860</v>
      </c>
      <c r="AB44" s="49" t="s">
        <v>860</v>
      </c>
      <c r="AC44" s="49" t="s">
        <v>860</v>
      </c>
      <c r="AD44" s="49" t="s">
        <v>860</v>
      </c>
      <c r="AE44" s="49" t="s">
        <v>860</v>
      </c>
      <c r="AF44" s="49" t="s">
        <v>860</v>
      </c>
      <c r="AG44" s="49" t="s">
        <v>860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1030</v>
      </c>
      <c r="F45" s="41" t="s">
        <v>944</v>
      </c>
      <c r="G45" s="50" t="s">
        <v>26</v>
      </c>
      <c r="H45" s="41" t="s">
        <v>970</v>
      </c>
      <c r="I45" s="43">
        <v>44197</v>
      </c>
      <c r="J45" s="41" t="s">
        <v>827</v>
      </c>
      <c r="K45" s="41" t="s">
        <v>828</v>
      </c>
      <c r="L45" s="41" t="s">
        <v>832</v>
      </c>
      <c r="M45" s="47" t="s">
        <v>994</v>
      </c>
      <c r="N45" s="41" t="s">
        <v>1023</v>
      </c>
      <c r="O45" s="48">
        <v>1</v>
      </c>
      <c r="P45" s="41" t="s">
        <v>853</v>
      </c>
      <c r="Q45" s="41" t="s">
        <v>1025</v>
      </c>
      <c r="R45" s="41" t="s">
        <v>1026</v>
      </c>
      <c r="S45" s="41" t="s">
        <v>860</v>
      </c>
      <c r="T45" s="41" t="s">
        <v>860</v>
      </c>
      <c r="U45" s="41" t="s">
        <v>867</v>
      </c>
      <c r="V45" s="41" t="s">
        <v>867</v>
      </c>
      <c r="W45" s="49" t="s">
        <v>882</v>
      </c>
      <c r="X45" s="49" t="s">
        <v>885</v>
      </c>
      <c r="Y45" s="49" t="s">
        <v>883</v>
      </c>
      <c r="Z45" s="49" t="s">
        <v>885</v>
      </c>
      <c r="AA45" s="49" t="s">
        <v>867</v>
      </c>
      <c r="AB45" s="49" t="s">
        <v>1008</v>
      </c>
      <c r="AC45" s="49" t="s">
        <v>1008</v>
      </c>
      <c r="AD45" s="49" t="s">
        <v>1008</v>
      </c>
      <c r="AE45" s="49" t="s">
        <v>1008</v>
      </c>
      <c r="AF45" s="49" t="s">
        <v>869</v>
      </c>
      <c r="AG45" s="49" t="s">
        <v>867</v>
      </c>
    </row>
    <row r="46" spans="1:33" x14ac:dyDescent="0.25">
      <c r="A46" s="40">
        <v>2000045</v>
      </c>
      <c r="B46" s="40" t="s">
        <v>925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1030</v>
      </c>
      <c r="F46" s="41" t="s">
        <v>942</v>
      </c>
      <c r="G46" s="50" t="s">
        <v>26</v>
      </c>
      <c r="H46" s="41" t="s">
        <v>968</v>
      </c>
      <c r="I46" s="43">
        <v>44197</v>
      </c>
      <c r="J46" s="41" t="s">
        <v>827</v>
      </c>
      <c r="K46" s="41" t="s">
        <v>831</v>
      </c>
      <c r="L46" s="41" t="s">
        <v>832</v>
      </c>
      <c r="M46" s="47" t="s">
        <v>995</v>
      </c>
      <c r="N46" s="41" t="s">
        <v>851</v>
      </c>
      <c r="O46" s="48">
        <v>0</v>
      </c>
      <c r="P46" s="41" t="s">
        <v>852</v>
      </c>
      <c r="Q46" s="41" t="s">
        <v>1028</v>
      </c>
      <c r="R46" s="41" t="s">
        <v>912</v>
      </c>
      <c r="S46" s="41" t="s">
        <v>860</v>
      </c>
      <c r="T46" s="41" t="s">
        <v>860</v>
      </c>
      <c r="U46" s="49" t="s">
        <v>860</v>
      </c>
      <c r="V46" s="49" t="s">
        <v>860</v>
      </c>
      <c r="W46" s="49" t="s">
        <v>875</v>
      </c>
      <c r="X46" s="49" t="s">
        <v>877</v>
      </c>
      <c r="Y46" s="49" t="s">
        <v>877</v>
      </c>
      <c r="Z46" s="49" t="s">
        <v>907</v>
      </c>
      <c r="AA46" s="49" t="s">
        <v>860</v>
      </c>
      <c r="AB46" s="49" t="s">
        <v>863</v>
      </c>
      <c r="AC46" s="49" t="s">
        <v>863</v>
      </c>
      <c r="AD46" s="49" t="s">
        <v>863</v>
      </c>
      <c r="AE46" s="49" t="s">
        <v>863</v>
      </c>
      <c r="AF46" s="49" t="s">
        <v>867</v>
      </c>
      <c r="AG46" s="49" t="s">
        <v>867</v>
      </c>
    </row>
    <row r="47" spans="1:33" x14ac:dyDescent="0.25">
      <c r="A47" s="40">
        <v>2000046</v>
      </c>
      <c r="B47" s="40" t="s">
        <v>4477</v>
      </c>
      <c r="C47" s="41" t="s">
        <v>913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1029</v>
      </c>
      <c r="F47" s="41" t="s">
        <v>971</v>
      </c>
      <c r="G47" s="50" t="s">
        <v>26</v>
      </c>
      <c r="H47" s="41" t="s">
        <v>972</v>
      </c>
      <c r="I47" s="43">
        <v>44197</v>
      </c>
      <c r="J47" s="41" t="s">
        <v>827</v>
      </c>
      <c r="K47" s="41" t="s">
        <v>831</v>
      </c>
      <c r="L47" s="41" t="s">
        <v>832</v>
      </c>
      <c r="M47" s="47" t="s">
        <v>996</v>
      </c>
      <c r="N47" s="41" t="s">
        <v>851</v>
      </c>
      <c r="O47" s="48">
        <v>1</v>
      </c>
      <c r="P47" s="41" t="s">
        <v>852</v>
      </c>
      <c r="Q47" s="41" t="s">
        <v>1028</v>
      </c>
      <c r="R47" s="41" t="s">
        <v>919</v>
      </c>
      <c r="S47" s="41" t="s">
        <v>1035</v>
      </c>
      <c r="T47" s="41" t="s">
        <v>864</v>
      </c>
      <c r="U47" s="49" t="s">
        <v>860</v>
      </c>
      <c r="V47" s="41" t="s">
        <v>862</v>
      </c>
      <c r="W47" s="49" t="s">
        <v>860</v>
      </c>
      <c r="X47" s="49" t="s">
        <v>857</v>
      </c>
      <c r="Y47" s="49" t="s">
        <v>860</v>
      </c>
      <c r="Z47" s="49" t="s">
        <v>860</v>
      </c>
      <c r="AA47" s="49" t="s">
        <v>860</v>
      </c>
      <c r="AB47" s="49" t="s">
        <v>878</v>
      </c>
      <c r="AC47" s="49" t="s">
        <v>878</v>
      </c>
      <c r="AD47" s="49" t="s">
        <v>878</v>
      </c>
      <c r="AE47" s="49" t="s">
        <v>878</v>
      </c>
      <c r="AF47" s="49" t="s">
        <v>860</v>
      </c>
      <c r="AG47" s="49" t="s">
        <v>860</v>
      </c>
    </row>
    <row r="48" spans="1:33" x14ac:dyDescent="0.25">
      <c r="A48" s="40">
        <v>2000047</v>
      </c>
      <c r="B48" s="40" t="s">
        <v>926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1030</v>
      </c>
      <c r="F48" s="41" t="s">
        <v>945</v>
      </c>
      <c r="G48" s="50" t="s">
        <v>26</v>
      </c>
      <c r="H48" s="41" t="s">
        <v>973</v>
      </c>
      <c r="I48" s="43">
        <v>44197</v>
      </c>
      <c r="J48" s="41" t="s">
        <v>827</v>
      </c>
      <c r="K48" s="41" t="s">
        <v>831</v>
      </c>
      <c r="L48" s="41" t="s">
        <v>832</v>
      </c>
      <c r="M48" s="47" t="s">
        <v>997</v>
      </c>
      <c r="N48" s="41" t="s">
        <v>851</v>
      </c>
      <c r="O48" s="48">
        <v>0</v>
      </c>
      <c r="P48" s="41" t="s">
        <v>852</v>
      </c>
      <c r="Q48" s="41" t="s">
        <v>1028</v>
      </c>
      <c r="R48" s="41" t="s">
        <v>912</v>
      </c>
      <c r="S48" s="41" t="s">
        <v>860</v>
      </c>
      <c r="T48" s="41" t="s">
        <v>860</v>
      </c>
      <c r="U48" s="49" t="s">
        <v>860</v>
      </c>
      <c r="V48" s="41" t="s">
        <v>860</v>
      </c>
      <c r="W48" s="41" t="s">
        <v>860</v>
      </c>
      <c r="X48" s="41" t="s">
        <v>860</v>
      </c>
      <c r="Y48" s="41" t="s">
        <v>860</v>
      </c>
      <c r="Z48" s="41" t="s">
        <v>1010</v>
      </c>
      <c r="AA48" s="49" t="s">
        <v>860</v>
      </c>
      <c r="AB48" s="49" t="s">
        <v>1017</v>
      </c>
      <c r="AC48" s="49" t="s">
        <v>1017</v>
      </c>
      <c r="AD48" s="49" t="s">
        <v>1017</v>
      </c>
      <c r="AE48" s="49" t="s">
        <v>1017</v>
      </c>
      <c r="AF48" s="49" t="s">
        <v>860</v>
      </c>
      <c r="AG48" s="49" t="s">
        <v>860</v>
      </c>
    </row>
    <row r="49" spans="1:33" x14ac:dyDescent="0.25">
      <c r="A49" s="40">
        <v>2000048</v>
      </c>
      <c r="B49" s="40" t="s">
        <v>4478</v>
      </c>
      <c r="C49" s="41" t="s">
        <v>783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1030</v>
      </c>
      <c r="F49" s="41" t="s">
        <v>946</v>
      </c>
      <c r="G49" s="50" t="s">
        <v>26</v>
      </c>
      <c r="H49" s="41" t="s">
        <v>974</v>
      </c>
      <c r="I49" s="43">
        <v>44197</v>
      </c>
      <c r="J49" s="41" t="s">
        <v>827</v>
      </c>
      <c r="K49" s="41" t="s">
        <v>828</v>
      </c>
      <c r="L49" s="41" t="s">
        <v>832</v>
      </c>
      <c r="M49" s="47" t="s">
        <v>998</v>
      </c>
      <c r="N49" s="41" t="s">
        <v>1023</v>
      </c>
      <c r="O49" s="48">
        <v>1</v>
      </c>
      <c r="P49" s="41" t="s">
        <v>852</v>
      </c>
      <c r="Q49" s="41" t="s">
        <v>1025</v>
      </c>
      <c r="R49" s="41" t="s">
        <v>1026</v>
      </c>
      <c r="S49" s="41" t="s">
        <v>860</v>
      </c>
      <c r="T49" s="41" t="s">
        <v>860</v>
      </c>
      <c r="U49" s="49" t="s">
        <v>860</v>
      </c>
      <c r="V49" s="41" t="s">
        <v>860</v>
      </c>
      <c r="W49" s="49" t="s">
        <v>863</v>
      </c>
      <c r="X49" s="49" t="s">
        <v>897</v>
      </c>
      <c r="Y49" s="49" t="s">
        <v>1010</v>
      </c>
      <c r="Z49" s="49" t="s">
        <v>909</v>
      </c>
      <c r="AA49" s="49" t="s">
        <v>860</v>
      </c>
      <c r="AB49" s="49" t="s">
        <v>878</v>
      </c>
      <c r="AC49" s="49" t="s">
        <v>860</v>
      </c>
      <c r="AD49" s="49" t="s">
        <v>878</v>
      </c>
      <c r="AE49" s="49" t="s">
        <v>860</v>
      </c>
      <c r="AF49" s="49" t="s">
        <v>864</v>
      </c>
      <c r="AG49" s="49" t="s">
        <v>860</v>
      </c>
    </row>
    <row r="50" spans="1:33" x14ac:dyDescent="0.25">
      <c r="A50" s="40">
        <v>2000049</v>
      </c>
      <c r="B50" s="40" t="s">
        <v>4479</v>
      </c>
      <c r="C50" s="41" t="s">
        <v>783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1030</v>
      </c>
      <c r="F50" s="41" t="s">
        <v>947</v>
      </c>
      <c r="G50" s="50" t="s">
        <v>26</v>
      </c>
      <c r="H50" s="41" t="s">
        <v>26</v>
      </c>
      <c r="I50" s="43">
        <v>44197</v>
      </c>
      <c r="J50" s="41" t="s">
        <v>827</v>
      </c>
      <c r="K50" s="41" t="s">
        <v>828</v>
      </c>
      <c r="L50" s="41" t="s">
        <v>832</v>
      </c>
      <c r="M50" s="47" t="s">
        <v>999</v>
      </c>
      <c r="N50" s="41" t="s">
        <v>1023</v>
      </c>
      <c r="O50" s="48">
        <v>1</v>
      </c>
      <c r="P50" s="41" t="s">
        <v>853</v>
      </c>
      <c r="Q50" s="41" t="s">
        <v>1025</v>
      </c>
      <c r="R50" s="41" t="s">
        <v>1026</v>
      </c>
      <c r="S50" s="41" t="s">
        <v>860</v>
      </c>
      <c r="T50" s="41" t="s">
        <v>860</v>
      </c>
      <c r="U50" s="41" t="s">
        <v>867</v>
      </c>
      <c r="V50" s="41" t="s">
        <v>867</v>
      </c>
      <c r="W50" s="41" t="s">
        <v>1006</v>
      </c>
      <c r="X50" s="49" t="s">
        <v>885</v>
      </c>
      <c r="Y50" s="49" t="s">
        <v>1013</v>
      </c>
      <c r="Z50" s="49" t="s">
        <v>885</v>
      </c>
      <c r="AA50" s="49" t="s">
        <v>867</v>
      </c>
      <c r="AB50" s="49" t="s">
        <v>1006</v>
      </c>
      <c r="AC50" s="49" t="s">
        <v>1006</v>
      </c>
      <c r="AD50" s="49" t="s">
        <v>1006</v>
      </c>
      <c r="AE50" s="49" t="s">
        <v>1006</v>
      </c>
      <c r="AF50" s="49" t="s">
        <v>867</v>
      </c>
      <c r="AG50" s="49" t="s">
        <v>867</v>
      </c>
    </row>
    <row r="51" spans="1:33" x14ac:dyDescent="0.25">
      <c r="A51" s="40">
        <v>2000050</v>
      </c>
      <c r="B51" s="40" t="s">
        <v>4480</v>
      </c>
      <c r="C51" s="41" t="s">
        <v>783</v>
      </c>
      <c r="D51" s="44">
        <f>SUMIF(CREANCES!$B$2:$B$99999,'INFO CLIENTS'!B51,CREANCES!$J$2:$J$99999) - SUMIF(CREANCES!$B$2:$B$99999,'INFO CLIENTS'!B51,CREANCES!$K$2:$K$99999)</f>
        <v>623610</v>
      </c>
      <c r="E51" s="41" t="s">
        <v>1030</v>
      </c>
      <c r="F51" s="41" t="s">
        <v>948</v>
      </c>
      <c r="G51" s="50" t="s">
        <v>26</v>
      </c>
      <c r="H51" s="41" t="s">
        <v>26</v>
      </c>
      <c r="I51" s="43">
        <v>44197</v>
      </c>
      <c r="J51" s="41" t="s">
        <v>827</v>
      </c>
      <c r="K51" s="41" t="s">
        <v>828</v>
      </c>
      <c r="L51" s="41" t="s">
        <v>832</v>
      </c>
      <c r="M51" s="47" t="s">
        <v>1000</v>
      </c>
      <c r="N51" s="41" t="s">
        <v>1023</v>
      </c>
      <c r="O51" s="48">
        <v>1</v>
      </c>
      <c r="P51" s="41" t="s">
        <v>853</v>
      </c>
      <c r="Q51" s="41" t="s">
        <v>1025</v>
      </c>
      <c r="R51" s="41" t="s">
        <v>1026</v>
      </c>
      <c r="S51" s="41" t="s">
        <v>860</v>
      </c>
      <c r="T51" s="41" t="s">
        <v>860</v>
      </c>
      <c r="U51" s="41" t="s">
        <v>867</v>
      </c>
      <c r="V51" s="41" t="s">
        <v>867</v>
      </c>
      <c r="W51" s="41" t="s">
        <v>1006</v>
      </c>
      <c r="X51" s="49" t="s">
        <v>885</v>
      </c>
      <c r="Y51" s="49" t="s">
        <v>1013</v>
      </c>
      <c r="Z51" s="49" t="s">
        <v>885</v>
      </c>
      <c r="AA51" s="49" t="s">
        <v>867</v>
      </c>
      <c r="AB51" s="49" t="s">
        <v>1006</v>
      </c>
      <c r="AC51" s="49" t="s">
        <v>1006</v>
      </c>
      <c r="AD51" s="49" t="s">
        <v>1006</v>
      </c>
      <c r="AE51" s="49" t="s">
        <v>1006</v>
      </c>
      <c r="AF51" s="49" t="s">
        <v>867</v>
      </c>
      <c r="AG51" s="49" t="s">
        <v>867</v>
      </c>
    </row>
    <row r="52" spans="1:33" x14ac:dyDescent="0.25">
      <c r="A52" s="40">
        <v>2000051</v>
      </c>
      <c r="B52" s="40" t="s">
        <v>927</v>
      </c>
      <c r="C52" s="41" t="s">
        <v>783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1030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827</v>
      </c>
      <c r="K52" s="41" t="s">
        <v>828</v>
      </c>
      <c r="L52" s="41" t="s">
        <v>832</v>
      </c>
      <c r="M52" s="47" t="s">
        <v>1001</v>
      </c>
      <c r="N52" s="41" t="s">
        <v>1023</v>
      </c>
      <c r="O52" s="48">
        <v>0.7</v>
      </c>
      <c r="P52" s="41" t="s">
        <v>852</v>
      </c>
      <c r="Q52" s="41" t="s">
        <v>856</v>
      </c>
      <c r="R52" s="41" t="s">
        <v>1026</v>
      </c>
      <c r="S52" s="41" t="s">
        <v>860</v>
      </c>
      <c r="T52" s="41" t="s">
        <v>860</v>
      </c>
      <c r="U52" s="41" t="s">
        <v>893</v>
      </c>
      <c r="V52" s="41" t="s">
        <v>860</v>
      </c>
      <c r="W52" s="49" t="s">
        <v>863</v>
      </c>
      <c r="X52" s="49" t="s">
        <v>900</v>
      </c>
      <c r="Y52" s="49" t="s">
        <v>879</v>
      </c>
      <c r="Z52" s="49" t="s">
        <v>1010</v>
      </c>
      <c r="AA52" s="49" t="s">
        <v>860</v>
      </c>
      <c r="AB52" s="49" t="s">
        <v>860</v>
      </c>
      <c r="AC52" s="49" t="s">
        <v>860</v>
      </c>
      <c r="AD52" s="49" t="s">
        <v>860</v>
      </c>
      <c r="AE52" s="49" t="s">
        <v>860</v>
      </c>
      <c r="AF52" s="49" t="s">
        <v>860</v>
      </c>
      <c r="AG52" s="49" t="s">
        <v>860</v>
      </c>
    </row>
    <row r="53" spans="1:33" x14ac:dyDescent="0.25">
      <c r="A53" s="40">
        <v>2000052</v>
      </c>
      <c r="B53" s="40" t="s">
        <v>928</v>
      </c>
      <c r="C53" s="41" t="s">
        <v>783</v>
      </c>
      <c r="D53" s="44">
        <f>SUMIF(CREANCES!$B$2:$B$99999,'INFO CLIENTS'!B53,CREANCES!$J$2:$J$99999) - SUMIF(CREANCES!$B$2:$B$99999,'INFO CLIENTS'!B53,CREANCES!$K$2:$K$99999)</f>
        <v>22800</v>
      </c>
      <c r="E53" s="41" t="s">
        <v>1030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827</v>
      </c>
      <c r="K53" s="41" t="s">
        <v>828</v>
      </c>
      <c r="L53" s="41" t="s">
        <v>832</v>
      </c>
      <c r="M53" s="47" t="s">
        <v>1002</v>
      </c>
      <c r="N53" s="41" t="s">
        <v>1023</v>
      </c>
      <c r="O53" s="48">
        <v>1</v>
      </c>
      <c r="P53" s="41" t="s">
        <v>853</v>
      </c>
      <c r="Q53" s="41" t="s">
        <v>856</v>
      </c>
      <c r="R53" s="41" t="s">
        <v>1026</v>
      </c>
      <c r="S53" s="41" t="s">
        <v>860</v>
      </c>
      <c r="T53" s="41" t="s">
        <v>860</v>
      </c>
      <c r="U53" s="41" t="s">
        <v>867</v>
      </c>
      <c r="V53" s="41" t="s">
        <v>867</v>
      </c>
      <c r="W53" s="41" t="s">
        <v>867</v>
      </c>
      <c r="X53" s="41" t="s">
        <v>867</v>
      </c>
      <c r="Y53" s="41" t="s">
        <v>867</v>
      </c>
      <c r="Z53" s="41" t="s">
        <v>867</v>
      </c>
      <c r="AA53" s="41" t="s">
        <v>867</v>
      </c>
      <c r="AB53" s="41" t="s">
        <v>867</v>
      </c>
      <c r="AC53" s="41" t="s">
        <v>867</v>
      </c>
      <c r="AD53" s="41" t="s">
        <v>867</v>
      </c>
      <c r="AE53" s="41" t="s">
        <v>867</v>
      </c>
      <c r="AF53" s="41" t="s">
        <v>867</v>
      </c>
      <c r="AG53" s="41" t="s">
        <v>867</v>
      </c>
    </row>
    <row r="54" spans="1:33" x14ac:dyDescent="0.25">
      <c r="A54" s="40">
        <v>2000053</v>
      </c>
      <c r="B54" s="40" t="s">
        <v>4481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1030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827</v>
      </c>
      <c r="K54" s="41" t="s">
        <v>828</v>
      </c>
      <c r="L54" s="41" t="s">
        <v>832</v>
      </c>
      <c r="M54" s="47" t="s">
        <v>1003</v>
      </c>
      <c r="N54" s="41" t="s">
        <v>1023</v>
      </c>
      <c r="O54" s="48">
        <v>1</v>
      </c>
      <c r="P54" s="41" t="s">
        <v>853</v>
      </c>
      <c r="Q54" s="41" t="s">
        <v>856</v>
      </c>
      <c r="R54" s="41" t="s">
        <v>1027</v>
      </c>
      <c r="S54" s="41" t="s">
        <v>860</v>
      </c>
      <c r="T54" s="41" t="s">
        <v>860</v>
      </c>
      <c r="U54" s="41" t="s">
        <v>867</v>
      </c>
      <c r="V54" s="41" t="s">
        <v>867</v>
      </c>
      <c r="W54" s="41" t="s">
        <v>867</v>
      </c>
      <c r="X54" s="41" t="s">
        <v>867</v>
      </c>
      <c r="Y54" s="41" t="s">
        <v>867</v>
      </c>
      <c r="Z54" s="41" t="s">
        <v>867</v>
      </c>
      <c r="AA54" s="41" t="s">
        <v>867</v>
      </c>
      <c r="AB54" s="41" t="s">
        <v>867</v>
      </c>
      <c r="AC54" s="41" t="s">
        <v>867</v>
      </c>
      <c r="AD54" s="41" t="s">
        <v>867</v>
      </c>
      <c r="AE54" s="41" t="s">
        <v>867</v>
      </c>
      <c r="AF54" s="41" t="s">
        <v>867</v>
      </c>
      <c r="AG54" s="41" t="s">
        <v>867</v>
      </c>
    </row>
    <row r="55" spans="1:33" x14ac:dyDescent="0.25">
      <c r="A55" s="40">
        <v>2000054</v>
      </c>
      <c r="B55" s="40" t="s">
        <v>4482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1030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827</v>
      </c>
      <c r="K55" s="41" t="s">
        <v>828</v>
      </c>
      <c r="L55" s="41" t="s">
        <v>832</v>
      </c>
      <c r="M55" s="47" t="s">
        <v>1004</v>
      </c>
      <c r="N55" s="41" t="s">
        <v>1023</v>
      </c>
      <c r="O55" s="48">
        <v>1</v>
      </c>
      <c r="P55" s="41" t="s">
        <v>853</v>
      </c>
      <c r="Q55" s="41" t="s">
        <v>856</v>
      </c>
      <c r="R55" s="41" t="s">
        <v>1026</v>
      </c>
      <c r="S55" s="41" t="s">
        <v>860</v>
      </c>
      <c r="T55" s="41" t="s">
        <v>860</v>
      </c>
      <c r="U55" s="41" t="s">
        <v>867</v>
      </c>
      <c r="V55" s="41" t="s">
        <v>867</v>
      </c>
      <c r="W55" s="49" t="s">
        <v>867</v>
      </c>
      <c r="X55" s="49" t="s">
        <v>1009</v>
      </c>
      <c r="Y55" s="49" t="s">
        <v>1009</v>
      </c>
      <c r="Z55" s="49" t="s">
        <v>1009</v>
      </c>
      <c r="AA55" s="49" t="s">
        <v>867</v>
      </c>
      <c r="AB55" s="49" t="s">
        <v>871</v>
      </c>
      <c r="AC55" s="49" t="s">
        <v>871</v>
      </c>
      <c r="AD55" s="49" t="s">
        <v>871</v>
      </c>
      <c r="AE55" s="49" t="s">
        <v>871</v>
      </c>
      <c r="AF55" s="49" t="s">
        <v>869</v>
      </c>
      <c r="AG55" s="49" t="s">
        <v>867</v>
      </c>
    </row>
    <row r="56" spans="1:33" x14ac:dyDescent="0.25">
      <c r="A56" s="40">
        <v>2000055</v>
      </c>
      <c r="B56" s="40" t="s">
        <v>4483</v>
      </c>
      <c r="C56" s="41" t="s">
        <v>913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1029</v>
      </c>
      <c r="F56" s="41" t="s">
        <v>949</v>
      </c>
      <c r="G56" s="50" t="s">
        <v>976</v>
      </c>
      <c r="H56" s="41" t="s">
        <v>975</v>
      </c>
      <c r="I56" s="43">
        <v>44197</v>
      </c>
      <c r="J56" s="41" t="s">
        <v>827</v>
      </c>
      <c r="K56" s="41" t="s">
        <v>829</v>
      </c>
      <c r="L56" s="41" t="s">
        <v>832</v>
      </c>
      <c r="M56" s="47" t="s">
        <v>1005</v>
      </c>
      <c r="N56" s="41" t="s">
        <v>851</v>
      </c>
      <c r="O56" s="48">
        <v>1</v>
      </c>
      <c r="P56" s="41" t="s">
        <v>853</v>
      </c>
      <c r="Q56" s="41" t="s">
        <v>854</v>
      </c>
      <c r="R56" s="41" t="s">
        <v>1026</v>
      </c>
      <c r="S56" s="41" t="s">
        <v>1008</v>
      </c>
      <c r="T56" s="41" t="s">
        <v>1008</v>
      </c>
      <c r="U56" s="41" t="s">
        <v>867</v>
      </c>
      <c r="V56" s="41" t="s">
        <v>867</v>
      </c>
      <c r="W56" s="49" t="s">
        <v>867</v>
      </c>
      <c r="X56" s="49" t="s">
        <v>1015</v>
      </c>
      <c r="Y56" s="49" t="s">
        <v>1020</v>
      </c>
      <c r="Z56" s="49" t="s">
        <v>1020</v>
      </c>
      <c r="AA56" s="49" t="s">
        <v>867</v>
      </c>
      <c r="AB56" s="49" t="s">
        <v>867</v>
      </c>
      <c r="AC56" s="49" t="s">
        <v>1018</v>
      </c>
      <c r="AD56" s="41" t="s">
        <v>867</v>
      </c>
      <c r="AE56" s="41" t="s">
        <v>868</v>
      </c>
      <c r="AF56" s="49" t="s">
        <v>905</v>
      </c>
      <c r="AG56" s="49" t="s">
        <v>867</v>
      </c>
    </row>
    <row r="57" spans="1:33" x14ac:dyDescent="0.25">
      <c r="A57" s="40">
        <v>2000056</v>
      </c>
      <c r="B57" s="40" t="s">
        <v>4484</v>
      </c>
      <c r="C57" s="41" t="s">
        <v>913</v>
      </c>
      <c r="D57" s="44">
        <f>SUMIF(CREANCES!$B$2:$B$99999,'INFO CLIENTS'!B57,CREANCES!$J$2:$J$99999) - SUMIF(CREANCES!$B$2:$B$99999,'INFO CLIENTS'!B57,CREANCES!$K$2:$K$99999)</f>
        <v>0</v>
      </c>
      <c r="E57" s="41" t="s">
        <v>1030</v>
      </c>
      <c r="F57" s="41" t="s">
        <v>949</v>
      </c>
      <c r="G57" s="50" t="s">
        <v>976</v>
      </c>
      <c r="H57" s="41"/>
      <c r="I57" s="43">
        <v>44197</v>
      </c>
      <c r="J57" s="41" t="s">
        <v>827</v>
      </c>
      <c r="K57" s="41" t="s">
        <v>831</v>
      </c>
      <c r="L57" s="41" t="s">
        <v>832</v>
      </c>
      <c r="M57" s="47" t="s">
        <v>1058</v>
      </c>
      <c r="N57" s="41" t="s">
        <v>851</v>
      </c>
      <c r="O57" s="48">
        <v>1</v>
      </c>
      <c r="P57" s="41" t="s">
        <v>852</v>
      </c>
      <c r="Q57" s="41" t="s">
        <v>1028</v>
      </c>
      <c r="R57" s="41" t="s">
        <v>919</v>
      </c>
      <c r="S57" s="41" t="s">
        <v>860</v>
      </c>
      <c r="T57" s="41" t="s">
        <v>860</v>
      </c>
      <c r="U57" s="41" t="s">
        <v>857</v>
      </c>
      <c r="V57" s="41" t="s">
        <v>860</v>
      </c>
      <c r="W57" s="49" t="s">
        <v>860</v>
      </c>
      <c r="X57" s="49" t="s">
        <v>1010</v>
      </c>
      <c r="Y57" s="49" t="s">
        <v>900</v>
      </c>
      <c r="Z57" s="49" t="s">
        <v>897</v>
      </c>
      <c r="AA57" s="49" t="s">
        <v>860</v>
      </c>
      <c r="AB57" s="41" t="s">
        <v>860</v>
      </c>
      <c r="AC57" s="41" t="s">
        <v>860</v>
      </c>
      <c r="AD57" s="41" t="s">
        <v>860</v>
      </c>
      <c r="AE57" s="41" t="s">
        <v>860</v>
      </c>
      <c r="AF57" s="49" t="s">
        <v>864</v>
      </c>
      <c r="AG57" s="41" t="s">
        <v>860</v>
      </c>
    </row>
    <row r="58" spans="1:33" x14ac:dyDescent="0.25">
      <c r="A58" s="40">
        <v>2000057</v>
      </c>
      <c r="B58" s="40" t="s">
        <v>1050</v>
      </c>
      <c r="C58" s="41" t="s">
        <v>785</v>
      </c>
      <c r="D58" s="44">
        <f>SUMIF(CREANCES!$B$2:$B$99999,'INFO CLIENTS'!B58,CREANCES!$J$2:$J$99999) - SUMIF(CREANCES!$B$2:$B$99999,'INFO CLIENTS'!B58,CREANCES!$K$2:$K$99999)</f>
        <v>6375</v>
      </c>
      <c r="E58" s="41" t="s">
        <v>1030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827</v>
      </c>
      <c r="K58" s="41" t="s">
        <v>831</v>
      </c>
      <c r="L58" s="41" t="s">
        <v>832</v>
      </c>
      <c r="M58" s="47" t="s">
        <v>26</v>
      </c>
      <c r="N58" s="41" t="s">
        <v>1022</v>
      </c>
      <c r="O58" s="48">
        <v>0</v>
      </c>
      <c r="P58" s="41" t="s">
        <v>1051</v>
      </c>
      <c r="Q58" s="41" t="s">
        <v>1025</v>
      </c>
      <c r="R58" s="41" t="s">
        <v>912</v>
      </c>
      <c r="S58" s="41" t="s">
        <v>867</v>
      </c>
      <c r="T58" s="41" t="s">
        <v>867</v>
      </c>
      <c r="U58" s="41" t="s">
        <v>867</v>
      </c>
      <c r="V58" s="41" t="s">
        <v>867</v>
      </c>
      <c r="W58" s="41" t="s">
        <v>867</v>
      </c>
      <c r="X58" s="41" t="s">
        <v>867</v>
      </c>
      <c r="Y58" s="41" t="s">
        <v>867</v>
      </c>
      <c r="Z58" s="41" t="s">
        <v>867</v>
      </c>
      <c r="AA58" s="41" t="s">
        <v>867</v>
      </c>
      <c r="AB58" s="41" t="s">
        <v>867</v>
      </c>
      <c r="AC58" s="41" t="s">
        <v>867</v>
      </c>
      <c r="AD58" s="41" t="s">
        <v>867</v>
      </c>
      <c r="AE58" s="41" t="s">
        <v>867</v>
      </c>
      <c r="AF58" s="41" t="s">
        <v>867</v>
      </c>
      <c r="AG58" s="41" t="s">
        <v>867</v>
      </c>
    </row>
    <row r="59" spans="1:33" x14ac:dyDescent="0.25">
      <c r="A59" s="40">
        <v>2000058</v>
      </c>
      <c r="B59" s="40" t="s">
        <v>4501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1030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827</v>
      </c>
      <c r="K59" s="41" t="s">
        <v>831</v>
      </c>
      <c r="L59" s="41" t="s">
        <v>832</v>
      </c>
      <c r="M59" s="47" t="s">
        <v>1059</v>
      </c>
      <c r="N59" s="41" t="s">
        <v>1023</v>
      </c>
      <c r="O59" s="48">
        <v>0</v>
      </c>
      <c r="P59" s="41" t="s">
        <v>852</v>
      </c>
      <c r="Q59" s="41" t="s">
        <v>1025</v>
      </c>
      <c r="R59" s="41" t="s">
        <v>912</v>
      </c>
      <c r="S59" s="41" t="s">
        <v>860</v>
      </c>
      <c r="T59" s="41" t="s">
        <v>860</v>
      </c>
      <c r="U59" s="41" t="s">
        <v>867</v>
      </c>
      <c r="V59" s="41" t="s">
        <v>867</v>
      </c>
      <c r="W59" s="49" t="s">
        <v>863</v>
      </c>
      <c r="X59" s="49" t="s">
        <v>885</v>
      </c>
      <c r="Y59" s="49" t="s">
        <v>885</v>
      </c>
      <c r="Z59" s="49" t="s">
        <v>885</v>
      </c>
      <c r="AA59" s="49" t="s">
        <v>860</v>
      </c>
      <c r="AB59" s="41" t="s">
        <v>860</v>
      </c>
      <c r="AC59" s="41" t="s">
        <v>1017</v>
      </c>
      <c r="AD59" s="41" t="s">
        <v>859</v>
      </c>
      <c r="AE59" s="41" t="s">
        <v>859</v>
      </c>
      <c r="AF59" s="49" t="s">
        <v>869</v>
      </c>
      <c r="AG59" s="41" t="s">
        <v>860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1030</v>
      </c>
      <c r="F60" s="41" t="s">
        <v>1052</v>
      </c>
      <c r="G60" s="50" t="s">
        <v>1053</v>
      </c>
      <c r="H60" s="41" t="s">
        <v>1054</v>
      </c>
      <c r="I60" s="43">
        <v>44927</v>
      </c>
      <c r="J60" s="41" t="s">
        <v>827</v>
      </c>
      <c r="K60" s="41" t="s">
        <v>831</v>
      </c>
      <c r="L60" s="41" t="s">
        <v>832</v>
      </c>
      <c r="M60" s="47" t="s">
        <v>1060</v>
      </c>
      <c r="N60" s="41" t="s">
        <v>851</v>
      </c>
      <c r="O60" s="48">
        <v>0</v>
      </c>
      <c r="P60" s="41" t="s">
        <v>852</v>
      </c>
      <c r="Q60" s="41" t="s">
        <v>1028</v>
      </c>
      <c r="R60" s="41" t="s">
        <v>912</v>
      </c>
      <c r="S60" s="41" t="s">
        <v>860</v>
      </c>
      <c r="T60" s="41" t="s">
        <v>860</v>
      </c>
      <c r="U60" s="41" t="s">
        <v>867</v>
      </c>
      <c r="V60" s="41" t="s">
        <v>867</v>
      </c>
      <c r="W60" s="41" t="s">
        <v>1008</v>
      </c>
      <c r="X60" s="41" t="s">
        <v>1015</v>
      </c>
      <c r="Y60" s="41" t="s">
        <v>1055</v>
      </c>
      <c r="Z60" s="41" t="s">
        <v>1055</v>
      </c>
      <c r="AA60" s="49" t="s">
        <v>867</v>
      </c>
      <c r="AB60" s="41" t="s">
        <v>887</v>
      </c>
      <c r="AC60" s="41" t="s">
        <v>887</v>
      </c>
      <c r="AD60" s="41" t="s">
        <v>887</v>
      </c>
      <c r="AE60" s="41" t="s">
        <v>887</v>
      </c>
      <c r="AF60" s="41" t="s">
        <v>867</v>
      </c>
      <c r="AG60" s="41" t="s">
        <v>867</v>
      </c>
    </row>
    <row r="61" spans="1:33" x14ac:dyDescent="0.25">
      <c r="A61" s="40">
        <v>2000060</v>
      </c>
      <c r="B61" s="40" t="s">
        <v>4485</v>
      </c>
      <c r="C61" s="41" t="s">
        <v>913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1029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827</v>
      </c>
      <c r="K61" s="41" t="s">
        <v>831</v>
      </c>
      <c r="L61" s="41" t="s">
        <v>832</v>
      </c>
      <c r="M61" s="47" t="s">
        <v>1061</v>
      </c>
      <c r="N61" s="41" t="s">
        <v>851</v>
      </c>
      <c r="O61" s="48">
        <v>1</v>
      </c>
      <c r="P61" s="41" t="s">
        <v>852</v>
      </c>
      <c r="Q61" s="41" t="s">
        <v>854</v>
      </c>
      <c r="R61" s="41" t="s">
        <v>912</v>
      </c>
      <c r="S61" s="41" t="s">
        <v>1056</v>
      </c>
      <c r="T61" s="41" t="s">
        <v>1057</v>
      </c>
      <c r="U61" s="41" t="s">
        <v>860</v>
      </c>
      <c r="V61" s="41" t="s">
        <v>857</v>
      </c>
      <c r="W61" s="41" t="s">
        <v>860</v>
      </c>
      <c r="X61" s="41" t="s">
        <v>860</v>
      </c>
      <c r="Y61" s="41" t="s">
        <v>860</v>
      </c>
      <c r="Z61" s="41" t="s">
        <v>860</v>
      </c>
      <c r="AA61" s="41" t="s">
        <v>860</v>
      </c>
      <c r="AB61" s="41" t="s">
        <v>860</v>
      </c>
      <c r="AC61" s="41" t="s">
        <v>860</v>
      </c>
      <c r="AD61" s="41" t="s">
        <v>860</v>
      </c>
      <c r="AE61" s="41" t="s">
        <v>860</v>
      </c>
      <c r="AF61" s="41" t="s">
        <v>860</v>
      </c>
      <c r="AG61" s="41" t="s">
        <v>860</v>
      </c>
    </row>
    <row r="62" spans="1:33" x14ac:dyDescent="0.25">
      <c r="A62" s="40">
        <v>2000061</v>
      </c>
      <c r="B62" s="40" t="s">
        <v>4459</v>
      </c>
      <c r="C62" s="41" t="s">
        <v>913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1030</v>
      </c>
      <c r="F62" s="41" t="s">
        <v>4458</v>
      </c>
      <c r="G62" s="50" t="s">
        <v>4457</v>
      </c>
      <c r="H62" s="41" t="s">
        <v>26</v>
      </c>
      <c r="I62" s="43">
        <v>45658</v>
      </c>
      <c r="J62" s="41" t="s">
        <v>827</v>
      </c>
      <c r="K62" s="41" t="s">
        <v>831</v>
      </c>
      <c r="L62" s="44">
        <f>D62</f>
        <v>-15784.416000000001</v>
      </c>
      <c r="M62" s="47" t="s">
        <v>4460</v>
      </c>
      <c r="N62" s="41" t="s">
        <v>851</v>
      </c>
      <c r="O62" s="48">
        <v>1</v>
      </c>
      <c r="P62" s="41" t="s">
        <v>852</v>
      </c>
      <c r="Q62" s="41" t="s">
        <v>854</v>
      </c>
      <c r="R62" s="41" t="s">
        <v>919</v>
      </c>
      <c r="S62" s="41" t="s">
        <v>860</v>
      </c>
      <c r="T62" s="41" t="s">
        <v>860</v>
      </c>
      <c r="U62" s="41" t="s">
        <v>860</v>
      </c>
      <c r="V62" s="41" t="s">
        <v>860</v>
      </c>
      <c r="W62" s="41" t="s">
        <v>860</v>
      </c>
      <c r="X62" s="41" t="s">
        <v>877</v>
      </c>
      <c r="Y62" s="41" t="s">
        <v>860</v>
      </c>
      <c r="Z62" s="41" t="s">
        <v>907</v>
      </c>
      <c r="AA62" s="41" t="s">
        <v>857</v>
      </c>
      <c r="AB62" s="41" t="s">
        <v>860</v>
      </c>
      <c r="AC62" s="41" t="s">
        <v>860</v>
      </c>
      <c r="AD62" s="41" t="s">
        <v>860</v>
      </c>
      <c r="AE62" s="41" t="s">
        <v>860</v>
      </c>
      <c r="AF62" s="41" t="s">
        <v>860</v>
      </c>
      <c r="AG62" s="41" t="s">
        <v>860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1030</v>
      </c>
      <c r="F63" s="41" t="s">
        <v>6176</v>
      </c>
      <c r="G63" s="50" t="s">
        <v>26</v>
      </c>
      <c r="H63" s="41" t="s">
        <v>6177</v>
      </c>
      <c r="I63" s="43">
        <v>44927</v>
      </c>
      <c r="J63" s="41" t="s">
        <v>827</v>
      </c>
      <c r="K63" s="41" t="s">
        <v>831</v>
      </c>
      <c r="L63" s="41" t="s">
        <v>832</v>
      </c>
      <c r="M63" s="47" t="s">
        <v>6178</v>
      </c>
      <c r="N63" s="41" t="s">
        <v>851</v>
      </c>
      <c r="O63" s="48">
        <v>0</v>
      </c>
      <c r="P63" s="41" t="s">
        <v>1051</v>
      </c>
      <c r="Q63" s="41" t="s">
        <v>854</v>
      </c>
      <c r="R63" s="41" t="s">
        <v>912</v>
      </c>
      <c r="S63" s="41" t="s">
        <v>867</v>
      </c>
      <c r="T63" s="41" t="s">
        <v>867</v>
      </c>
      <c r="U63" s="41" t="s">
        <v>867</v>
      </c>
      <c r="V63" s="41" t="s">
        <v>867</v>
      </c>
      <c r="W63" s="41" t="s">
        <v>867</v>
      </c>
      <c r="X63" s="41" t="s">
        <v>6179</v>
      </c>
      <c r="Y63" s="41" t="s">
        <v>1015</v>
      </c>
      <c r="Z63" s="41" t="s">
        <v>867</v>
      </c>
      <c r="AA63" s="41" t="s">
        <v>867</v>
      </c>
      <c r="AB63" s="41" t="s">
        <v>867</v>
      </c>
      <c r="AC63" s="41" t="s">
        <v>867</v>
      </c>
      <c r="AD63" s="41" t="s">
        <v>867</v>
      </c>
      <c r="AE63" s="41" t="s">
        <v>867</v>
      </c>
      <c r="AF63" s="41" t="s">
        <v>869</v>
      </c>
      <c r="AG63" s="41" t="s">
        <v>867</v>
      </c>
    </row>
    <row r="64" spans="1:33" x14ac:dyDescent="0.25">
      <c r="A64" s="40">
        <v>2000063</v>
      </c>
      <c r="B64" s="40" t="s">
        <v>6180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1030</v>
      </c>
      <c r="F64" s="41" t="s">
        <v>6181</v>
      </c>
      <c r="G64" s="50" t="s">
        <v>26</v>
      </c>
      <c r="H64" s="41" t="s">
        <v>6182</v>
      </c>
      <c r="I64" s="43">
        <v>45292</v>
      </c>
      <c r="J64" s="41" t="s">
        <v>827</v>
      </c>
      <c r="K64" s="41" t="s">
        <v>831</v>
      </c>
      <c r="L64" s="41" t="s">
        <v>832</v>
      </c>
      <c r="M64" s="47" t="s">
        <v>6183</v>
      </c>
      <c r="N64" s="41" t="s">
        <v>851</v>
      </c>
      <c r="O64" s="48">
        <v>0</v>
      </c>
      <c r="P64" s="41" t="s">
        <v>852</v>
      </c>
      <c r="Q64" s="41" t="s">
        <v>854</v>
      </c>
      <c r="R64" s="41" t="s">
        <v>912</v>
      </c>
      <c r="S64" s="41" t="s">
        <v>860</v>
      </c>
      <c r="T64" s="41" t="s">
        <v>860</v>
      </c>
      <c r="U64" s="41" t="s">
        <v>860</v>
      </c>
      <c r="V64" s="41" t="s">
        <v>860</v>
      </c>
      <c r="W64" s="41" t="s">
        <v>860</v>
      </c>
      <c r="X64" s="41" t="s">
        <v>860</v>
      </c>
      <c r="Y64" s="41" t="s">
        <v>860</v>
      </c>
      <c r="Z64" s="41" t="s">
        <v>860</v>
      </c>
      <c r="AA64" s="41" t="s">
        <v>860</v>
      </c>
      <c r="AB64" s="41" t="s">
        <v>860</v>
      </c>
      <c r="AC64" s="41" t="s">
        <v>863</v>
      </c>
      <c r="AD64" s="41" t="s">
        <v>863</v>
      </c>
      <c r="AE64" s="41" t="s">
        <v>860</v>
      </c>
      <c r="AF64" s="41" t="s">
        <v>860</v>
      </c>
      <c r="AG64" s="41" t="s">
        <v>860</v>
      </c>
    </row>
    <row r="65" spans="1:33" x14ac:dyDescent="0.25">
      <c r="A65" s="40">
        <v>2000064</v>
      </c>
      <c r="B65" s="40" t="s">
        <v>6184</v>
      </c>
      <c r="C65" s="41" t="s">
        <v>785</v>
      </c>
      <c r="D65" s="44">
        <f>SUMIF(CREANCES!$B$2:$B$99999,'INFO CLIENTS'!B65,CREANCES!$J$2:$J$99999) - SUMIF(CREANCES!$B$2:$B$99999,'INFO CLIENTS'!B65,CREANCES!$K$2:$K$99999)</f>
        <v>0</v>
      </c>
      <c r="E65" s="41" t="s">
        <v>1030</v>
      </c>
      <c r="F65" s="41" t="s">
        <v>6185</v>
      </c>
      <c r="G65" s="50" t="s">
        <v>26</v>
      </c>
      <c r="H65" s="41" t="s">
        <v>6186</v>
      </c>
      <c r="I65" s="43">
        <v>44927</v>
      </c>
      <c r="J65" s="44">
        <v>20000</v>
      </c>
      <c r="K65" s="41" t="s">
        <v>828</v>
      </c>
      <c r="L65" s="80">
        <f>J65</f>
        <v>20000</v>
      </c>
      <c r="M65" s="47" t="s">
        <v>6187</v>
      </c>
      <c r="N65" s="41" t="s">
        <v>851</v>
      </c>
      <c r="O65" s="48">
        <v>1</v>
      </c>
      <c r="P65" s="41" t="s">
        <v>1051</v>
      </c>
      <c r="Q65" s="41" t="s">
        <v>6188</v>
      </c>
      <c r="R65" s="41" t="s">
        <v>1027</v>
      </c>
      <c r="S65" s="41" t="s">
        <v>867</v>
      </c>
      <c r="T65" s="41" t="s">
        <v>867</v>
      </c>
      <c r="U65" s="41" t="s">
        <v>867</v>
      </c>
      <c r="V65" s="41" t="s">
        <v>867</v>
      </c>
      <c r="W65" s="41" t="s">
        <v>1006</v>
      </c>
      <c r="X65" s="41" t="s">
        <v>883</v>
      </c>
      <c r="Y65" s="41" t="s">
        <v>1013</v>
      </c>
      <c r="Z65" s="41" t="s">
        <v>885</v>
      </c>
      <c r="AA65" s="41" t="s">
        <v>867</v>
      </c>
      <c r="AB65" s="41" t="s">
        <v>867</v>
      </c>
      <c r="AC65" s="41" t="s">
        <v>867</v>
      </c>
      <c r="AD65" s="41" t="s">
        <v>867</v>
      </c>
      <c r="AE65" s="41" t="s">
        <v>867</v>
      </c>
      <c r="AF65" s="41" t="s">
        <v>867</v>
      </c>
      <c r="AG65" s="41" t="s">
        <v>867</v>
      </c>
    </row>
  </sheetData>
  <autoFilter ref="A1:AG65" xr:uid="{7BB22B7C-CE85-4632-96CC-8174C4AA6F67}"/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2025-02-27T13:42:30Z</dcterms:modified>
</cp:coreProperties>
</file>